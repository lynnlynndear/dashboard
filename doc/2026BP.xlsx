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40" firstSheet="1" activeTab="4"/>
  </bookViews>
  <sheets>
    <sheet name="Y26年渠道汇总" sheetId="4" state="hidden" r:id="rId1"/>
    <sheet name="26年全渠道汇总" sheetId="6" r:id="rId2"/>
    <sheet name="26年全渠道汇总（副本计算）" sheetId="7" r:id="rId3"/>
    <sheet name="26年全渠道汇总（仅电商）" sheetId="8" r:id="rId4"/>
    <sheet name="淘系-小计" sheetId="10" r:id="rId5"/>
    <sheet name="淘系" sheetId="11" r:id="rId6"/>
    <sheet name="淘系达播" sheetId="12" r:id="rId7"/>
    <sheet name="抖快-小计" sheetId="13" r:id="rId8"/>
    <sheet name="抖音" sheetId="14" r:id="rId9"/>
    <sheet name="抖音达播" sheetId="15" r:id="rId10"/>
    <sheet name="快手" sheetId="16" r:id="rId11"/>
    <sheet name="京东-小计" sheetId="17" r:id="rId12"/>
    <sheet name="京东POP财经口径" sheetId="18" r:id="rId13"/>
    <sheet name="京东自营财经口径" sheetId="19" r:id="rId14"/>
    <sheet name="小店-小计" sheetId="20" r:id="rId15"/>
    <sheet name="PDD" sheetId="21" r:id="rId16"/>
    <sheet name="得物" sheetId="22" r:id="rId17"/>
    <sheet name="视频号+官网+小程序" sheetId="23" r:id="rId18"/>
    <sheet name="唯品会" sheetId="24" r:id="rId19"/>
    <sheet name="线下门店-小计" sheetId="25" r:id="rId20"/>
    <sheet name="线下门店-直营" sheetId="26" r:id="rId21"/>
    <sheet name="线下门店-经销" sheetId="27" r:id="rId22"/>
    <sheet name="线下渠道" sheetId="28" r:id="rId23"/>
    <sheet name="京东自营业务口径" sheetId="29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73" authorId="0">
      <text>
        <r>
          <rPr>
            <sz val="10"/>
            <rFont val="宋体"/>
            <charset val="134"/>
          </rPr>
          <t xml:space="preserve">人力+行政+财务+法务+IT 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73" authorId="0">
      <text>
        <r>
          <rPr>
            <sz val="10"/>
            <rFont val="宋体"/>
            <charset val="134"/>
          </rPr>
          <t xml:space="preserve">人力+行政+财务+法务+IT 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B71" authorId="0">
      <text>
        <r>
          <rPr>
            <sz val="10"/>
            <rFont val="宋体"/>
            <charset val="134"/>
          </rPr>
          <t xml:space="preserve">人力+行政+财务+法务+IT </t>
        </r>
      </text>
    </comment>
  </commentList>
</comments>
</file>

<file path=xl/sharedStrings.xml><?xml version="1.0" encoding="utf-8"?>
<sst xmlns="http://schemas.openxmlformats.org/spreadsheetml/2006/main" count="2552" uniqueCount="145">
  <si>
    <t>Items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</si>
  <si>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</si>
  <si>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</si>
  <si>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</si>
  <si>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</si>
  <si>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</si>
  <si>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</si>
  <si>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</si>
  <si>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</si>
  <si>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</si>
  <si>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</si>
  <si>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</si>
  <si>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</si>
  <si>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 1-12月</t>
  </si>
  <si>
    <t>费比</t>
  </si>
  <si>
    <t>备注</t>
  </si>
  <si>
    <t>退后销量</t>
  </si>
  <si>
    <t>自补前GMV</t>
  </si>
  <si>
    <t>国补自补费用</t>
  </si>
  <si>
    <t>GMV（剔除国补的费用后）</t>
  </si>
  <si>
    <t>退货率（发货前+后）</t>
  </si>
  <si>
    <t>GSV（剔除国补费用后）</t>
  </si>
  <si>
    <t>零售价（去除退货后的）</t>
  </si>
  <si>
    <t>合同折扣及返利 (线下）</t>
  </si>
  <si>
    <t>线下填写</t>
  </si>
  <si>
    <t>国补自补 （线上）</t>
  </si>
  <si>
    <t>按照全年拉平10%</t>
  </si>
  <si>
    <t>红包消费券等促销折扣</t>
  </si>
  <si>
    <t>TTL 折扣合计</t>
  </si>
  <si>
    <t>GSV</t>
  </si>
  <si>
    <t>营业收入</t>
  </si>
  <si>
    <t>标准主品配件成本</t>
  </si>
  <si>
    <t>产品毛利</t>
  </si>
  <si>
    <t>头程/尾程物流/仓储费用</t>
  </si>
  <si>
    <t>按照全年平均2.5%</t>
  </si>
  <si>
    <t>成本合计（产品+物流）</t>
  </si>
  <si>
    <t>净毛利</t>
  </si>
  <si>
    <t>实际产品毛利率</t>
  </si>
  <si>
    <t>合计毛利率</t>
  </si>
  <si>
    <t>品牌及内容费用</t>
  </si>
  <si>
    <t>展会</t>
  </si>
  <si>
    <t>品牌营销</t>
  </si>
  <si>
    <t>内容素材制作</t>
  </si>
  <si>
    <t>公关费用</t>
  </si>
  <si>
    <t>达人种草、样机及加热</t>
  </si>
  <si>
    <t>展会(费率)</t>
  </si>
  <si>
    <t>品牌营销（费率）</t>
  </si>
  <si>
    <t>内容素材制作（费率）</t>
  </si>
  <si>
    <t>公关费用（费率）</t>
  </si>
  <si>
    <t>达人种草、样机及加热（费率）</t>
  </si>
  <si>
    <t>效果广告</t>
  </si>
  <si>
    <t>站内投放</t>
  </si>
  <si>
    <t>全年平均14%</t>
  </si>
  <si>
    <t>千川投放</t>
  </si>
  <si>
    <t>全年平均6%</t>
  </si>
  <si>
    <t>站外投放</t>
  </si>
  <si>
    <t>全年平均2%</t>
  </si>
  <si>
    <t>站内投放（费率）</t>
  </si>
  <si>
    <t>千川投放（费率）</t>
  </si>
  <si>
    <t>站外投放（费率）</t>
  </si>
  <si>
    <t>线上营销费用</t>
  </si>
  <si>
    <t>直播费用</t>
  </si>
  <si>
    <t>全年1%</t>
  </si>
  <si>
    <t>赠品费用</t>
  </si>
  <si>
    <t>全年2%</t>
  </si>
  <si>
    <t>线下市场费用</t>
  </si>
  <si>
    <t>线下渠道展陈、促销费用</t>
  </si>
  <si>
    <t>租金+物业+水电</t>
  </si>
  <si>
    <t>门店人工</t>
  </si>
  <si>
    <t>门店展陈装修等其他</t>
  </si>
  <si>
    <t>市场投入费用</t>
  </si>
  <si>
    <t>平台佣金</t>
  </si>
  <si>
    <t>全年平均5.3%</t>
  </si>
  <si>
    <t>平台其他费用</t>
  </si>
  <si>
    <t>全年平均1.4%</t>
  </si>
  <si>
    <t>售后费用</t>
  </si>
  <si>
    <t>全年平均3%</t>
  </si>
  <si>
    <t>短信及店铺软件</t>
  </si>
  <si>
    <t>全年平均0.1%</t>
  </si>
  <si>
    <t>其他运营费用（咨询调研等）</t>
  </si>
  <si>
    <t>店铺运营费用</t>
  </si>
  <si>
    <t>A&amp;P 合计数</t>
  </si>
  <si>
    <t>店铺利润</t>
  </si>
  <si>
    <t>渠道填写</t>
  </si>
  <si>
    <t>自补前GSV</t>
  </si>
  <si>
    <t>GMV（国补后）</t>
  </si>
  <si>
    <t>GSV（国补后）</t>
  </si>
  <si>
    <t>渠道第二次填写</t>
  </si>
  <si>
    <t>线下渠道填写</t>
  </si>
  <si>
    <t xml:space="preserve"> Y25 Bi 成本54%</t>
  </si>
  <si>
    <t>top down 毛利53%</t>
  </si>
  <si>
    <t>投放填写</t>
  </si>
  <si>
    <t>达人填写</t>
  </si>
  <si>
    <t>直播费用（费率）</t>
  </si>
  <si>
    <t>赠品费用（费率）</t>
  </si>
  <si>
    <t>线下门店</t>
  </si>
  <si>
    <t>新品需求调研，产品上市反馈</t>
  </si>
  <si>
    <t>1700万成本差</t>
  </si>
  <si>
    <t>BU 可控运营费用</t>
  </si>
  <si>
    <t>销售管理费用</t>
  </si>
  <si>
    <t>研发费用</t>
  </si>
  <si>
    <t>BU可控利润</t>
  </si>
  <si>
    <t>BU贡献费用</t>
  </si>
  <si>
    <t>BU贡献利润</t>
  </si>
  <si>
    <t>集团分摊费用</t>
  </si>
  <si>
    <t>净利润</t>
  </si>
  <si>
    <t>净利润率</t>
  </si>
  <si>
    <t>汇总</t>
  </si>
  <si>
    <t>去国补GMV</t>
  </si>
  <si>
    <t>利润</t>
  </si>
  <si>
    <t xml:space="preserve"> 利润率</t>
  </si>
  <si>
    <t>2026年全年</t>
  </si>
  <si>
    <t>26年H1</t>
  </si>
  <si>
    <t>26年H2</t>
  </si>
  <si>
    <t>零售价</t>
  </si>
  <si>
    <t>注明：每个月增加155413品专费用</t>
  </si>
  <si>
    <t>注明：每个月增加146616品专费用</t>
  </si>
  <si>
    <t>辅助计算</t>
  </si>
  <si>
    <t>国补后价格(销量加权)</t>
  </si>
  <si>
    <t>成本不含税（销量加权）</t>
  </si>
  <si>
    <t>分摊</t>
  </si>
  <si>
    <t>总计</t>
  </si>
  <si>
    <t>注：每个月增加29854品专费用</t>
  </si>
  <si>
    <t>1%红包、0.5%赠品</t>
  </si>
  <si>
    <t>国补借壳佣金2%，大促0.75%</t>
  </si>
  <si>
    <t>售后按照2%</t>
  </si>
  <si>
    <t>条</t>
  </si>
  <si>
    <t>注：每个月增加28164品专费用</t>
  </si>
  <si>
    <t>按店铺40%*40%佣金,达播60%*20%佣金合计</t>
  </si>
  <si>
    <t>平台佣金2.5%</t>
  </si>
  <si>
    <t>按25年平台其他费用占GMV比例0.7%</t>
  </si>
  <si>
    <t>按采购供货金额计算</t>
  </si>
  <si>
    <t>=</t>
  </si>
  <si>
    <t>注：每个月增加34415品专费用</t>
  </si>
  <si>
    <t>按25年平台其他费用占GMV比例(年0.19%)</t>
  </si>
  <si>
    <t xml:space="preserve">平台费用含物流费用,故无发货费用
</t>
  </si>
  <si>
    <t>平台无直播项目,故不涉及费用及分摊部分</t>
  </si>
  <si>
    <t>平台佣金16%(含物流费用)</t>
  </si>
  <si>
    <t>按25年平台其他费用占GMV比例(年1.07%)</t>
  </si>
  <si>
    <t>按25年维修成本成本占GMV比例(年3.2%)</t>
  </si>
  <si>
    <t>按25年短信及店铺软件占GMV比例(年0.07%)</t>
  </si>
  <si>
    <t>空白</t>
  </si>
  <si>
    <t>零售价-GSV-国补自补计算D</t>
  </si>
  <si>
    <t>零售价-GSV计算D</t>
  </si>
  <si>
    <t>填写未税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</si>
</sst>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0.0%"/>
    <numFmt numFmtId="178" formatCode="_ * #,##0.000_ ;_ * \-#,##0.000_ ;_ * &quot;-&quot;??.000_ ;_ @_ "/>
    <numFmt numFmtId="179" formatCode="0&quot;.&quot;0,&quot;万&quot;"/>
    <numFmt numFmtId="180" formatCode="0.000%"/>
  </numFmts>
  <fonts count="37">
    <font>
      <sz val="10"/>
      <color theme="1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10"/>
      <color rgb="FFF54A45"/>
      <name val="等线"/>
      <charset val="134"/>
      <scheme val="minor"/>
    </font>
    <font>
      <i/>
      <sz val="11"/>
      <color rgb="FFB26123"/>
      <name val="等线"/>
      <charset val="134"/>
      <scheme val="minor"/>
    </font>
    <font>
      <sz val="11"/>
      <color rgb="FFF54A45"/>
      <name val="等线"/>
      <charset val="134"/>
      <scheme val="minor"/>
    </font>
    <font>
      <sz val="10"/>
      <color rgb="FF8F959E"/>
      <name val="等线"/>
      <charset val="134"/>
      <scheme val="minor"/>
    </font>
    <font>
      <sz val="11"/>
      <color rgb="FF8F959E"/>
      <name val="等线"/>
      <charset val="134"/>
      <scheme val="minor"/>
    </font>
    <font>
      <b/>
      <sz val="10"/>
      <color rgb="FFF54A45"/>
      <name val="等线"/>
      <charset val="134"/>
      <scheme val="minor"/>
    </font>
    <font>
      <sz val="11"/>
      <color rgb="FF3A9A93"/>
      <name val="等线"/>
      <charset val="134"/>
      <scheme val="minor"/>
    </font>
    <font>
      <b/>
      <i/>
      <sz val="11"/>
      <color rgb="FF1F2329"/>
      <name val="等线"/>
      <charset val="134"/>
      <scheme val="minor"/>
    </font>
    <font>
      <b/>
      <sz val="10"/>
      <color rgb="FF1F2329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243A65"/>
        <bgColor indexed="64"/>
      </patternFill>
    </fill>
    <fill>
      <patternFill patternType="solid">
        <fgColor rgb="FFB4BAC3"/>
        <bgColor indexed="64"/>
      </patternFill>
    </fill>
    <fill>
      <patternFill patternType="solid">
        <fgColor rgb="FFCFCFCF"/>
        <bgColor indexed="64"/>
      </patternFill>
    </fill>
    <fill>
      <patternFill patternType="solid">
        <fgColor rgb="FF6BA3D8"/>
        <bgColor indexed="64"/>
      </patternFill>
    </fill>
    <fill>
      <patternFill patternType="solid">
        <fgColor rgb="FFDFF2FC"/>
        <bgColor indexed="64"/>
      </patternFill>
    </fill>
    <fill>
      <patternFill patternType="solid">
        <fgColor rgb="FF9CC3E6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2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3" borderId="6" applyNumberFormat="0" applyAlignment="0" applyProtection="0">
      <alignment vertical="center"/>
    </xf>
    <xf numFmtId="0" fontId="26" fillId="14" borderId="7" applyNumberFormat="0" applyAlignment="0" applyProtection="0">
      <alignment vertical="center"/>
    </xf>
    <xf numFmtId="0" fontId="27" fillId="14" borderId="6" applyNumberFormat="0" applyAlignment="0" applyProtection="0">
      <alignment vertical="center"/>
    </xf>
    <xf numFmtId="0" fontId="28" fillId="15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</cellStyleXfs>
  <cellXfs count="127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4" borderId="0" xfId="0" applyNumberFormat="1" applyFont="1" applyFill="1" applyAlignment="1">
      <alignment horizontal="center" vertical="center"/>
    </xf>
    <xf numFmtId="176" fontId="2" fillId="4" borderId="0" xfId="0" applyNumberFormat="1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2" fillId="5" borderId="0" xfId="0" applyNumberFormat="1" applyFont="1" applyFill="1" applyAlignment="1">
      <alignment horizontal="center" vertical="center"/>
    </xf>
    <xf numFmtId="176" fontId="2" fillId="5" borderId="0" xfId="0" applyNumberFormat="1" applyFont="1" applyFill="1" applyAlignment="1">
      <alignment vertical="center"/>
    </xf>
    <xf numFmtId="9" fontId="8" fillId="0" borderId="0" xfId="0" applyNumberFormat="1" applyFont="1" applyAlignment="1">
      <alignment horizontal="center" vertical="center"/>
    </xf>
    <xf numFmtId="9" fontId="8" fillId="0" borderId="0" xfId="0" applyNumberFormat="1" applyFont="1" applyAlignment="1">
      <alignment horizontal="right" vertical="center"/>
    </xf>
    <xf numFmtId="9" fontId="4" fillId="0" borderId="0" xfId="0" applyNumberFormat="1" applyFont="1" applyAlignment="1">
      <alignment vertical="center"/>
    </xf>
    <xf numFmtId="0" fontId="4" fillId="6" borderId="0" xfId="0" applyFont="1" applyFill="1" applyAlignment="1">
      <alignment horizontal="center" vertical="center"/>
    </xf>
    <xf numFmtId="176" fontId="4" fillId="6" borderId="0" xfId="0" applyNumberFormat="1" applyFont="1" applyFill="1" applyAlignment="1">
      <alignment vertical="center"/>
    </xf>
    <xf numFmtId="9" fontId="4" fillId="6" borderId="0" xfId="0" applyNumberFormat="1" applyFont="1" applyFill="1" applyAlignment="1">
      <alignment vertical="center"/>
    </xf>
    <xf numFmtId="10" fontId="5" fillId="0" borderId="0" xfId="0" applyNumberFormat="1" applyFon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176" fontId="4" fillId="7" borderId="0" xfId="0" applyNumberFormat="1" applyFont="1" applyFill="1" applyAlignment="1">
      <alignment vertical="center"/>
    </xf>
    <xf numFmtId="177" fontId="4" fillId="6" borderId="0" xfId="0" applyNumberFormat="1" applyFont="1" applyFill="1" applyAlignment="1">
      <alignment vertical="center"/>
    </xf>
    <xf numFmtId="177" fontId="4" fillId="7" borderId="0" xfId="0" applyNumberFormat="1" applyFont="1" applyFill="1" applyAlignment="1">
      <alignment vertical="center"/>
    </xf>
    <xf numFmtId="176" fontId="4" fillId="0" borderId="0" xfId="0" applyNumberFormat="1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77" fontId="2" fillId="5" borderId="0" xfId="0" applyNumberFormat="1" applyFont="1" applyFill="1" applyAlignment="1">
      <alignment vertical="center"/>
    </xf>
    <xf numFmtId="10" fontId="4" fillId="0" borderId="0" xfId="0" applyNumberFormat="1" applyFont="1" applyAlignment="1">
      <alignment vertical="center"/>
    </xf>
    <xf numFmtId="177" fontId="4" fillId="0" borderId="0" xfId="0" applyNumberFormat="1" applyFont="1" applyAlignment="1">
      <alignment vertical="center"/>
    </xf>
    <xf numFmtId="176" fontId="4" fillId="8" borderId="0" xfId="0" applyNumberFormat="1" applyFont="1" applyFill="1" applyAlignment="1">
      <alignment vertical="center"/>
    </xf>
    <xf numFmtId="3" fontId="4" fillId="8" borderId="0" xfId="0" applyNumberFormat="1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4" fontId="5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4" fillId="6" borderId="0" xfId="0" applyNumberFormat="1" applyFont="1" applyFill="1" applyAlignment="1">
      <alignment horizontal="center" vertical="center"/>
    </xf>
    <xf numFmtId="177" fontId="4" fillId="6" borderId="0" xfId="0" applyNumberFormat="1" applyFont="1" applyFill="1" applyAlignment="1">
      <alignment horizontal="center" vertical="center"/>
    </xf>
    <xf numFmtId="9" fontId="4" fillId="6" borderId="0" xfId="0" applyNumberFormat="1" applyFont="1" applyFill="1" applyAlignment="1">
      <alignment horizontal="center" vertical="center"/>
    </xf>
    <xf numFmtId="176" fontId="4" fillId="7" borderId="0" xfId="0" applyNumberFormat="1" applyFont="1" applyFill="1" applyAlignment="1">
      <alignment horizontal="center" vertical="center"/>
    </xf>
    <xf numFmtId="177" fontId="4" fillId="7" borderId="0" xfId="0" applyNumberFormat="1" applyFont="1" applyFill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7" fontId="2" fillId="5" borderId="0" xfId="0" applyNumberFormat="1" applyFont="1" applyFill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76" fontId="4" fillId="8" borderId="0" xfId="0" applyNumberFormat="1" applyFont="1" applyFill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3" fontId="4" fillId="8" borderId="0" xfId="0" applyNumberFormat="1" applyFont="1" applyFill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4" fontId="4" fillId="8" borderId="0" xfId="0" applyNumberFormat="1" applyFont="1" applyFill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9" fontId="2" fillId="4" borderId="0" xfId="0" applyNumberFormat="1" applyFont="1" applyFill="1" applyAlignment="1">
      <alignment horizontal="center" vertical="center"/>
    </xf>
    <xf numFmtId="178" fontId="4" fillId="0" borderId="0" xfId="0" applyNumberFormat="1" applyFont="1" applyAlignment="1">
      <alignment vertical="center"/>
    </xf>
    <xf numFmtId="9" fontId="9" fillId="6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10" fontId="4" fillId="6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3" fontId="10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right" vertical="center"/>
    </xf>
    <xf numFmtId="9" fontId="2" fillId="5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10" fontId="5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4" fontId="5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9" fontId="5" fillId="0" borderId="0" xfId="0" applyNumberFormat="1" applyFont="1" applyAlignment="1">
      <alignment vertical="center"/>
    </xf>
    <xf numFmtId="9" fontId="4" fillId="8" borderId="0" xfId="0" applyNumberFormat="1" applyFont="1" applyFill="1" applyAlignment="1">
      <alignment vertical="center"/>
    </xf>
    <xf numFmtId="179" fontId="5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79" fontId="5" fillId="0" borderId="0" xfId="0" applyNumberFormat="1" applyFont="1" applyAlignment="1">
      <alignment horizontal="center" vertical="center"/>
    </xf>
    <xf numFmtId="10" fontId="4" fillId="7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9" fontId="4" fillId="8" borderId="0" xfId="0" applyNumberFormat="1" applyFont="1" applyFill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vertical="center"/>
    </xf>
    <xf numFmtId="176" fontId="2" fillId="9" borderId="0" xfId="0" applyNumberFormat="1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4" fillId="7" borderId="0" xfId="0" applyNumberFormat="1" applyFont="1" applyFill="1" applyAlignment="1">
      <alignment horizontal="center" vertical="center"/>
    </xf>
    <xf numFmtId="3" fontId="2" fillId="5" borderId="0" xfId="0" applyNumberFormat="1" applyFont="1" applyFill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6" fontId="2" fillId="10" borderId="0" xfId="0" applyNumberFormat="1" applyFont="1" applyFill="1" applyAlignment="1">
      <alignment horizontal="left" vertical="center"/>
    </xf>
    <xf numFmtId="179" fontId="6" fillId="10" borderId="0" xfId="0" applyNumberFormat="1" applyFont="1" applyFill="1" applyAlignment="1">
      <alignment horizontal="right" vertical="center"/>
    </xf>
    <xf numFmtId="176" fontId="5" fillId="10" borderId="0" xfId="0" applyNumberFormat="1" applyFont="1" applyFill="1" applyAlignment="1">
      <alignment horizontal="right" vertical="center"/>
    </xf>
    <xf numFmtId="177" fontId="5" fillId="10" borderId="0" xfId="0" applyNumberFormat="1" applyFont="1" applyFill="1" applyAlignment="1">
      <alignment vertical="center"/>
    </xf>
    <xf numFmtId="176" fontId="2" fillId="0" borderId="0" xfId="0" applyNumberFormat="1" applyFont="1" applyAlignment="1">
      <alignment horizontal="left" vertical="center"/>
    </xf>
    <xf numFmtId="179" fontId="6" fillId="0" borderId="0" xfId="0" applyNumberFormat="1" applyFont="1" applyAlignment="1">
      <alignment horizontal="right" vertical="center"/>
    </xf>
    <xf numFmtId="179" fontId="5" fillId="0" borderId="0" xfId="0" applyNumberFormat="1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177" fontId="5" fillId="0" borderId="0" xfId="0" applyNumberFormat="1" applyFont="1" applyAlignment="1">
      <alignment vertical="center"/>
    </xf>
    <xf numFmtId="176" fontId="2" fillId="11" borderId="0" xfId="0" applyNumberFormat="1" applyFont="1" applyFill="1" applyAlignment="1">
      <alignment horizontal="left" vertical="center"/>
    </xf>
    <xf numFmtId="179" fontId="5" fillId="11" borderId="0" xfId="0" applyNumberFormat="1" applyFont="1" applyFill="1" applyAlignment="1">
      <alignment horizontal="right" vertical="center"/>
    </xf>
    <xf numFmtId="176" fontId="3" fillId="11" borderId="0" xfId="0" applyNumberFormat="1" applyFont="1" applyFill="1" applyAlignment="1">
      <alignment horizontal="right" vertical="center"/>
    </xf>
    <xf numFmtId="177" fontId="3" fillId="11" borderId="0" xfId="0" applyNumberFormat="1" applyFont="1" applyFill="1" applyAlignment="1">
      <alignment vertical="center"/>
    </xf>
    <xf numFmtId="176" fontId="13" fillId="0" borderId="0" xfId="0" applyNumberFormat="1" applyFont="1" applyAlignment="1">
      <alignment horizontal="left" vertical="center"/>
    </xf>
    <xf numFmtId="0" fontId="0" fillId="0" borderId="0" xfId="0"/>
    <xf numFmtId="179" fontId="6" fillId="11" borderId="0" xfId="0" applyNumberFormat="1" applyFont="1" applyFill="1" applyAlignment="1">
      <alignment horizontal="right" vertical="center"/>
    </xf>
    <xf numFmtId="176" fontId="5" fillId="0" borderId="0" xfId="0" applyNumberFormat="1" applyFont="1" applyAlignment="1">
      <alignment vertical="center"/>
    </xf>
    <xf numFmtId="176" fontId="2" fillId="10" borderId="0" xfId="0" applyNumberFormat="1" applyFont="1" applyFill="1" applyAlignment="1">
      <alignment horizontal="center" vertical="center"/>
    </xf>
    <xf numFmtId="176" fontId="3" fillId="10" borderId="0" xfId="0" applyNumberFormat="1" applyFont="1" applyFill="1" applyAlignment="1">
      <alignment horizontal="right" vertical="center"/>
    </xf>
    <xf numFmtId="176" fontId="2" fillId="11" borderId="0" xfId="0" applyNumberFormat="1" applyFont="1" applyFill="1" applyAlignment="1">
      <alignment horizontal="center" vertical="center"/>
    </xf>
    <xf numFmtId="177" fontId="5" fillId="11" borderId="0" xfId="0" applyNumberFormat="1" applyFont="1" applyFill="1" applyAlignment="1">
      <alignment vertical="center"/>
    </xf>
    <xf numFmtId="176" fontId="14" fillId="0" borderId="0" xfId="0" applyNumberFormat="1" applyFont="1" applyAlignment="1">
      <alignment horizontal="center" vertical="center"/>
    </xf>
    <xf numFmtId="177" fontId="15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76" fontId="3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176" fontId="3" fillId="0" borderId="2" xfId="0" applyNumberFormat="1" applyFont="1" applyBorder="1" applyAlignment="1">
      <alignment horizontal="right" vertical="center"/>
    </xf>
    <xf numFmtId="179" fontId="4" fillId="0" borderId="1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176" fontId="3" fillId="9" borderId="1" xfId="0" applyNumberFormat="1" applyFont="1" applyFill="1" applyBorder="1" applyAlignment="1">
      <alignment horizontal="right" vertical="center"/>
    </xf>
    <xf numFmtId="176" fontId="2" fillId="9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9" fontId="2" fillId="0" borderId="0" xfId="0" applyNumberFormat="1" applyFont="1" applyAlignment="1">
      <alignment vertical="center"/>
    </xf>
    <xf numFmtId="180" fontId="8" fillId="0" borderId="0" xfId="0" applyNumberFormat="1" applyFont="1" applyAlignment="1">
      <alignment horizontal="right" vertical="center"/>
    </xf>
    <xf numFmtId="43" fontId="4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D59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4.4"/>
  <cols>
    <col min="1" max="1" width="5" customWidth="1"/>
    <col min="2" max="2" width="30" customWidth="1"/>
    <col min="3" max="15" width="19" customWidth="1"/>
    <col min="16" max="17" width="14" customWidth="1"/>
    <col min="18" max="56" width="11" customWidth="1"/>
  </cols>
  <sheetData>
    <row r="1" ht="19" customHeight="1" spans="1:17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23" t="s">
        <v>15</v>
      </c>
    </row>
    <row r="2" ht="19" customHeight="1" spans="1:17">
      <c r="B2" s="4" t="s">
        <v>16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>
        <f>SUM(C2:N2)</f>
        <v>0</v>
      </c>
      <c r="P2" s="5"/>
    </row>
    <row r="3" ht="19" customHeight="1" spans="1:17">
      <c r="A3" s="7"/>
      <c r="B3" s="8" t="s">
        <v>17</v>
      </c>
      <c r="C3" s="9">
        <f t="shared" ref="C3:N3" si="0">C5/(1-$P$11)</f>
        <v>48693750</v>
      </c>
      <c r="D3" s="9">
        <f t="shared" si="0"/>
        <v>39641975.308642</v>
      </c>
      <c r="E3" s="9">
        <f t="shared" si="0"/>
        <v>39696543.2098765</v>
      </c>
      <c r="F3" s="9">
        <f t="shared" si="0"/>
        <v>33168148.1481481</v>
      </c>
      <c r="G3" s="9">
        <f t="shared" si="0"/>
        <v>70671341.4634146</v>
      </c>
      <c r="H3" s="9">
        <f t="shared" si="0"/>
        <v>62217250</v>
      </c>
      <c r="I3" s="9">
        <f t="shared" si="0"/>
        <v>40116707.3170732</v>
      </c>
      <c r="J3" s="9">
        <f t="shared" si="0"/>
        <v>55324024.3902439</v>
      </c>
      <c r="K3" s="9">
        <f t="shared" si="0"/>
        <v>44130121.9512195</v>
      </c>
      <c r="L3" s="9">
        <f t="shared" si="0"/>
        <v>74365783.1325301</v>
      </c>
      <c r="M3" s="9">
        <f t="shared" si="0"/>
        <v>56338072.2891566</v>
      </c>
      <c r="N3" s="9">
        <f t="shared" si="0"/>
        <v>49275903.6144578</v>
      </c>
      <c r="O3" s="9">
        <f>SUM(C3:N3)</f>
        <v>613639620.824762</v>
      </c>
      <c r="P3" s="9"/>
    </row>
    <row r="4" ht="19" customHeight="1" spans="1:17">
      <c r="A4" s="124"/>
      <c r="B4" s="8" t="s">
        <v>18</v>
      </c>
      <c r="C4" s="9">
        <f t="shared" ref="C4:N4" si="1">C3*$P$11</f>
        <v>4869375</v>
      </c>
      <c r="D4" s="9">
        <f t="shared" si="1"/>
        <v>3964197.5308642</v>
      </c>
      <c r="E4" s="9">
        <f t="shared" si="1"/>
        <v>3969654.32098765</v>
      </c>
      <c r="F4" s="9">
        <f t="shared" si="1"/>
        <v>3316814.81481481</v>
      </c>
      <c r="G4" s="9">
        <f t="shared" si="1"/>
        <v>7067134.14634146</v>
      </c>
      <c r="H4" s="9">
        <f t="shared" si="1"/>
        <v>6221725</v>
      </c>
      <c r="I4" s="9">
        <f t="shared" si="1"/>
        <v>4011670.73170732</v>
      </c>
      <c r="J4" s="9">
        <f t="shared" si="1"/>
        <v>5532402.43902439</v>
      </c>
      <c r="K4" s="9">
        <f t="shared" si="1"/>
        <v>4413012.19512195</v>
      </c>
      <c r="L4" s="9">
        <f t="shared" si="1"/>
        <v>7436578.31325301</v>
      </c>
      <c r="M4" s="9">
        <f t="shared" si="1"/>
        <v>5633807.22891566</v>
      </c>
      <c r="N4" s="9">
        <f t="shared" si="1"/>
        <v>4927590.36144578</v>
      </c>
      <c r="O4" s="9">
        <f>SUM(C4:N4)</f>
        <v>61363962.0824763</v>
      </c>
      <c r="P4" s="9"/>
    </row>
    <row r="5" ht="19" customHeight="1" spans="1:17">
      <c r="A5" s="7"/>
      <c r="B5" s="12" t="s">
        <v>19</v>
      </c>
      <c r="C5" s="13">
        <v>43824375</v>
      </c>
      <c r="D5" s="13">
        <v>35677777.7777778</v>
      </c>
      <c r="E5" s="13">
        <v>35726888.8888889</v>
      </c>
      <c r="F5" s="13">
        <v>29851333.3333333</v>
      </c>
      <c r="G5" s="13">
        <v>63604207.3170732</v>
      </c>
      <c r="H5" s="13">
        <v>55995525</v>
      </c>
      <c r="I5" s="13">
        <v>36105036.5853659</v>
      </c>
      <c r="J5" s="13">
        <v>49791621.9512195</v>
      </c>
      <c r="K5" s="13">
        <v>39717109.7560976</v>
      </c>
      <c r="L5" s="13">
        <v>66929204.8192771</v>
      </c>
      <c r="M5" s="13">
        <v>50704265.060241</v>
      </c>
      <c r="N5" s="13">
        <v>44348313.2530121</v>
      </c>
      <c r="O5" s="13">
        <f>SUM(C5:N5)</f>
        <v>552275658.742286</v>
      </c>
      <c r="P5" s="13"/>
    </row>
    <row r="6" ht="19" customHeight="1" spans="1:17">
      <c r="A6" s="7"/>
      <c r="B6" s="14" t="s">
        <v>20</v>
      </c>
      <c r="C6" s="15">
        <v>0.2</v>
      </c>
      <c r="D6" s="15">
        <v>0.19</v>
      </c>
      <c r="E6" s="15">
        <v>0.19</v>
      </c>
      <c r="F6" s="15">
        <v>0.19</v>
      </c>
      <c r="G6" s="15">
        <v>0.18</v>
      </c>
      <c r="H6" s="15">
        <v>0.2</v>
      </c>
      <c r="I6" s="15">
        <v>0.18</v>
      </c>
      <c r="J6" s="15">
        <v>0.18</v>
      </c>
      <c r="K6" s="15">
        <v>0.18</v>
      </c>
      <c r="L6" s="15">
        <v>0.17</v>
      </c>
      <c r="M6" s="15">
        <v>0.17</v>
      </c>
      <c r="N6" s="15">
        <v>0.17</v>
      </c>
      <c r="O6" s="125">
        <f>1-O7/O5</f>
        <v>0.182515302180506</v>
      </c>
      <c r="P6" s="15"/>
    </row>
    <row r="7" ht="19" customHeight="1" spans="1:17">
      <c r="A7" s="7"/>
      <c r="B7" s="12" t="s">
        <v>21</v>
      </c>
      <c r="C7" s="13">
        <f t="shared" ref="C7:N7" si="2">C5*(1-C6)</f>
        <v>35059500</v>
      </c>
      <c r="D7" s="13">
        <f t="shared" si="2"/>
        <v>28899000</v>
      </c>
      <c r="E7" s="13">
        <f t="shared" si="2"/>
        <v>28938780</v>
      </c>
      <c r="F7" s="13">
        <f t="shared" si="2"/>
        <v>24179580</v>
      </c>
      <c r="G7" s="13">
        <f t="shared" si="2"/>
        <v>52155450</v>
      </c>
      <c r="H7" s="13">
        <f t="shared" si="2"/>
        <v>44796420</v>
      </c>
      <c r="I7" s="13">
        <f t="shared" si="2"/>
        <v>29606130</v>
      </c>
      <c r="J7" s="13">
        <f t="shared" si="2"/>
        <v>40829130</v>
      </c>
      <c r="K7" s="13">
        <f t="shared" si="2"/>
        <v>32568030</v>
      </c>
      <c r="L7" s="13">
        <f t="shared" si="2"/>
        <v>55551240</v>
      </c>
      <c r="M7" s="13">
        <f t="shared" si="2"/>
        <v>42084540</v>
      </c>
      <c r="N7" s="13">
        <f t="shared" si="2"/>
        <v>36809100</v>
      </c>
      <c r="O7" s="13">
        <f t="shared" ref="O7:O15" si="3">SUM(C7:N7)</f>
        <v>451476900</v>
      </c>
      <c r="P7" s="13"/>
    </row>
    <row r="8" ht="19" customHeight="1" spans="1:17">
      <c r="B8" s="4"/>
      <c r="C8" s="5">
        <f t="shared" ref="C8:N8" si="4">C3*(1-C6)</f>
        <v>38955000</v>
      </c>
      <c r="D8" s="5">
        <f t="shared" si="4"/>
        <v>32110000</v>
      </c>
      <c r="E8" s="5">
        <f t="shared" si="4"/>
        <v>32154200</v>
      </c>
      <c r="F8" s="5">
        <f t="shared" si="4"/>
        <v>26866200</v>
      </c>
      <c r="G8" s="5">
        <f t="shared" si="4"/>
        <v>57950500</v>
      </c>
      <c r="H8" s="5">
        <f t="shared" si="4"/>
        <v>49773800</v>
      </c>
      <c r="I8" s="5">
        <f t="shared" si="4"/>
        <v>32895700</v>
      </c>
      <c r="J8" s="5">
        <f t="shared" si="4"/>
        <v>45365700</v>
      </c>
      <c r="K8" s="5">
        <f t="shared" si="4"/>
        <v>36186700</v>
      </c>
      <c r="L8" s="5">
        <f t="shared" si="4"/>
        <v>61723600</v>
      </c>
      <c r="M8" s="5">
        <f t="shared" si="4"/>
        <v>46760600</v>
      </c>
      <c r="N8" s="5">
        <f t="shared" si="4"/>
        <v>40899000</v>
      </c>
      <c r="O8" s="13">
        <f t="shared" si="3"/>
        <v>501641000</v>
      </c>
      <c r="P8" s="28">
        <f>O8/O3</f>
        <v>0.817484697819494</v>
      </c>
    </row>
    <row r="9" ht="19" customHeight="1" spans="1:17">
      <c r="A9" s="7"/>
      <c r="B9" s="12" t="s">
        <v>22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>
        <f t="shared" si="3"/>
        <v>0</v>
      </c>
      <c r="P9" s="13"/>
    </row>
    <row r="10" ht="19" customHeight="1" spans="1:17">
      <c r="B10" s="17" t="s">
        <v>23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>
        <f t="shared" si="3"/>
        <v>0</v>
      </c>
      <c r="P10" s="18"/>
      <c r="Q10" s="67" t="s">
        <v>24</v>
      </c>
    </row>
    <row r="11" ht="19" customHeight="1" spans="1:17">
      <c r="B11" s="17" t="s">
        <v>25</v>
      </c>
      <c r="C11" s="18">
        <f t="shared" ref="C11:N11" si="5">C3*$P$11</f>
        <v>4869375</v>
      </c>
      <c r="D11" s="18">
        <f t="shared" si="5"/>
        <v>3964197.5308642</v>
      </c>
      <c r="E11" s="18">
        <f t="shared" si="5"/>
        <v>3969654.32098765</v>
      </c>
      <c r="F11" s="18">
        <f t="shared" si="5"/>
        <v>3316814.81481481</v>
      </c>
      <c r="G11" s="18">
        <f t="shared" si="5"/>
        <v>7067134.14634146</v>
      </c>
      <c r="H11" s="18">
        <f t="shared" si="5"/>
        <v>6221725</v>
      </c>
      <c r="I11" s="18">
        <f t="shared" si="5"/>
        <v>4011670.73170732</v>
      </c>
      <c r="J11" s="18">
        <f t="shared" si="5"/>
        <v>5532402.43902439</v>
      </c>
      <c r="K11" s="18">
        <f t="shared" si="5"/>
        <v>4413012.19512195</v>
      </c>
      <c r="L11" s="18">
        <f t="shared" si="5"/>
        <v>7436578.31325301</v>
      </c>
      <c r="M11" s="18">
        <f t="shared" si="5"/>
        <v>5633807.22891566</v>
      </c>
      <c r="N11" s="18">
        <f t="shared" si="5"/>
        <v>4927590.36144578</v>
      </c>
      <c r="O11" s="18">
        <f t="shared" si="3"/>
        <v>61363962.0824763</v>
      </c>
      <c r="P11" s="23">
        <v>0.1</v>
      </c>
      <c r="Q11" s="67" t="s">
        <v>26</v>
      </c>
    </row>
    <row r="12" ht="19" customHeight="1" spans="1:17">
      <c r="B12" s="17" t="s">
        <v>27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>
        <f t="shared" si="3"/>
        <v>0</v>
      </c>
      <c r="P12" s="18"/>
      <c r="Q12" s="67"/>
    </row>
    <row r="13" ht="19" customHeight="1" spans="1:17">
      <c r="B13" s="21" t="s">
        <v>28</v>
      </c>
      <c r="C13" s="22">
        <f t="shared" ref="C13:N13" si="6">SUM(C10:C12)</f>
        <v>4869375</v>
      </c>
      <c r="D13" s="22">
        <f t="shared" si="6"/>
        <v>3964197.5308642</v>
      </c>
      <c r="E13" s="22">
        <f t="shared" si="6"/>
        <v>3969654.32098765</v>
      </c>
      <c r="F13" s="22">
        <f t="shared" si="6"/>
        <v>3316814.81481481</v>
      </c>
      <c r="G13" s="22">
        <f t="shared" si="6"/>
        <v>7067134.14634146</v>
      </c>
      <c r="H13" s="22">
        <f t="shared" si="6"/>
        <v>6221725</v>
      </c>
      <c r="I13" s="22">
        <f t="shared" si="6"/>
        <v>4011670.73170732</v>
      </c>
      <c r="J13" s="22">
        <f t="shared" si="6"/>
        <v>5532402.43902439</v>
      </c>
      <c r="K13" s="22">
        <f t="shared" si="6"/>
        <v>4413012.19512195</v>
      </c>
      <c r="L13" s="22">
        <f t="shared" si="6"/>
        <v>7436578.31325301</v>
      </c>
      <c r="M13" s="22">
        <f t="shared" si="6"/>
        <v>5633807.22891566</v>
      </c>
      <c r="N13" s="22">
        <f t="shared" si="6"/>
        <v>4927590.36144578</v>
      </c>
      <c r="O13" s="22">
        <f t="shared" si="3"/>
        <v>61363962.0824763</v>
      </c>
      <c r="P13" s="22"/>
    </row>
    <row r="14" ht="19" customHeight="1" spans="1:17">
      <c r="A14" s="7"/>
      <c r="B14" s="12" t="s">
        <v>29</v>
      </c>
      <c r="C14" s="13">
        <f t="shared" ref="C14:N14" si="7">C7</f>
        <v>35059500</v>
      </c>
      <c r="D14" s="13">
        <f t="shared" si="7"/>
        <v>28899000</v>
      </c>
      <c r="E14" s="13">
        <f t="shared" si="7"/>
        <v>28938780</v>
      </c>
      <c r="F14" s="13">
        <f t="shared" si="7"/>
        <v>24179580</v>
      </c>
      <c r="G14" s="13">
        <f t="shared" si="7"/>
        <v>52155450</v>
      </c>
      <c r="H14" s="13">
        <f t="shared" si="7"/>
        <v>44796420</v>
      </c>
      <c r="I14" s="13">
        <f t="shared" si="7"/>
        <v>29606130</v>
      </c>
      <c r="J14" s="13">
        <f t="shared" si="7"/>
        <v>40829130</v>
      </c>
      <c r="K14" s="13">
        <f t="shared" si="7"/>
        <v>32568030</v>
      </c>
      <c r="L14" s="13">
        <f t="shared" si="7"/>
        <v>55551240</v>
      </c>
      <c r="M14" s="13">
        <f t="shared" si="7"/>
        <v>42084540</v>
      </c>
      <c r="N14" s="13">
        <f t="shared" si="7"/>
        <v>36809100</v>
      </c>
      <c r="O14" s="13">
        <f t="shared" si="3"/>
        <v>451476900</v>
      </c>
      <c r="P14" s="13"/>
    </row>
    <row r="15" ht="19" customHeight="1" spans="1:17">
      <c r="A15" s="7"/>
      <c r="B15" s="12" t="s">
        <v>30</v>
      </c>
      <c r="C15" s="13">
        <f t="shared" ref="C15:N15" si="8">+C7/1.13</f>
        <v>31026106.1946903</v>
      </c>
      <c r="D15" s="13">
        <f t="shared" si="8"/>
        <v>25574336.2831858</v>
      </c>
      <c r="E15" s="13">
        <f t="shared" si="8"/>
        <v>25609539.8230089</v>
      </c>
      <c r="F15" s="13">
        <f t="shared" si="8"/>
        <v>21397858.4070796</v>
      </c>
      <c r="G15" s="13">
        <f t="shared" si="8"/>
        <v>46155265.4867257</v>
      </c>
      <c r="H15" s="13">
        <f t="shared" si="8"/>
        <v>39642849.5575221</v>
      </c>
      <c r="I15" s="13">
        <f t="shared" si="8"/>
        <v>26200115.0442478</v>
      </c>
      <c r="J15" s="13">
        <f t="shared" si="8"/>
        <v>36131973.4513274</v>
      </c>
      <c r="K15" s="13">
        <f t="shared" si="8"/>
        <v>28821265.4867257</v>
      </c>
      <c r="L15" s="13">
        <f t="shared" si="8"/>
        <v>49160389.380531</v>
      </c>
      <c r="M15" s="13">
        <f t="shared" si="8"/>
        <v>37242955.7522124</v>
      </c>
      <c r="N15" s="13">
        <f t="shared" si="8"/>
        <v>32574424.7787611</v>
      </c>
      <c r="O15" s="13">
        <f t="shared" si="3"/>
        <v>399537079.646018</v>
      </c>
      <c r="P15" s="13"/>
    </row>
    <row r="16" ht="20" customHeight="1"/>
    <row r="17" ht="19" customHeight="1" spans="1:17">
      <c r="B17" s="17" t="s">
        <v>31</v>
      </c>
      <c r="C17" s="18">
        <f t="shared" ref="C17:N17" si="9">C15*(1-C22)</f>
        <v>15202792.0353982</v>
      </c>
      <c r="D17" s="18">
        <f t="shared" si="9"/>
        <v>12275681.4159292</v>
      </c>
      <c r="E17" s="18">
        <f t="shared" si="9"/>
        <v>12036483.7168142</v>
      </c>
      <c r="F17" s="18">
        <f t="shared" si="9"/>
        <v>9843014.86725664</v>
      </c>
      <c r="G17" s="18">
        <f t="shared" si="9"/>
        <v>20769869.4690265</v>
      </c>
      <c r="H17" s="18">
        <f t="shared" si="9"/>
        <v>17442853.8053097</v>
      </c>
      <c r="I17" s="18">
        <f t="shared" si="9"/>
        <v>11266049.4690266</v>
      </c>
      <c r="J17" s="18">
        <f t="shared" si="9"/>
        <v>14814109.1150442</v>
      </c>
      <c r="K17" s="18">
        <f t="shared" si="9"/>
        <v>11528506.1946903</v>
      </c>
      <c r="L17" s="18">
        <f t="shared" si="9"/>
        <v>19172551.8584071</v>
      </c>
      <c r="M17" s="18">
        <f t="shared" si="9"/>
        <v>14152323.1858407</v>
      </c>
      <c r="N17" s="18">
        <f t="shared" si="9"/>
        <v>12052537.1681416</v>
      </c>
      <c r="O17" s="18">
        <f>SUM(C17:N17)</f>
        <v>170556772.300885</v>
      </c>
      <c r="P17" s="23">
        <f>O17/O15</f>
        <v>0.426885966258739</v>
      </c>
    </row>
    <row r="18" ht="19" customHeight="1" spans="1:17">
      <c r="B18" s="21" t="s">
        <v>32</v>
      </c>
      <c r="C18" s="22">
        <f t="shared" ref="C18:N18" si="10">C15-C17</f>
        <v>15823314.159292</v>
      </c>
      <c r="D18" s="22">
        <f t="shared" si="10"/>
        <v>13298654.8672566</v>
      </c>
      <c r="E18" s="22">
        <f t="shared" si="10"/>
        <v>13573056.1061947</v>
      </c>
      <c r="F18" s="22">
        <f t="shared" si="10"/>
        <v>11554843.539823</v>
      </c>
      <c r="G18" s="22">
        <f t="shared" si="10"/>
        <v>25385396.0176991</v>
      </c>
      <c r="H18" s="22">
        <f t="shared" si="10"/>
        <v>22199995.7522124</v>
      </c>
      <c r="I18" s="22">
        <f t="shared" si="10"/>
        <v>14934065.5752212</v>
      </c>
      <c r="J18" s="22">
        <f t="shared" si="10"/>
        <v>21317864.3362832</v>
      </c>
      <c r="K18" s="22">
        <f t="shared" si="10"/>
        <v>17292759.2920354</v>
      </c>
      <c r="L18" s="22">
        <f t="shared" si="10"/>
        <v>29987837.5221239</v>
      </c>
      <c r="M18" s="22">
        <f t="shared" si="10"/>
        <v>23090632.5663717</v>
      </c>
      <c r="N18" s="22">
        <f t="shared" si="10"/>
        <v>20521887.6106195</v>
      </c>
      <c r="O18" s="22">
        <f>SUM(C18:N18)</f>
        <v>228980307.345133</v>
      </c>
      <c r="P18" s="24">
        <f>O18/$O$15</f>
        <v>0.573114033741261</v>
      </c>
    </row>
    <row r="19" ht="19" customHeight="1" spans="1:17">
      <c r="A19" s="5"/>
      <c r="B19" s="4" t="s">
        <v>33</v>
      </c>
      <c r="C19" s="25">
        <f t="shared" ref="C19:N19" si="11">C15*2.5%</f>
        <v>775652.654867257</v>
      </c>
      <c r="D19" s="25">
        <f t="shared" si="11"/>
        <v>639358.407079646</v>
      </c>
      <c r="E19" s="25">
        <f t="shared" si="11"/>
        <v>640238.495575221</v>
      </c>
      <c r="F19" s="25">
        <f t="shared" si="11"/>
        <v>534946.460176991</v>
      </c>
      <c r="G19" s="25">
        <f t="shared" si="11"/>
        <v>1153881.63716814</v>
      </c>
      <c r="H19" s="25">
        <f t="shared" si="11"/>
        <v>991071.238938053</v>
      </c>
      <c r="I19" s="25">
        <f t="shared" si="11"/>
        <v>655002.876106195</v>
      </c>
      <c r="J19" s="25">
        <f t="shared" si="11"/>
        <v>903299.336283186</v>
      </c>
      <c r="K19" s="25">
        <f t="shared" si="11"/>
        <v>720531.637168142</v>
      </c>
      <c r="L19" s="25">
        <f t="shared" si="11"/>
        <v>1229009.73451327</v>
      </c>
      <c r="M19" s="25">
        <f t="shared" si="11"/>
        <v>931073.89380531</v>
      </c>
      <c r="N19" s="25">
        <f t="shared" si="11"/>
        <v>814360.619469027</v>
      </c>
      <c r="O19" s="25">
        <f>SUM(C19:N19)</f>
        <v>9988426.99115044</v>
      </c>
      <c r="P19" s="26">
        <v>0.025</v>
      </c>
      <c r="Q19" s="67" t="s">
        <v>34</v>
      </c>
    </row>
    <row r="20" ht="19" customHeight="1" spans="1:17">
      <c r="B20" s="21" t="s">
        <v>35</v>
      </c>
      <c r="C20" s="22">
        <f t="shared" ref="C20:N20" si="12">SUM(C17,C19)</f>
        <v>15978444.6902655</v>
      </c>
      <c r="D20" s="22">
        <f t="shared" si="12"/>
        <v>12915039.8230089</v>
      </c>
      <c r="E20" s="22">
        <f t="shared" si="12"/>
        <v>12676722.2123894</v>
      </c>
      <c r="F20" s="22">
        <f t="shared" si="12"/>
        <v>10377961.3274336</v>
      </c>
      <c r="G20" s="22">
        <f t="shared" si="12"/>
        <v>21923751.1061947</v>
      </c>
      <c r="H20" s="22">
        <f t="shared" si="12"/>
        <v>18433925.0442478</v>
      </c>
      <c r="I20" s="22">
        <f t="shared" si="12"/>
        <v>11921052.3451327</v>
      </c>
      <c r="J20" s="22">
        <f t="shared" si="12"/>
        <v>15717408.4513274</v>
      </c>
      <c r="K20" s="22">
        <f t="shared" si="12"/>
        <v>12249037.8318584</v>
      </c>
      <c r="L20" s="22">
        <f t="shared" si="12"/>
        <v>20401561.5929204</v>
      </c>
      <c r="M20" s="22">
        <f t="shared" si="12"/>
        <v>15083397.079646</v>
      </c>
      <c r="N20" s="22">
        <f t="shared" si="12"/>
        <v>12866897.7876106</v>
      </c>
      <c r="O20" s="22">
        <f>SUM(C20:N20)</f>
        <v>180545199.292035</v>
      </c>
      <c r="P20" s="24">
        <f>O20/$O$15</f>
        <v>0.451885966258739</v>
      </c>
    </row>
    <row r="21" ht="19" customHeight="1" spans="1:17">
      <c r="A21" s="7"/>
      <c r="B21" s="12" t="s">
        <v>36</v>
      </c>
      <c r="C21" s="13">
        <f t="shared" ref="C21:N21" si="13">C15-C20</f>
        <v>15047661.5044248</v>
      </c>
      <c r="D21" s="13">
        <f t="shared" si="13"/>
        <v>12659296.460177</v>
      </c>
      <c r="E21" s="13">
        <f t="shared" si="13"/>
        <v>12932817.6106195</v>
      </c>
      <c r="F21" s="13">
        <f t="shared" si="13"/>
        <v>11019897.079646</v>
      </c>
      <c r="G21" s="13">
        <f t="shared" si="13"/>
        <v>24231514.380531</v>
      </c>
      <c r="H21" s="13">
        <f t="shared" si="13"/>
        <v>21208924.5132743</v>
      </c>
      <c r="I21" s="13">
        <f t="shared" si="13"/>
        <v>14279062.699115</v>
      </c>
      <c r="J21" s="13">
        <f t="shared" si="13"/>
        <v>20414565</v>
      </c>
      <c r="K21" s="13">
        <f t="shared" si="13"/>
        <v>16572227.6548673</v>
      </c>
      <c r="L21" s="13">
        <f t="shared" si="13"/>
        <v>28758827.7876106</v>
      </c>
      <c r="M21" s="13">
        <f t="shared" si="13"/>
        <v>22159558.6725664</v>
      </c>
      <c r="N21" s="13">
        <f t="shared" si="13"/>
        <v>19707526.9911504</v>
      </c>
      <c r="O21" s="13">
        <f>SUM(C21:N21)</f>
        <v>218991880.353982</v>
      </c>
      <c r="P21" s="27">
        <f>O21/$O$15</f>
        <v>0.548114033741261</v>
      </c>
    </row>
    <row r="22" ht="19" customHeight="1" spans="1:17">
      <c r="B22" s="14" t="s">
        <v>37</v>
      </c>
      <c r="C22" s="28">
        <v>0.51</v>
      </c>
      <c r="D22" s="28">
        <v>0.52</v>
      </c>
      <c r="E22" s="28">
        <v>0.53</v>
      </c>
      <c r="F22" s="28">
        <v>0.54</v>
      </c>
      <c r="G22" s="28">
        <v>0.55</v>
      </c>
      <c r="H22" s="28">
        <v>0.56</v>
      </c>
      <c r="I22" s="28">
        <v>0.57</v>
      </c>
      <c r="J22" s="28">
        <v>0.59</v>
      </c>
      <c r="K22" s="28">
        <v>0.6</v>
      </c>
      <c r="L22" s="28">
        <v>0.61</v>
      </c>
      <c r="M22" s="28">
        <v>0.62</v>
      </c>
      <c r="N22" s="28">
        <v>0.63</v>
      </c>
      <c r="O22" s="28">
        <f>O18/$O$15</f>
        <v>0.573114033741261</v>
      </c>
      <c r="P22" s="29"/>
    </row>
    <row r="23" ht="19" customHeight="1" spans="1:17">
      <c r="B23" s="14" t="s">
        <v>38</v>
      </c>
      <c r="C23" s="28">
        <f t="shared" ref="C23:O23" si="14">IFERROR(1-C20/C15,0)</f>
        <v>0.485</v>
      </c>
      <c r="D23" s="28">
        <f t="shared" si="14"/>
        <v>0.495</v>
      </c>
      <c r="E23" s="28">
        <f t="shared" si="14"/>
        <v>0.505</v>
      </c>
      <c r="F23" s="28">
        <f t="shared" si="14"/>
        <v>0.515</v>
      </c>
      <c r="G23" s="28">
        <f t="shared" si="14"/>
        <v>0.525</v>
      </c>
      <c r="H23" s="28">
        <f t="shared" si="14"/>
        <v>0.535</v>
      </c>
      <c r="I23" s="28">
        <f t="shared" si="14"/>
        <v>0.545</v>
      </c>
      <c r="J23" s="28">
        <f t="shared" si="14"/>
        <v>0.565</v>
      </c>
      <c r="K23" s="28">
        <f t="shared" si="14"/>
        <v>0.575</v>
      </c>
      <c r="L23" s="28">
        <f t="shared" si="14"/>
        <v>0.585</v>
      </c>
      <c r="M23" s="28">
        <f t="shared" si="14"/>
        <v>0.595</v>
      </c>
      <c r="N23" s="28">
        <f t="shared" si="14"/>
        <v>0.605</v>
      </c>
      <c r="O23" s="28">
        <f t="shared" si="14"/>
        <v>0.548114033741261</v>
      </c>
      <c r="P23" s="29"/>
    </row>
    <row r="24" ht="19" customHeight="1" spans="1:17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29"/>
    </row>
    <row r="25" ht="19" customHeight="1" spans="1:17">
      <c r="B25" s="17" t="s">
        <v>39</v>
      </c>
      <c r="C25" s="18">
        <f t="shared" ref="C25:N25" si="15">SUM(C26:C30)</f>
        <v>3723132.74336283</v>
      </c>
      <c r="D25" s="18">
        <f t="shared" si="15"/>
        <v>1022973.45132743</v>
      </c>
      <c r="E25" s="18">
        <f t="shared" si="15"/>
        <v>2560953.98230089</v>
      </c>
      <c r="F25" s="18">
        <f t="shared" si="15"/>
        <v>1069892.92035398</v>
      </c>
      <c r="G25" s="18">
        <f t="shared" si="15"/>
        <v>5538631.85840708</v>
      </c>
      <c r="H25" s="18">
        <f t="shared" si="15"/>
        <v>2774999.46902655</v>
      </c>
      <c r="I25" s="18">
        <f t="shared" si="15"/>
        <v>1572006.90265487</v>
      </c>
      <c r="J25" s="18">
        <f t="shared" si="15"/>
        <v>2167918.40707965</v>
      </c>
      <c r="K25" s="18">
        <f t="shared" si="15"/>
        <v>864637.96460177</v>
      </c>
      <c r="L25" s="18">
        <f t="shared" si="15"/>
        <v>3932831.15044248</v>
      </c>
      <c r="M25" s="18">
        <f t="shared" si="15"/>
        <v>1862147.78761062</v>
      </c>
      <c r="N25" s="18">
        <f t="shared" si="15"/>
        <v>1302976.99115044</v>
      </c>
      <c r="O25" s="18">
        <f t="shared" ref="O25:O30" si="16">SUM(C25:N25)</f>
        <v>28393103.6283186</v>
      </c>
      <c r="P25" s="23">
        <f t="shared" ref="P25:P30" si="17">O25/$O$15</f>
        <v>0.0710650026612657</v>
      </c>
    </row>
    <row r="26" ht="19" customHeight="1" spans="1:17">
      <c r="A26" s="5"/>
      <c r="B26" s="4" t="s">
        <v>40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5">
        <f t="shared" si="16"/>
        <v>0</v>
      </c>
      <c r="P26" s="29">
        <f t="shared" si="17"/>
        <v>0</v>
      </c>
      <c r="Q26" s="78"/>
    </row>
    <row r="27" ht="19" customHeight="1" spans="1:17">
      <c r="A27" s="5"/>
      <c r="B27" s="4" t="s">
        <v>41</v>
      </c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5">
        <f t="shared" si="16"/>
        <v>0</v>
      </c>
      <c r="P27" s="29">
        <f t="shared" si="17"/>
        <v>0</v>
      </c>
      <c r="Q27" s="78"/>
    </row>
    <row r="28" ht="19" customHeight="1" spans="1:17">
      <c r="A28" s="5"/>
      <c r="B28" s="4" t="s">
        <v>42</v>
      </c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5">
        <f t="shared" si="16"/>
        <v>0</v>
      </c>
      <c r="P28" s="29">
        <f t="shared" si="17"/>
        <v>0</v>
      </c>
    </row>
    <row r="29" ht="19" customHeight="1" spans="1:17">
      <c r="A29" s="5"/>
      <c r="B29" s="4" t="s">
        <v>43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5">
        <f t="shared" si="16"/>
        <v>0</v>
      </c>
      <c r="P29" s="29">
        <f t="shared" si="17"/>
        <v>0</v>
      </c>
    </row>
    <row r="30" ht="19" customHeight="1" spans="1:17">
      <c r="A30" s="5"/>
      <c r="B30" s="4" t="s">
        <v>44</v>
      </c>
      <c r="C30" s="30">
        <f t="shared" ref="C30:N30" si="18">C15*C35</f>
        <v>3723132.74336283</v>
      </c>
      <c r="D30" s="30">
        <f t="shared" si="18"/>
        <v>1022973.45132743</v>
      </c>
      <c r="E30" s="30">
        <f t="shared" si="18"/>
        <v>2560953.98230089</v>
      </c>
      <c r="F30" s="30">
        <f t="shared" si="18"/>
        <v>1069892.92035398</v>
      </c>
      <c r="G30" s="30">
        <f t="shared" si="18"/>
        <v>5538631.85840708</v>
      </c>
      <c r="H30" s="30">
        <f t="shared" si="18"/>
        <v>2774999.46902655</v>
      </c>
      <c r="I30" s="30">
        <f t="shared" si="18"/>
        <v>1572006.90265487</v>
      </c>
      <c r="J30" s="30">
        <f t="shared" si="18"/>
        <v>2167918.40707965</v>
      </c>
      <c r="K30" s="30">
        <f t="shared" si="18"/>
        <v>864637.96460177</v>
      </c>
      <c r="L30" s="30">
        <f t="shared" si="18"/>
        <v>3932831.15044248</v>
      </c>
      <c r="M30" s="30">
        <f t="shared" si="18"/>
        <v>1862147.78761062</v>
      </c>
      <c r="N30" s="30">
        <f t="shared" si="18"/>
        <v>1302976.99115044</v>
      </c>
      <c r="O30" s="5">
        <f t="shared" si="16"/>
        <v>28393103.6283186</v>
      </c>
      <c r="P30" s="29">
        <f t="shared" si="17"/>
        <v>0.0710650026612657</v>
      </c>
    </row>
    <row r="31" ht="19" customHeight="1" outlineLevel="1" spans="1:17">
      <c r="A31" s="5"/>
      <c r="B31" s="4" t="s">
        <v>45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29"/>
    </row>
    <row r="32" ht="19" customHeight="1" outlineLevel="1" spans="1:17">
      <c r="A32" s="5"/>
      <c r="B32" s="4" t="s">
        <v>46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29"/>
    </row>
    <row r="33" ht="19" customHeight="1" outlineLevel="1" spans="1:17">
      <c r="A33" s="5"/>
      <c r="B33" s="4" t="s">
        <v>47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29"/>
    </row>
    <row r="34" ht="19" customHeight="1" outlineLevel="1" spans="1:17">
      <c r="A34" s="5"/>
      <c r="B34" s="4" t="s">
        <v>48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29"/>
    </row>
    <row r="35" ht="19" customHeight="1" outlineLevel="1" spans="1:17">
      <c r="A35" s="5"/>
      <c r="B35" s="4" t="s">
        <v>49</v>
      </c>
      <c r="C35" s="16">
        <v>0.12</v>
      </c>
      <c r="D35" s="16">
        <v>0.04</v>
      </c>
      <c r="E35" s="16">
        <v>0.1</v>
      </c>
      <c r="F35" s="16">
        <v>0.05</v>
      </c>
      <c r="G35" s="16">
        <v>0.12</v>
      </c>
      <c r="H35" s="16">
        <v>0.07</v>
      </c>
      <c r="I35" s="16">
        <v>0.06</v>
      </c>
      <c r="J35" s="16">
        <v>0.06</v>
      </c>
      <c r="K35" s="16">
        <v>0.03</v>
      </c>
      <c r="L35" s="16">
        <v>0.08</v>
      </c>
      <c r="M35" s="16">
        <v>0.05</v>
      </c>
      <c r="N35" s="16">
        <v>0.04</v>
      </c>
      <c r="O35" s="5"/>
      <c r="P35" s="29"/>
    </row>
    <row r="36" ht="19" customHeight="1" spans="1:17">
      <c r="B36" s="17" t="s">
        <v>50</v>
      </c>
      <c r="C36" s="18">
        <f t="shared" ref="C36:N36" si="19">SUM(C37:C39)</f>
        <v>6825743.36283186</v>
      </c>
      <c r="D36" s="18">
        <f t="shared" si="19"/>
        <v>5626353.98230089</v>
      </c>
      <c r="E36" s="18">
        <f t="shared" si="19"/>
        <v>5634098.76106195</v>
      </c>
      <c r="F36" s="18">
        <f t="shared" si="19"/>
        <v>4707528.84955752</v>
      </c>
      <c r="G36" s="18">
        <f t="shared" si="19"/>
        <v>10154158.4070796</v>
      </c>
      <c r="H36" s="18">
        <f t="shared" si="19"/>
        <v>8721426.90265487</v>
      </c>
      <c r="I36" s="18">
        <f t="shared" si="19"/>
        <v>5764025.30973451</v>
      </c>
      <c r="J36" s="18">
        <f t="shared" si="19"/>
        <v>7949034.15929204</v>
      </c>
      <c r="K36" s="18">
        <f t="shared" si="19"/>
        <v>6340678.40707965</v>
      </c>
      <c r="L36" s="18">
        <f t="shared" si="19"/>
        <v>10815285.6637168</v>
      </c>
      <c r="M36" s="18">
        <f t="shared" si="19"/>
        <v>8193450.26548673</v>
      </c>
      <c r="N36" s="18">
        <f t="shared" si="19"/>
        <v>7166373.45132743</v>
      </c>
      <c r="O36" s="18">
        <f>SUM(C36:N36)</f>
        <v>87898157.5221239</v>
      </c>
      <c r="P36" s="23">
        <f>O36/$O$15</f>
        <v>0.22</v>
      </c>
    </row>
    <row r="37" ht="19" customHeight="1" spans="1:17">
      <c r="A37" s="5"/>
      <c r="B37" s="4" t="s">
        <v>51</v>
      </c>
      <c r="C37" s="31">
        <f t="shared" ref="C37:N37" si="20">C$15*C40</f>
        <v>4343654.86725664</v>
      </c>
      <c r="D37" s="31">
        <f t="shared" si="20"/>
        <v>3580407.07964602</v>
      </c>
      <c r="E37" s="31">
        <f t="shared" si="20"/>
        <v>3585335.57522124</v>
      </c>
      <c r="F37" s="31">
        <f t="shared" si="20"/>
        <v>2995700.17699115</v>
      </c>
      <c r="G37" s="31">
        <f t="shared" si="20"/>
        <v>6461737.16814159</v>
      </c>
      <c r="H37" s="31">
        <f t="shared" si="20"/>
        <v>5549998.9380531</v>
      </c>
      <c r="I37" s="31">
        <f t="shared" si="20"/>
        <v>3668016.10619469</v>
      </c>
      <c r="J37" s="31">
        <f t="shared" si="20"/>
        <v>5058476.28318584</v>
      </c>
      <c r="K37" s="31">
        <f t="shared" si="20"/>
        <v>4034977.16814159</v>
      </c>
      <c r="L37" s="31">
        <f t="shared" si="20"/>
        <v>6882454.51327434</v>
      </c>
      <c r="M37" s="31">
        <f t="shared" si="20"/>
        <v>5214013.80530974</v>
      </c>
      <c r="N37" s="31">
        <f t="shared" si="20"/>
        <v>4560419.46902655</v>
      </c>
      <c r="O37" s="5">
        <f>SUM(C37:N37)</f>
        <v>55935191.1504425</v>
      </c>
      <c r="P37" s="29">
        <f>O37/$O$15</f>
        <v>0.14</v>
      </c>
      <c r="Q37" s="67" t="s">
        <v>52</v>
      </c>
    </row>
    <row r="38" ht="19" customHeight="1" spans="1:17">
      <c r="A38" s="5"/>
      <c r="B38" s="4" t="s">
        <v>53</v>
      </c>
      <c r="C38" s="31">
        <f t="shared" ref="C38:N38" si="21">C$15*C41</f>
        <v>1861566.37168142</v>
      </c>
      <c r="D38" s="31">
        <f t="shared" si="21"/>
        <v>1534460.17699115</v>
      </c>
      <c r="E38" s="31">
        <f t="shared" si="21"/>
        <v>1536572.38938053</v>
      </c>
      <c r="F38" s="31">
        <f t="shared" si="21"/>
        <v>1283871.50442478</v>
      </c>
      <c r="G38" s="31">
        <f t="shared" si="21"/>
        <v>2769315.92920354</v>
      </c>
      <c r="H38" s="31">
        <f t="shared" si="21"/>
        <v>2378570.97345133</v>
      </c>
      <c r="I38" s="31">
        <f t="shared" si="21"/>
        <v>1572006.90265487</v>
      </c>
      <c r="J38" s="31">
        <f t="shared" si="21"/>
        <v>2167918.40707965</v>
      </c>
      <c r="K38" s="31">
        <f t="shared" si="21"/>
        <v>1729275.92920354</v>
      </c>
      <c r="L38" s="31">
        <f t="shared" si="21"/>
        <v>2949623.36283186</v>
      </c>
      <c r="M38" s="31">
        <f t="shared" si="21"/>
        <v>2234577.34513274</v>
      </c>
      <c r="N38" s="31">
        <f t="shared" si="21"/>
        <v>1954465.48672566</v>
      </c>
      <c r="O38" s="5">
        <f>SUM(C38:N38)</f>
        <v>23972224.7787611</v>
      </c>
      <c r="P38" s="29">
        <f>O38/$O$15</f>
        <v>0.06</v>
      </c>
      <c r="Q38" s="67" t="s">
        <v>54</v>
      </c>
    </row>
    <row r="39" ht="19" customHeight="1" spans="1:17">
      <c r="A39" s="5"/>
      <c r="B39" s="4" t="s">
        <v>55</v>
      </c>
      <c r="C39" s="31">
        <f t="shared" ref="C39:N39" si="22">C$15*C42</f>
        <v>620522.123893805</v>
      </c>
      <c r="D39" s="31">
        <f t="shared" si="22"/>
        <v>511486.725663717</v>
      </c>
      <c r="E39" s="31">
        <f t="shared" si="22"/>
        <v>512190.796460177</v>
      </c>
      <c r="F39" s="31">
        <f t="shared" si="22"/>
        <v>427957.168141593</v>
      </c>
      <c r="G39" s="31">
        <f t="shared" si="22"/>
        <v>923105.309734513</v>
      </c>
      <c r="H39" s="31">
        <f t="shared" si="22"/>
        <v>792856.991150443</v>
      </c>
      <c r="I39" s="31">
        <f t="shared" si="22"/>
        <v>524002.300884956</v>
      </c>
      <c r="J39" s="31">
        <f t="shared" si="22"/>
        <v>722639.469026549</v>
      </c>
      <c r="K39" s="31">
        <f t="shared" si="22"/>
        <v>576425.309734513</v>
      </c>
      <c r="L39" s="31">
        <f t="shared" si="22"/>
        <v>983207.78761062</v>
      </c>
      <c r="M39" s="31">
        <f t="shared" si="22"/>
        <v>744859.115044248</v>
      </c>
      <c r="N39" s="31">
        <f t="shared" si="22"/>
        <v>651488.495575221</v>
      </c>
      <c r="O39" s="5">
        <f>SUM(C39:N39)</f>
        <v>7990741.59292035</v>
      </c>
      <c r="P39" s="29">
        <f>O39/$O$15</f>
        <v>0.02</v>
      </c>
      <c r="Q39" s="67" t="s">
        <v>56</v>
      </c>
    </row>
    <row r="40" ht="19" customHeight="1" outlineLevel="1" spans="1:17">
      <c r="A40" s="5"/>
      <c r="B40" s="4" t="s">
        <v>57</v>
      </c>
      <c r="C40" s="16">
        <v>0.14</v>
      </c>
      <c r="D40" s="16">
        <v>0.14</v>
      </c>
      <c r="E40" s="16">
        <v>0.14</v>
      </c>
      <c r="F40" s="16">
        <v>0.14</v>
      </c>
      <c r="G40" s="16">
        <v>0.14</v>
      </c>
      <c r="H40" s="16">
        <v>0.14</v>
      </c>
      <c r="I40" s="16">
        <v>0.14</v>
      </c>
      <c r="J40" s="16">
        <v>0.14</v>
      </c>
      <c r="K40" s="16">
        <v>0.14</v>
      </c>
      <c r="L40" s="16">
        <v>0.14</v>
      </c>
      <c r="M40" s="16">
        <v>0.14</v>
      </c>
      <c r="N40" s="16">
        <v>0.14</v>
      </c>
      <c r="O40" s="29">
        <f>O37/$O$15</f>
        <v>0.14</v>
      </c>
      <c r="Q40" s="78"/>
    </row>
    <row r="41" ht="19" customHeight="1" outlineLevel="1" spans="1:17">
      <c r="A41" s="5"/>
      <c r="B41" s="4" t="s">
        <v>58</v>
      </c>
      <c r="C41" s="16">
        <v>0.06</v>
      </c>
      <c r="D41" s="16">
        <v>0.06</v>
      </c>
      <c r="E41" s="16">
        <v>0.06</v>
      </c>
      <c r="F41" s="16">
        <v>0.06</v>
      </c>
      <c r="G41" s="16">
        <v>0.06</v>
      </c>
      <c r="H41" s="16">
        <v>0.06</v>
      </c>
      <c r="I41" s="16">
        <v>0.06</v>
      </c>
      <c r="J41" s="16">
        <v>0.06</v>
      </c>
      <c r="K41" s="16">
        <v>0.06</v>
      </c>
      <c r="L41" s="16">
        <v>0.06</v>
      </c>
      <c r="M41" s="16">
        <v>0.06</v>
      </c>
      <c r="N41" s="16">
        <v>0.06</v>
      </c>
      <c r="O41" s="29">
        <f>O38/$O$15</f>
        <v>0.06</v>
      </c>
      <c r="Q41" s="78"/>
    </row>
    <row r="42" ht="19" customHeight="1" outlineLevel="1" spans="1:17">
      <c r="A42" s="5"/>
      <c r="B42" s="4" t="s">
        <v>59</v>
      </c>
      <c r="C42" s="16">
        <v>0.02</v>
      </c>
      <c r="D42" s="16">
        <v>0.02</v>
      </c>
      <c r="E42" s="16">
        <v>0.02</v>
      </c>
      <c r="F42" s="16">
        <v>0.02</v>
      </c>
      <c r="G42" s="16">
        <v>0.02</v>
      </c>
      <c r="H42" s="16">
        <v>0.02</v>
      </c>
      <c r="I42" s="16">
        <v>0.02</v>
      </c>
      <c r="J42" s="16">
        <v>0.02</v>
      </c>
      <c r="K42" s="16">
        <v>0.02</v>
      </c>
      <c r="L42" s="16">
        <v>0.02</v>
      </c>
      <c r="M42" s="16">
        <v>0.02</v>
      </c>
      <c r="N42" s="16">
        <v>0.02</v>
      </c>
      <c r="O42" s="29">
        <f>O39/$O$15</f>
        <v>0.02</v>
      </c>
      <c r="Q42" s="78"/>
    </row>
    <row r="43" ht="19" customHeight="1" spans="1:17">
      <c r="B43" s="17" t="s">
        <v>60</v>
      </c>
      <c r="C43" s="18">
        <f t="shared" ref="C43:N43" si="23">SUM(C44:C45)</f>
        <v>930783.185840708</v>
      </c>
      <c r="D43" s="18">
        <f t="shared" si="23"/>
        <v>767230.088495575</v>
      </c>
      <c r="E43" s="18">
        <f t="shared" si="23"/>
        <v>768286.194690265</v>
      </c>
      <c r="F43" s="18">
        <f t="shared" si="23"/>
        <v>641935.752212389</v>
      </c>
      <c r="G43" s="18">
        <f t="shared" si="23"/>
        <v>1384657.96460177</v>
      </c>
      <c r="H43" s="18">
        <f t="shared" si="23"/>
        <v>1189285.48672566</v>
      </c>
      <c r="I43" s="18">
        <f t="shared" si="23"/>
        <v>786003.451327434</v>
      </c>
      <c r="J43" s="18">
        <f t="shared" si="23"/>
        <v>1083959.20353982</v>
      </c>
      <c r="K43" s="18">
        <f t="shared" si="23"/>
        <v>864637.96460177</v>
      </c>
      <c r="L43" s="18">
        <f t="shared" si="23"/>
        <v>1474811.68141593</v>
      </c>
      <c r="M43" s="18">
        <f t="shared" si="23"/>
        <v>1117288.67256637</v>
      </c>
      <c r="N43" s="18">
        <f t="shared" si="23"/>
        <v>977232.743362832</v>
      </c>
      <c r="O43" s="18">
        <f t="shared" ref="O43:O59" si="24">SUM(C43:N43)</f>
        <v>11986112.3893805</v>
      </c>
      <c r="P43" s="23">
        <f>O43/$O$15</f>
        <v>0.03</v>
      </c>
    </row>
    <row r="44" ht="19" customHeight="1" spans="1:17">
      <c r="A44" s="5"/>
      <c r="B44" s="4" t="s">
        <v>61</v>
      </c>
      <c r="C44" s="30">
        <f t="shared" ref="C44:N44" si="25">C15*$P$44</f>
        <v>310261.061946903</v>
      </c>
      <c r="D44" s="30">
        <f t="shared" si="25"/>
        <v>255743.362831858</v>
      </c>
      <c r="E44" s="30">
        <f t="shared" si="25"/>
        <v>256095.398230088</v>
      </c>
      <c r="F44" s="30">
        <f t="shared" si="25"/>
        <v>213978.584070796</v>
      </c>
      <c r="G44" s="30">
        <f t="shared" si="25"/>
        <v>461552.654867257</v>
      </c>
      <c r="H44" s="30">
        <f t="shared" si="25"/>
        <v>396428.495575221</v>
      </c>
      <c r="I44" s="30">
        <f t="shared" si="25"/>
        <v>262001.150442478</v>
      </c>
      <c r="J44" s="30">
        <f t="shared" si="25"/>
        <v>361319.734513274</v>
      </c>
      <c r="K44" s="30">
        <f t="shared" si="25"/>
        <v>288212.654867257</v>
      </c>
      <c r="L44" s="30">
        <f t="shared" si="25"/>
        <v>491603.89380531</v>
      </c>
      <c r="M44" s="30">
        <f t="shared" si="25"/>
        <v>372429.557522124</v>
      </c>
      <c r="N44" s="30">
        <f t="shared" si="25"/>
        <v>325744.247787611</v>
      </c>
      <c r="O44" s="5">
        <f t="shared" si="24"/>
        <v>3995370.79646018</v>
      </c>
      <c r="P44" s="29">
        <v>0.01</v>
      </c>
      <c r="Q44" s="67" t="s">
        <v>62</v>
      </c>
    </row>
    <row r="45" ht="19" customHeight="1" spans="1:17">
      <c r="A45" s="5"/>
      <c r="B45" s="4" t="s">
        <v>63</v>
      </c>
      <c r="C45" s="30">
        <f t="shared" ref="C45:N45" si="26">C15*$P$45</f>
        <v>620522.123893805</v>
      </c>
      <c r="D45" s="30">
        <f t="shared" si="26"/>
        <v>511486.725663717</v>
      </c>
      <c r="E45" s="30">
        <f t="shared" si="26"/>
        <v>512190.796460177</v>
      </c>
      <c r="F45" s="30">
        <f t="shared" si="26"/>
        <v>427957.168141593</v>
      </c>
      <c r="G45" s="30">
        <f t="shared" si="26"/>
        <v>923105.309734513</v>
      </c>
      <c r="H45" s="30">
        <f t="shared" si="26"/>
        <v>792856.991150443</v>
      </c>
      <c r="I45" s="30">
        <f t="shared" si="26"/>
        <v>524002.300884956</v>
      </c>
      <c r="J45" s="30">
        <f t="shared" si="26"/>
        <v>722639.469026549</v>
      </c>
      <c r="K45" s="30">
        <f t="shared" si="26"/>
        <v>576425.309734513</v>
      </c>
      <c r="L45" s="30">
        <f t="shared" si="26"/>
        <v>983207.78761062</v>
      </c>
      <c r="M45" s="30">
        <f t="shared" si="26"/>
        <v>744859.115044248</v>
      </c>
      <c r="N45" s="30">
        <f t="shared" si="26"/>
        <v>651488.495575221</v>
      </c>
      <c r="O45" s="5">
        <f t="shared" si="24"/>
        <v>7990741.59292035</v>
      </c>
      <c r="P45" s="29">
        <v>0.02</v>
      </c>
      <c r="Q45" s="78" t="s">
        <v>64</v>
      </c>
    </row>
    <row r="46" ht="19" customHeight="1" spans="1:17">
      <c r="B46" s="17" t="s">
        <v>65</v>
      </c>
      <c r="C46" s="18">
        <f t="shared" ref="C46:N46" si="27">SUM(C47:C50)</f>
        <v>0</v>
      </c>
      <c r="D46" s="18">
        <f t="shared" si="27"/>
        <v>0</v>
      </c>
      <c r="E46" s="18">
        <f t="shared" si="27"/>
        <v>0</v>
      </c>
      <c r="F46" s="18">
        <f t="shared" si="27"/>
        <v>0</v>
      </c>
      <c r="G46" s="18">
        <f t="shared" si="27"/>
        <v>0</v>
      </c>
      <c r="H46" s="18">
        <f t="shared" si="27"/>
        <v>0</v>
      </c>
      <c r="I46" s="18">
        <f t="shared" si="27"/>
        <v>0</v>
      </c>
      <c r="J46" s="18">
        <f t="shared" si="27"/>
        <v>0</v>
      </c>
      <c r="K46" s="18">
        <f t="shared" si="27"/>
        <v>0</v>
      </c>
      <c r="L46" s="18">
        <f t="shared" si="27"/>
        <v>0</v>
      </c>
      <c r="M46" s="18">
        <f t="shared" si="27"/>
        <v>0</v>
      </c>
      <c r="N46" s="18">
        <f t="shared" si="27"/>
        <v>0</v>
      </c>
      <c r="O46" s="18">
        <f t="shared" si="24"/>
        <v>0</v>
      </c>
      <c r="P46" s="23">
        <f t="shared" ref="P46:P51" si="28">O46/$O$15</f>
        <v>0</v>
      </c>
    </row>
    <row r="47" ht="19" customHeight="1" spans="1:17">
      <c r="A47" s="5"/>
      <c r="B47" s="4" t="s">
        <v>66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5">
        <f t="shared" si="24"/>
        <v>0</v>
      </c>
      <c r="P47" s="29">
        <f t="shared" si="28"/>
        <v>0</v>
      </c>
      <c r="Q47" s="78"/>
    </row>
    <row r="48" ht="19" customHeight="1" spans="1:17">
      <c r="A48" s="5"/>
      <c r="B48" s="4" t="s">
        <v>67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5">
        <f t="shared" si="24"/>
        <v>0</v>
      </c>
      <c r="P48" s="29">
        <f t="shared" si="28"/>
        <v>0</v>
      </c>
      <c r="Q48" s="78"/>
    </row>
    <row r="49" ht="19" customHeight="1" spans="1:56">
      <c r="A49" s="5"/>
      <c r="B49" s="4" t="s">
        <v>68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5">
        <f t="shared" si="24"/>
        <v>0</v>
      </c>
      <c r="P49" s="29">
        <f t="shared" si="28"/>
        <v>0</v>
      </c>
      <c r="Q49" s="78"/>
    </row>
    <row r="50" ht="19" customHeight="1" spans="1:56">
      <c r="B50" s="4" t="s">
        <v>69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5">
        <f t="shared" si="24"/>
        <v>0</v>
      </c>
      <c r="P50" s="29">
        <f t="shared" si="28"/>
        <v>0</v>
      </c>
    </row>
    <row r="51" ht="19" customHeight="1" spans="1:56">
      <c r="B51" s="21" t="s">
        <v>70</v>
      </c>
      <c r="C51" s="22">
        <f t="shared" ref="C51:N51" si="29">SUM(C25,C36,C43,C46)</f>
        <v>11479659.2920354</v>
      </c>
      <c r="D51" s="22">
        <f t="shared" si="29"/>
        <v>7416557.5221239</v>
      </c>
      <c r="E51" s="22">
        <f t="shared" si="29"/>
        <v>8963338.9380531</v>
      </c>
      <c r="F51" s="22">
        <f t="shared" si="29"/>
        <v>6419357.5221239</v>
      </c>
      <c r="G51" s="22">
        <f t="shared" si="29"/>
        <v>17077448.2300885</v>
      </c>
      <c r="H51" s="22">
        <f t="shared" si="29"/>
        <v>12685711.8584071</v>
      </c>
      <c r="I51" s="22">
        <f t="shared" si="29"/>
        <v>8122035.66371682</v>
      </c>
      <c r="J51" s="22">
        <f t="shared" si="29"/>
        <v>11200911.7699115</v>
      </c>
      <c r="K51" s="22">
        <f t="shared" si="29"/>
        <v>8069954.33628319</v>
      </c>
      <c r="L51" s="22">
        <f t="shared" si="29"/>
        <v>16222928.4955752</v>
      </c>
      <c r="M51" s="22">
        <f t="shared" si="29"/>
        <v>11172886.7256637</v>
      </c>
      <c r="N51" s="22">
        <f t="shared" si="29"/>
        <v>9446583.18584071</v>
      </c>
      <c r="O51" s="22">
        <f t="shared" si="24"/>
        <v>128277373.539823</v>
      </c>
      <c r="P51" s="24">
        <f t="shared" si="28"/>
        <v>0.321065002661266</v>
      </c>
    </row>
    <row r="52" ht="19" customHeight="1" spans="1:56">
      <c r="A52" s="5"/>
      <c r="B52" s="4" t="s">
        <v>71</v>
      </c>
      <c r="C52" s="30">
        <f t="shared" ref="C52:N52" si="30">C15*$P$52</f>
        <v>1644383.62831858</v>
      </c>
      <c r="D52" s="30">
        <f t="shared" si="30"/>
        <v>1355439.82300885</v>
      </c>
      <c r="E52" s="30">
        <f t="shared" si="30"/>
        <v>1357305.61061947</v>
      </c>
      <c r="F52" s="30">
        <f t="shared" si="30"/>
        <v>1134086.49557522</v>
      </c>
      <c r="G52" s="30">
        <f t="shared" si="30"/>
        <v>2446229.07079646</v>
      </c>
      <c r="H52" s="30">
        <f t="shared" si="30"/>
        <v>2101071.02654867</v>
      </c>
      <c r="I52" s="30">
        <f t="shared" si="30"/>
        <v>1388606.09734513</v>
      </c>
      <c r="J52" s="30">
        <f t="shared" si="30"/>
        <v>1914994.59292035</v>
      </c>
      <c r="K52" s="30">
        <f t="shared" si="30"/>
        <v>1527527.07079646</v>
      </c>
      <c r="L52" s="30">
        <f t="shared" si="30"/>
        <v>2605500.63716814</v>
      </c>
      <c r="M52" s="30">
        <f t="shared" si="30"/>
        <v>1973876.65486726</v>
      </c>
      <c r="N52" s="30">
        <f t="shared" si="30"/>
        <v>1726444.51327434</v>
      </c>
      <c r="O52" s="5">
        <f t="shared" si="24"/>
        <v>21175465.2212389</v>
      </c>
      <c r="P52" s="29">
        <v>0.053</v>
      </c>
      <c r="Q52" s="78" t="s">
        <v>72</v>
      </c>
    </row>
    <row r="53" ht="19" customHeight="1" spans="1:56">
      <c r="A53" s="5"/>
      <c r="B53" s="4" t="s">
        <v>73</v>
      </c>
      <c r="C53" s="30">
        <f t="shared" ref="C53:N53" si="31">C15*$P$53</f>
        <v>434365.486725664</v>
      </c>
      <c r="D53" s="30">
        <f t="shared" si="31"/>
        <v>358040.707964602</v>
      </c>
      <c r="E53" s="30">
        <f t="shared" si="31"/>
        <v>358533.557522124</v>
      </c>
      <c r="F53" s="30">
        <f t="shared" si="31"/>
        <v>299570.017699115</v>
      </c>
      <c r="G53" s="30">
        <f t="shared" si="31"/>
        <v>646173.716814159</v>
      </c>
      <c r="H53" s="30">
        <f t="shared" si="31"/>
        <v>554999.89380531</v>
      </c>
      <c r="I53" s="30">
        <f t="shared" si="31"/>
        <v>366801.610619469</v>
      </c>
      <c r="J53" s="30">
        <f t="shared" si="31"/>
        <v>505847.628318584</v>
      </c>
      <c r="K53" s="30">
        <f t="shared" si="31"/>
        <v>403497.716814159</v>
      </c>
      <c r="L53" s="30">
        <f t="shared" si="31"/>
        <v>688245.451327434</v>
      </c>
      <c r="M53" s="30">
        <f t="shared" si="31"/>
        <v>521401.380530973</v>
      </c>
      <c r="N53" s="30">
        <f t="shared" si="31"/>
        <v>456041.946902655</v>
      </c>
      <c r="O53" s="5">
        <f t="shared" si="24"/>
        <v>5593519.11504425</v>
      </c>
      <c r="P53" s="29">
        <v>0.014</v>
      </c>
      <c r="Q53" s="126" t="s">
        <v>74</v>
      </c>
    </row>
    <row r="54" ht="19" customHeight="1" spans="1:56">
      <c r="A54" s="5"/>
      <c r="B54" s="4" t="s">
        <v>75</v>
      </c>
      <c r="C54" s="30">
        <f t="shared" ref="C54:N54" si="32">C15*$P$54</f>
        <v>930783.185840708</v>
      </c>
      <c r="D54" s="30">
        <f t="shared" si="32"/>
        <v>767230.088495575</v>
      </c>
      <c r="E54" s="30">
        <f t="shared" si="32"/>
        <v>768286.194690265</v>
      </c>
      <c r="F54" s="30">
        <f t="shared" si="32"/>
        <v>641935.752212389</v>
      </c>
      <c r="G54" s="30">
        <f t="shared" si="32"/>
        <v>1384657.96460177</v>
      </c>
      <c r="H54" s="30">
        <f t="shared" si="32"/>
        <v>1189285.48672566</v>
      </c>
      <c r="I54" s="30">
        <f t="shared" si="32"/>
        <v>786003.451327434</v>
      </c>
      <c r="J54" s="30">
        <f t="shared" si="32"/>
        <v>1083959.20353982</v>
      </c>
      <c r="K54" s="30">
        <f t="shared" si="32"/>
        <v>864637.96460177</v>
      </c>
      <c r="L54" s="30">
        <f t="shared" si="32"/>
        <v>1474811.68141593</v>
      </c>
      <c r="M54" s="30">
        <f t="shared" si="32"/>
        <v>1117288.67256637</v>
      </c>
      <c r="N54" s="30">
        <f t="shared" si="32"/>
        <v>977232.743362832</v>
      </c>
      <c r="O54" s="5">
        <f t="shared" si="24"/>
        <v>11986112.3893805</v>
      </c>
      <c r="P54" s="29">
        <v>0.03</v>
      </c>
      <c r="Q54" s="126" t="s">
        <v>76</v>
      </c>
    </row>
    <row r="55" ht="19" customHeight="1" spans="1:56">
      <c r="A55" s="5"/>
      <c r="B55" s="4" t="s">
        <v>77</v>
      </c>
      <c r="C55" s="30">
        <f t="shared" ref="C55:N55" si="33">C15*$P$55</f>
        <v>31026.1061946903</v>
      </c>
      <c r="D55" s="30">
        <f t="shared" si="33"/>
        <v>25574.3362831858</v>
      </c>
      <c r="E55" s="30">
        <f t="shared" si="33"/>
        <v>25609.5398230089</v>
      </c>
      <c r="F55" s="30">
        <f t="shared" si="33"/>
        <v>21397.8584070796</v>
      </c>
      <c r="G55" s="30">
        <f t="shared" si="33"/>
        <v>46155.2654867257</v>
      </c>
      <c r="H55" s="30">
        <f t="shared" si="33"/>
        <v>39642.8495575221</v>
      </c>
      <c r="I55" s="30">
        <f t="shared" si="33"/>
        <v>26200.1150442478</v>
      </c>
      <c r="J55" s="30">
        <f t="shared" si="33"/>
        <v>36131.9734513274</v>
      </c>
      <c r="K55" s="30">
        <f t="shared" si="33"/>
        <v>28821.2654867257</v>
      </c>
      <c r="L55" s="30">
        <f t="shared" si="33"/>
        <v>49160.389380531</v>
      </c>
      <c r="M55" s="30">
        <f t="shared" si="33"/>
        <v>37242.9557522124</v>
      </c>
      <c r="N55" s="30">
        <f t="shared" si="33"/>
        <v>32574.4247787611</v>
      </c>
      <c r="O55" s="5">
        <f t="shared" si="24"/>
        <v>399537.079646018</v>
      </c>
      <c r="P55" s="29">
        <v>0.001</v>
      </c>
      <c r="Q55" s="78" t="s">
        <v>78</v>
      </c>
    </row>
    <row r="56" ht="19" customHeight="1" spans="1:56">
      <c r="A56" s="5"/>
      <c r="B56" s="4" t="s">
        <v>79</v>
      </c>
      <c r="C56" s="30">
        <v>20</v>
      </c>
      <c r="D56" s="30"/>
      <c r="E56" s="30"/>
      <c r="F56" s="30"/>
      <c r="G56" s="30">
        <v>20</v>
      </c>
      <c r="H56" s="30"/>
      <c r="I56" s="30"/>
      <c r="J56" s="30"/>
      <c r="K56" s="30"/>
      <c r="L56" s="30"/>
      <c r="M56" s="30"/>
      <c r="N56" s="30"/>
      <c r="O56" s="5">
        <f t="shared" si="24"/>
        <v>40</v>
      </c>
      <c r="P56" s="29">
        <f>O56/$O$15</f>
        <v>1.00115864178212e-7</v>
      </c>
      <c r="Q56" s="78"/>
    </row>
    <row r="57" ht="19" customHeight="1" spans="1:56">
      <c r="B57" s="21" t="s">
        <v>80</v>
      </c>
      <c r="C57" s="22">
        <f t="shared" ref="C57:N57" si="34">SUM(C52:C56)</f>
        <v>3040578.40707965</v>
      </c>
      <c r="D57" s="22">
        <f t="shared" si="34"/>
        <v>2506284.95575221</v>
      </c>
      <c r="E57" s="22">
        <f t="shared" si="34"/>
        <v>2509734.90265487</v>
      </c>
      <c r="F57" s="22">
        <f t="shared" si="34"/>
        <v>2096990.12389381</v>
      </c>
      <c r="G57" s="22">
        <f t="shared" si="34"/>
        <v>4523236.01769911</v>
      </c>
      <c r="H57" s="22">
        <f t="shared" si="34"/>
        <v>3884999.25663717</v>
      </c>
      <c r="I57" s="22">
        <f t="shared" si="34"/>
        <v>2567611.27433628</v>
      </c>
      <c r="J57" s="22">
        <f t="shared" si="34"/>
        <v>3540933.39823009</v>
      </c>
      <c r="K57" s="22">
        <f t="shared" si="34"/>
        <v>2824484.01769911</v>
      </c>
      <c r="L57" s="22">
        <f t="shared" si="34"/>
        <v>4817718.15929204</v>
      </c>
      <c r="M57" s="22">
        <f t="shared" si="34"/>
        <v>3649809.66371681</v>
      </c>
      <c r="N57" s="22">
        <f t="shared" si="34"/>
        <v>3192293.62831858</v>
      </c>
      <c r="O57" s="22">
        <f t="shared" si="24"/>
        <v>39154673.8053097</v>
      </c>
      <c r="P57" s="24">
        <f>O57/$O$15</f>
        <v>0.0980001001158642</v>
      </c>
    </row>
    <row r="58" ht="19" customHeight="1" spans="1:56">
      <c r="A58" s="7"/>
      <c r="B58" s="12" t="s">
        <v>81</v>
      </c>
      <c r="C58" s="13">
        <f t="shared" ref="C58:N58" si="35">SUM(C51,C57)</f>
        <v>14520237.699115</v>
      </c>
      <c r="D58" s="13">
        <f t="shared" si="35"/>
        <v>9922842.47787611</v>
      </c>
      <c r="E58" s="13">
        <f t="shared" si="35"/>
        <v>11473073.840708</v>
      </c>
      <c r="F58" s="13">
        <f t="shared" si="35"/>
        <v>8516347.6460177</v>
      </c>
      <c r="G58" s="13">
        <f t="shared" si="35"/>
        <v>21600684.2477876</v>
      </c>
      <c r="H58" s="13">
        <f t="shared" si="35"/>
        <v>16570711.1150442</v>
      </c>
      <c r="I58" s="13">
        <f t="shared" si="35"/>
        <v>10689646.9380531</v>
      </c>
      <c r="J58" s="13">
        <f t="shared" si="35"/>
        <v>14741845.1681416</v>
      </c>
      <c r="K58" s="13">
        <f t="shared" si="35"/>
        <v>10894438.3539823</v>
      </c>
      <c r="L58" s="13">
        <f t="shared" si="35"/>
        <v>21040646.6548673</v>
      </c>
      <c r="M58" s="13">
        <f t="shared" si="35"/>
        <v>14822696.3893805</v>
      </c>
      <c r="N58" s="13">
        <f t="shared" si="35"/>
        <v>12638876.8141593</v>
      </c>
      <c r="O58" s="13">
        <f t="shared" si="24"/>
        <v>167432047.345133</v>
      </c>
      <c r="P58" s="27">
        <f>O58/$O$15</f>
        <v>0.41906510277713</v>
      </c>
      <c r="Q58" s="7"/>
      <c r="R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</row>
    <row r="59" ht="19" customHeight="1" spans="1:56">
      <c r="A59" s="7"/>
      <c r="B59" s="12" t="s">
        <v>82</v>
      </c>
      <c r="C59" s="13">
        <f t="shared" ref="C59:N59" si="36">C21-C58</f>
        <v>527423.805309733</v>
      </c>
      <c r="D59" s="13">
        <f t="shared" si="36"/>
        <v>2736453.98230089</v>
      </c>
      <c r="E59" s="13">
        <f t="shared" si="36"/>
        <v>1459743.76991151</v>
      </c>
      <c r="F59" s="13">
        <f t="shared" si="36"/>
        <v>2503549.43362832</v>
      </c>
      <c r="G59" s="13">
        <f t="shared" si="36"/>
        <v>2630830.13274336</v>
      </c>
      <c r="H59" s="13">
        <f t="shared" si="36"/>
        <v>4638213.39823009</v>
      </c>
      <c r="I59" s="13">
        <f t="shared" si="36"/>
        <v>3589415.76106195</v>
      </c>
      <c r="J59" s="13">
        <f t="shared" si="36"/>
        <v>5672719.83185841</v>
      </c>
      <c r="K59" s="13">
        <f t="shared" si="36"/>
        <v>5677789.30088496</v>
      </c>
      <c r="L59" s="13">
        <f t="shared" si="36"/>
        <v>7718181.13274336</v>
      </c>
      <c r="M59" s="13">
        <f t="shared" si="36"/>
        <v>7336862.28318584</v>
      </c>
      <c r="N59" s="13">
        <f t="shared" si="36"/>
        <v>7068650.17699115</v>
      </c>
      <c r="O59" s="13">
        <f t="shared" si="24"/>
        <v>51559833.0088496</v>
      </c>
      <c r="P59" s="27">
        <f>O59/$O$15</f>
        <v>0.129048930964131</v>
      </c>
      <c r="Q59" s="7"/>
      <c r="R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</sheetData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201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4.4"/>
  <cols>
    <col min="1" max="1" width="4" customWidth="1"/>
    <col min="2" max="2" width="20" customWidth="1"/>
    <col min="3" max="16" width="16" customWidth="1"/>
    <col min="17" max="17" width="14" customWidth="1"/>
    <col min="18" max="22" width="11" customWidth="1"/>
  </cols>
  <sheetData>
    <row r="1" ht="17" spans="1:22">
      <c r="A1" s="6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6"/>
      <c r="S1" s="6"/>
      <c r="T1" s="6"/>
    </row>
    <row r="2" ht="16.8" spans="1:22">
      <c r="A2" s="6"/>
      <c r="B2" s="4" t="s">
        <v>16</v>
      </c>
      <c r="C2" s="8">
        <f>淘系!C2+抖音!C2+PDD!C2+得物!C2+京东自营财经口径!C2+京东POP财经口径!C2+'视频号+官网+小程序'!C2+快手!C2+唯品会!C2+'线下门店-直营'!C2+'线下门店-经销'!C2+线下渠道!C2+淘系达播!C2+抖音达播!C2</f>
        <v>90463.684158025</v>
      </c>
      <c r="D2" s="8">
        <f>淘系!D2+抖音!D2+PDD!D2+得物!D2+京东自营财经口径!D2+京东POP财经口径!D2+'视频号+官网+小程序'!D2+快手!D2+唯品会!D2+'线下门店-直营'!D2+'线下门店-经销'!D2+线下渠道!D2+淘系达播!D2+抖音达播!D2</f>
        <v>81993.6885098585</v>
      </c>
      <c r="E2" s="8">
        <f>淘系!E2+抖音!E2+PDD!E2+得物!E2+京东自营财经口径!E2+京东POP财经口径!E2+'视频号+官网+小程序'!E2+快手!E2+唯品会!E2+'线下门店-直营'!E2+'线下门店-经销'!E2+线下渠道!E2+淘系达播!E2+抖音达播!E2</f>
        <v>95977.292005261</v>
      </c>
      <c r="F2" s="8">
        <f>淘系!F2+抖音!F2+PDD!F2+得物!F2+京东自营财经口径!F2+京东POP财经口径!F2+'视频号+官网+小程序'!F2+快手!F2+唯品会!F2+'线下门店-直营'!F2+'线下门店-经销'!F2+线下渠道!F2+淘系达播!F2+抖音达播!F2</f>
        <v>80112.9641072792</v>
      </c>
      <c r="G2" s="8">
        <f>淘系!G2+抖音!G2+PDD!G2+得物!G2+京东自营财经口径!G2+京东POP财经口径!G2+'视频号+官网+小程序'!G2+快手!G2+唯品会!G2+'线下门店-直营'!G2+'线下门店-经销'!G2+线下渠道!G2+淘系达播!G2+抖音达播!G2</f>
        <v>138286.2974816</v>
      </c>
      <c r="H2" s="8">
        <f>淘系!H2+抖音!H2+PDD!H2+得物!H2+京东自营财经口径!H2+京东POP财经口径!H2+'视频号+官网+小程序'!H2+快手!H2+唯品会!H2+'线下门店-直营'!H2+'线下门店-经销'!H2+线下渠道!H2+淘系达播!H2+抖音达播!H2</f>
        <v>121225.558906529</v>
      </c>
      <c r="I2" s="8">
        <f>淘系!I2+抖音!I2+PDD!I2+得物!I2+京东自营财经口径!I2+京东POP财经口径!I2+'视频号+官网+小程序'!I2+快手!I2+唯品会!I2+'线下门店-直营'!I2+'线下门店-经销'!I2+线下渠道!I2+淘系达播!I2+抖音达播!I2</f>
        <v>80120.128594272</v>
      </c>
      <c r="J2" s="8">
        <f>淘系!J2+抖音!J2+PDD!J2+得物!J2+京东自营财经口径!J2+京东POP财经口径!J2+'视频号+官网+小程序'!J2+快手!J2+唯品会!J2+'线下门店-直营'!J2+'线下门店-经销'!J2+线下渠道!J2+淘系达播!J2+抖音达播!J2</f>
        <v>99963.4887388583</v>
      </c>
      <c r="K2" s="8">
        <f>淘系!K2+抖音!K2+PDD!K2+得物!K2+京东自营财经口径!K2+京东POP财经口径!K2+'视频号+官网+小程序'!K2+快手!K2+唯品会!K2+'线下门店-直营'!K2+'线下门店-经销'!K2+线下渠道!K2+淘系达播!K2+抖音达播!K2</f>
        <v>109614.029486567</v>
      </c>
      <c r="L2" s="8">
        <f>淘系!L2+抖音!L2+PDD!L2+得物!L2+京东自营财经口径!L2+京东POP财经口径!L2+'视频号+官网+小程序'!L2+快手!L2+唯品会!L2+'线下门店-直营'!L2+'线下门店-经销'!L2+线下渠道!L2+淘系达播!L2+抖音达播!L2</f>
        <v>146214.464369274</v>
      </c>
      <c r="M2" s="8">
        <f>淘系!M2+抖音!M2+PDD!M2+得物!M2+京东自营财经口径!M2+京东POP财经口径!M2+'视频号+官网+小程序'!M2+快手!M2+唯品会!M2+'线下门店-直营'!M2+'线下门店-经销'!M2+线下渠道!M2+淘系达播!M2+抖音达播!M2</f>
        <v>115677.003998625</v>
      </c>
      <c r="N2" s="8">
        <f>淘系!N2+抖音!N2+PDD!N2+得物!N2+京东自营财经口径!N2+京东POP财经口径!N2+'视频号+官网+小程序'!N2+快手!N2+唯品会!N2+'线下门店-直营'!N2+'线下门店-经销'!N2+线下渠道!N2+淘系达播!N2+抖音达播!N2</f>
        <v>104902.5116157</v>
      </c>
      <c r="O2" s="36">
        <f>SUM(C2:N2)</f>
        <v>1264551.11197185</v>
      </c>
      <c r="P2" s="36"/>
      <c r="Q2" s="6"/>
      <c r="T2" s="67"/>
      <c r="U2" s="67"/>
    </row>
    <row r="3" ht="19" customHeight="1" spans="1:22">
      <c r="A3" s="32"/>
      <c r="B3" s="8" t="s">
        <v>17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>
        <f>SUM(C3:N3)</f>
        <v>0</v>
      </c>
      <c r="P3" s="8"/>
      <c r="Q3" s="10" t="s">
        <v>83</v>
      </c>
      <c r="R3" s="6"/>
      <c r="S3" s="6"/>
      <c r="T3" s="6"/>
    </row>
    <row r="4" ht="20" customHeight="1" spans="1:22">
      <c r="A4" s="32"/>
      <c r="B4" s="8" t="s">
        <v>84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>
        <f>SUM(C4:N4)</f>
        <v>0</v>
      </c>
      <c r="P4" s="8"/>
      <c r="Q4" s="10" t="s">
        <v>83</v>
      </c>
      <c r="R4" s="6"/>
      <c r="S4" s="6"/>
      <c r="T4" s="83"/>
      <c r="U4" s="84"/>
      <c r="V4" s="84"/>
    </row>
    <row r="5" ht="16.8" spans="1:22">
      <c r="A5" s="32"/>
      <c r="B5" s="8" t="s">
        <v>18</v>
      </c>
      <c r="C5" s="8">
        <f>淘系!C5+抖音!C5+PDD!C5+得物!C5+京东自营财经口径!C5+京东POP财经口径!C5+'视频号+官网+小程序'!C5+快手!C5+唯品会!C5+'线下门店-直营'!C5+'线下门店-经销'!C5+线下渠道!C5+淘系达播!C5+抖音达播!C5</f>
        <v>4607684.72303077</v>
      </c>
      <c r="D5" s="8">
        <f>淘系!D5+抖音!D5+PDD!D5+得物!D5+京东自营财经口径!D5+京东POP财经口径!D5+'视频号+官网+小程序'!D5+快手!D5+唯品会!D5+'线下门店-直营'!D5+'线下门店-经销'!D5+线下渠道!D5+淘系达播!D5+抖音达播!D5</f>
        <v>4599816.62608853</v>
      </c>
      <c r="E5" s="8">
        <f>淘系!E5+抖音!E5+PDD!E5+得物!E5+京东自营财经口径!E5+京东POP财经口径!E5+'视频号+官网+小程序'!E5+快手!E5+唯品会!E5+'线下门店-直营'!E5+'线下门店-经销'!E5+线下渠道!E5+淘系达播!E5+抖音达播!E5</f>
        <v>3914048.66162927</v>
      </c>
      <c r="F5" s="8">
        <f>淘系!F5+抖音!F5+PDD!F5+得物!F5+京东自营财经口径!F5+京东POP财经口径!F5+'视频号+官网+小程序'!F5+快手!F5+唯品会!F5+'线下门店-直营'!F5+'线下门店-经销'!F5+线下渠道!F5+淘系达播!F5+抖音达播!F5</f>
        <v>3349087.77735999</v>
      </c>
      <c r="G5" s="8">
        <f>淘系!G5+抖音!G5+PDD!G5+得物!G5+京东自营财经口径!G5+京东POP财经口径!G5+'视频号+官网+小程序'!G5+快手!G5+唯品会!G5+'线下门店-直营'!G5+'线下门店-经销'!G5+线下渠道!G5+淘系达播!G5+抖音达播!G5</f>
        <v>7313638.22761134</v>
      </c>
      <c r="H5" s="8">
        <f>淘系!H5+抖音!H5+PDD!H5+得物!H5+京东自营财经口径!H5+京东POP财经口径!H5+'视频号+官网+小程序'!H5+快手!H5+唯品会!H5+'线下门店-直营'!H5+'线下门店-经销'!H5+线下渠道!H5+淘系达播!H5+抖音达播!H5</f>
        <v>6508325.22974283</v>
      </c>
      <c r="I5" s="8">
        <f>淘系!I5+抖音!I5+PDD!I5+得物!I5+京东自营财经口径!I5+京东POP财经口径!I5+'视频号+官网+小程序'!I5+快手!I5+唯品会!I5+'线下门店-直营'!I5+'线下门店-经销'!I5+线下渠道!I5+淘系达播!I5+抖音达播!I5</f>
        <v>4346063.51245904</v>
      </c>
      <c r="J5" s="8">
        <f>淘系!J5+抖音!J5+PDD!J5+得物!J5+京东自营财经口径!J5+京东POP财经口径!J5+'视频号+官网+小程序'!J5+快手!J5+唯品会!J5+'线下门店-直营'!J5+'线下门店-经销'!J5+线下渠道!J5+淘系达播!J5+抖音达播!J5</f>
        <v>6197224.02358069</v>
      </c>
      <c r="K5" s="8">
        <f>淘系!K5+抖音!K5+PDD!K5+得物!K5+京东自营财经口径!K5+京东POP财经口径!K5+'视频号+官网+小程序'!K5+快手!K5+唯品会!K5+'线下门店-直营'!K5+'线下门店-经销'!K5+线下渠道!K5+淘系达播!K5+抖音达播!K5</f>
        <v>4425098.68990727</v>
      </c>
      <c r="L5" s="8">
        <f>淘系!L5+抖音!L5+PDD!L5+得物!L5+京东自营财经口径!L5+京东POP财经口径!L5+'视频号+官网+小程序'!L5+快手!L5+唯品会!L5+'线下门店-直营'!L5+'线下门店-经销'!L5+线下渠道!L5+淘系达播!L5+抖音达播!L5</f>
        <v>8078731.43720458</v>
      </c>
      <c r="M5" s="8">
        <f>淘系!M5+抖音!M5+PDD!M5+得物!M5+京东自营财经口径!M5+京东POP财经口径!M5+'视频号+官网+小程序'!M5+快手!M5+唯品会!M5+'线下门店-直营'!M5+'线下门店-经销'!M5+线下渠道!M5+淘系达播!M5+抖音达播!M5</f>
        <v>7264882.58120579</v>
      </c>
      <c r="N5" s="8">
        <f>淘系!N5+抖音!N5+PDD!N5+得物!N5+京东自营财经口径!N5+京东POP财经口径!N5+'视频号+官网+小程序'!N5+快手!N5+唯品会!N5+'线下门店-直营'!N5+'线下门店-经销'!N5+线下渠道!N5+淘系达播!N5+抖音达播!N5</f>
        <v>5803843.48503029</v>
      </c>
      <c r="O5" s="8">
        <f>SUM(C5:N5)</f>
        <v>66408444.9748504</v>
      </c>
      <c r="P5" s="8"/>
      <c r="Q5" s="10" t="s">
        <v>83</v>
      </c>
      <c r="R5" s="6"/>
      <c r="S5" s="6"/>
      <c r="T5" s="83"/>
      <c r="U5" s="84"/>
      <c r="V5" s="84"/>
    </row>
    <row r="6" ht="16.8" spans="1:22">
      <c r="A6" s="32"/>
      <c r="B6" s="12" t="s">
        <v>85</v>
      </c>
      <c r="C6" s="12">
        <f>淘系!C6+抖音!C6+PDD!C6+得物!C6+京东自营财经口径!C6+京东POP财经口径!C6+'视频号+官网+小程序'!C6+快手!C6+唯品会!C6+'线下门店-直营'!C6++'线下门店-经销'!C6+线下渠道!C6+淘系达播!C6+抖音达播!C6</f>
        <v>38655631.2642235</v>
      </c>
      <c r="D6" s="12">
        <f>淘系!D6+抖音!D6+PDD!D6+得物!D6+京东自营财经口径!D6+京东POP财经口径!D6+'视频号+官网+小程序'!D6+快手!D6+唯品会!D6+'线下门店-直营'!D6++'线下门店-经销'!D6+线下渠道!D6+淘系达播!D6+抖音达播!D6</f>
        <v>38582248.0925782</v>
      </c>
      <c r="E6" s="12">
        <f>淘系!E6+抖音!E6+PDD!E6+得物!E6+京东自营财经口径!E6+京东POP财经口径!E6+'视频号+官网+小程序'!E6+快手!E6+唯品会!E6+'线下门店-直营'!E6++'线下门店-经销'!E6+线下渠道!E6+淘系达播!E6+抖音达播!E6</f>
        <v>32900883.2757075</v>
      </c>
      <c r="F6" s="12">
        <f>淘系!F6+抖音!F6+PDD!F6+得物!F6+京东自营财经口径!F6+京东POP财经口径!F6+'视频号+官网+小程序'!F6+快手!F6+唯品会!F6+'线下门店-直营'!F6++'线下门店-经销'!F6+线下渠道!F6+淘系达播!F6+抖音达播!F6</f>
        <v>27774427.3102051</v>
      </c>
      <c r="G6" s="12">
        <f>淘系!G6+抖音!G6+PDD!G6+得物!G6+京东自营财经口径!G6+京东POP财经口径!G6+'视频号+官网+小程序'!G6+快手!G6+唯品会!G6+'线下门店-直营'!G6++'线下门店-经销'!G6+线下渠道!G6+淘系达播!G6+抖音达播!G6</f>
        <v>60823575.384849</v>
      </c>
      <c r="H6" s="12">
        <f>淘系!H6+抖音!H6+PDD!H6+得物!H6+京东自营财经口径!H6+京东POP财经口径!H6+'视频号+官网+小程序'!H6+快手!H6+唯品会!H6+'线下门店-直营'!H6++'线下门店-经销'!H6+线下渠道!H6+淘系达播!H6+抖音达播!H6</f>
        <v>54131265.9287559</v>
      </c>
      <c r="I6" s="12">
        <f>淘系!I6+抖音!I6+PDD!I6+得物!I6+京东自营财经口径!I6+京东POP财经口径!I6+'视频号+官网+小程序'!I6+快手!I6+唯品会!I6+'线下门店-直营'!I6++'线下门店-经销'!I6+线下渠道!I6+淘系达播!I6+抖音达播!I6</f>
        <v>37710758.9486412</v>
      </c>
      <c r="J6" s="12">
        <f>淘系!J6+抖音!J6+PDD!J6+得物!J6+京东自营财经口径!J6+京东POP财经口径!J6+'视频号+官网+小程序'!J6+快手!J6+唯品会!J6+'线下门店-直营'!J6++'线下门店-经销'!J6+线下渠道!J6+淘系达播!J6+抖音达播!J6</f>
        <v>53940593.3114689</v>
      </c>
      <c r="K6" s="12">
        <f>淘系!K6+抖音!K6+PDD!K6+得物!K6+京东自营财经口径!K6+京东POP财经口径!K6+'视频号+官网+小程序'!K6+快手!K6+唯品会!K6+'线下门店-直营'!K6++'线下门店-经销'!K6+线下渠道!K6+淘系达播!K6+抖音达播!K6</f>
        <v>40234860.1056449</v>
      </c>
      <c r="L6" s="12">
        <f>淘系!L6+抖音!L6+PDD!L6+得物!L6+京东自营财经口径!L6+京东POP财经口径!L6+'视频号+官网+小程序'!L6+快手!L6+唯品会!L6+'线下门店-直营'!L6++'线下门店-经销'!L6+线下渠道!L6+淘系达播!L6+抖音达播!L6</f>
        <v>70231540.1023581</v>
      </c>
      <c r="M6" s="12">
        <f>淘系!M6+抖音!M6+PDD!M6+得物!M6+京东自营财经口径!M6+京东POP财经口径!M6+'视频号+官网+小程序'!M6+快手!M6+唯品会!M6+'线下门店-直营'!M6++'线下门店-经销'!M6+线下渠道!M6+淘系达播!M6+抖音达播!M6</f>
        <v>64811039.2845482</v>
      </c>
      <c r="N6" s="12">
        <f>淘系!N6+抖音!N6+PDD!N6+得物!N6+京东自营财经口径!N6+京东POP财经口径!N6+'视频号+官网+小程序'!N6+快手!N6+唯品会!N6+'线下门店-直营'!N6++'线下门店-经销'!N6+线下渠道!N6+淘系达播!N6+抖音达播!N6</f>
        <v>51587221.5272814</v>
      </c>
      <c r="O6" s="12">
        <f>SUM(C6:N6)</f>
        <v>571384044.536262</v>
      </c>
      <c r="P6" s="12"/>
      <c r="Q6" s="10" t="s">
        <v>83</v>
      </c>
      <c r="R6" s="6"/>
      <c r="S6" s="6"/>
      <c r="T6" s="83"/>
      <c r="U6" s="84"/>
      <c r="V6" s="84"/>
    </row>
    <row r="7" ht="16.8" spans="1:22">
      <c r="A7" s="32"/>
      <c r="B7" s="14" t="s">
        <v>20</v>
      </c>
      <c r="C7" s="14">
        <f t="shared" ref="C7:O7" si="0">1-C8/C6</f>
        <v>0.192741483847773</v>
      </c>
      <c r="D7" s="14">
        <f t="shared" si="0"/>
        <v>0.191117680394679</v>
      </c>
      <c r="E7" s="14">
        <f t="shared" si="0"/>
        <v>0.189671408516317</v>
      </c>
      <c r="F7" s="14">
        <f t="shared" si="0"/>
        <v>0.168214720357901</v>
      </c>
      <c r="G7" s="14">
        <f t="shared" si="0"/>
        <v>0.206009844688899</v>
      </c>
      <c r="H7" s="14">
        <f t="shared" si="0"/>
        <v>0.188590600547958</v>
      </c>
      <c r="I7" s="14">
        <f t="shared" si="0"/>
        <v>0.186599025381718</v>
      </c>
      <c r="J7" s="14">
        <f t="shared" si="0"/>
        <v>0.212744206312118</v>
      </c>
      <c r="K7" s="14">
        <f t="shared" si="0"/>
        <v>0.228074612335543</v>
      </c>
      <c r="L7" s="14">
        <f t="shared" si="0"/>
        <v>0.221557500233799</v>
      </c>
      <c r="M7" s="14">
        <f t="shared" si="0"/>
        <v>0.210452058084144</v>
      </c>
      <c r="N7" s="14">
        <f t="shared" si="0"/>
        <v>0.183614214038195</v>
      </c>
      <c r="O7" s="14">
        <f t="shared" si="0"/>
        <v>0.200979709097151</v>
      </c>
      <c r="P7" s="14"/>
      <c r="Q7" s="6" t="s">
        <v>83</v>
      </c>
      <c r="R7" s="6"/>
      <c r="S7" s="6"/>
      <c r="T7" s="83"/>
      <c r="U7" s="84"/>
      <c r="V7" s="84"/>
    </row>
    <row r="8" ht="16.8" spans="1:22">
      <c r="A8" s="32"/>
      <c r="B8" s="12" t="s">
        <v>86</v>
      </c>
      <c r="C8" s="12">
        <f>淘系!C8+抖音!C8+PDD!C8+得物!C8+京东自营财经口径!C8+京东POP财经口径!C8+'视频号+官网+小程序'!C8+快手!C8+唯品会!C8+'线下门店-直营'!C8++'线下门店-经销'!C8+线下渠道!C8+淘系达播!C8+抖音达播!C8</f>
        <v>31205087.5352847</v>
      </c>
      <c r="D8" s="12">
        <f>淘系!D8+抖音!D8+PDD!D8+得物!D8+京东自营财经口径!D8+京东POP财经口径!D8+'视频号+官网+小程序'!D8+快手!D8+唯品会!D8+'线下门店-直营'!D8++'线下门店-经销'!D8+线下渠道!D8+淘系达播!D8+抖音达播!D8</f>
        <v>31208498.3327126</v>
      </c>
      <c r="E8" s="12">
        <f>淘系!E8+抖音!E8+PDD!E8+得物!E8+京东自营财经口径!E8+京东POP财经口径!E8+'视频号+官网+小程序'!E8+快手!E8+唯品会!E8+'线下门店-直营'!E8++'线下门店-经销'!E8+线下渠道!E8+淘系达播!E8+抖音达播!E8</f>
        <v>26660526.4033732</v>
      </c>
      <c r="F8" s="12">
        <f>淘系!F8+抖音!F8+PDD!F8+得物!F8+京东自营财经口径!F8+京东POP财经口径!F8+'视频号+官网+小程序'!F8+快手!F8+唯品会!F8+'线下门店-直营'!F8++'线下门店-经销'!F8+线下渠道!F8+淘系达播!F8+抖音达播!F8</f>
        <v>23102359.7871181</v>
      </c>
      <c r="G8" s="12">
        <f>淘系!G8+抖音!G8+PDD!G8+得物!G8+京东自营财经口径!G8+京东POP财经口径!G8+'视频号+官网+小程序'!G8+快手!G8+唯品会!G8+'线下门店-直营'!G8++'线下门店-经销'!G8+线下渠道!G8+淘系达播!G8+抖音达播!G8</f>
        <v>48293320.0663927</v>
      </c>
      <c r="H8" s="12">
        <f>淘系!H8+抖音!H8+PDD!H8+得物!H8+京东自营财经口径!H8+京东POP财经口径!H8+'视频号+官网+小程序'!H8+快手!H8+唯品会!H8+'线下门店-直营'!H8++'线下门店-经销'!H8+线下渠道!H8+淘系达播!H8+抖音达播!H8</f>
        <v>43922617.9788307</v>
      </c>
      <c r="I8" s="12">
        <f>淘系!I8+抖音!I8+PDD!I8+得物!I8+京东自营财经口径!I8+京东POP财经口径!I8+'视频号+官网+小程序'!I8+快手!I8+唯品会!I8+'线下门店-直营'!I8++'线下门店-经销'!I8+线下渠道!I8+淘系达播!I8+抖音达播!I8</f>
        <v>30673968.0824199</v>
      </c>
      <c r="J8" s="12">
        <f>淘系!J8+抖音!J8+PDD!J8+得物!J8+京东自营财经口径!J8+京东POP财经口径!J8+'视频号+官网+小程序'!J8+快手!J8+唯品会!J8+'线下门店-直营'!J8++'线下门店-经销'!J8+线下渠道!J8+淘系达播!J8+抖音达播!J8</f>
        <v>42465044.5994157</v>
      </c>
      <c r="K8" s="12">
        <f>淘系!K8+抖音!K8+PDD!K8+得物!K8+京东自营财经口径!K8+京东POP财经口径!K8+'视频号+官网+小程序'!K8+快手!K8+唯品会!K8+'线下门店-直营'!K8++'线下门店-经销'!K8+线下渠道!K8+淘系达播!K8+抖音达播!K8</f>
        <v>31058309.9846751</v>
      </c>
      <c r="L8" s="12">
        <f>淘系!L8+抖音!L8+PDD!L8+得物!L8+京东自营财经口径!L8+京东POP财经口径!L8+'视频号+官网+小程序'!L8+快手!L8+唯品会!L8+'线下门店-直营'!L8++'线下门店-经销'!L8+线下渠道!L8+淘系达播!L8+抖音达播!L8</f>
        <v>54671215.6397098</v>
      </c>
      <c r="M8" s="12">
        <f>淘系!M8+抖音!M8+PDD!M8+得物!M8+京东自营财经口径!M8+京东POP财经口径!M8+'视频号+官网+小程序'!M8+快手!M8+唯品会!M8+'线下门店-直营'!M8++'线下门店-经销'!M8+线下渠道!M8+淘系达播!M8+抖音达播!M8</f>
        <v>51171422.6805427</v>
      </c>
      <c r="N8" s="12">
        <f>淘系!N8+抖音!N8+PDD!N8+得物!N8+京东自营财经口径!N8+京东POP财经口径!N8+'视频号+官网+小程序'!N8+快手!N8+唯品会!N8+'线下门店-直营'!N8++'线下门店-经销'!N8+线下渠道!N8+淘系达播!N8+抖音达播!N8</f>
        <v>42115074.3921354</v>
      </c>
      <c r="O8" s="12">
        <f>SUM(C8:N8)</f>
        <v>456547445.482611</v>
      </c>
      <c r="P8" s="12"/>
      <c r="Q8" s="6" t="s">
        <v>83</v>
      </c>
      <c r="R8" s="6"/>
      <c r="S8" s="6"/>
      <c r="T8" s="83"/>
      <c r="U8" s="84"/>
      <c r="V8" s="84"/>
    </row>
    <row r="9" ht="16.8" spans="1:22">
      <c r="A9" s="6"/>
      <c r="B9" s="4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6"/>
      <c r="R9" s="6"/>
      <c r="S9" s="6"/>
      <c r="T9" s="83"/>
      <c r="U9" s="84"/>
      <c r="V9" s="84"/>
    </row>
    <row r="10" ht="16.8" spans="1:22">
      <c r="A10" s="32"/>
      <c r="B10" s="12" t="s">
        <v>22</v>
      </c>
      <c r="C10" s="12">
        <f>淘系!C10+抖音!C10+PDD!C10+得物!C10+京东自营财经口径!C10+京东POP财经口径!C10+'视频号+官网+小程序'!C10+快手!C10+唯品会!C10+'线下门店-直营'!C10++'线下门店-经销'!C10+线下渠道!C10+淘系达播!C10+抖音达播!C10</f>
        <v>43169030.0996109</v>
      </c>
      <c r="D10" s="12">
        <f>淘系!D10+抖音!D10+PDD!D10+得物!D10+京东自营财经口径!D10+京东POP财经口径!D10+'视频号+官网+小程序'!D10+快手!D10+唯品会!D10+'线下门店-直营'!D10++'线下门店-经销'!D10+线下渠道!D10+淘系达播!D10+抖音达播!D10</f>
        <v>41319764.6276027</v>
      </c>
      <c r="E10" s="12">
        <f>淘系!E10+抖音!E10+PDD!E10+得物!E10+京东自营财经口径!E10+京东POP财经口径!E10+'视频号+官网+小程序'!E10+快手!E10+唯品会!E10+'线下门店-直营'!E10++'线下门店-经销'!E10+线下渠道!E10+淘系达播!E10+抖音达播!E10</f>
        <v>34649173.0179444</v>
      </c>
      <c r="F10" s="12">
        <f>淘系!F10+抖音!F10+PDD!F10+得物!F10+京东自营财经口径!F10+京东POP财经口径!F10+'视频号+官网+小程序'!F10+快手!F10+唯品会!F10+'线下门店-直营'!F10++'线下门店-经销'!F10+线下渠道!F10+淘系达播!F10+抖音达播!F10</f>
        <v>30349389.17141</v>
      </c>
      <c r="G10" s="12">
        <f>淘系!G10+抖音!G10+PDD!G10+得物!G10+京东自营财经口径!G10+京东POP财经口径!G10+'视频号+官网+小程序'!G10+快手!G10+唯品会!G10+'线下门店-直营'!G10++'线下门店-经销'!G10+线下渠道!G10+淘系达播!G10+抖音达播!G10</f>
        <v>62773132.0743423</v>
      </c>
      <c r="H10" s="12">
        <f>淘系!H10+抖音!H10+PDD!H10+得物!H10+京东自营财经口径!H10+京东POP财经口径!H10+'视频号+官网+小程序'!H10+快手!H10+唯品会!H10+'线下门店-直营'!H10++'线下门店-经销'!H10+线下渠道!H10+淘系达播!H10+抖音达播!H10</f>
        <v>57311535.5914867</v>
      </c>
      <c r="I10" s="12">
        <f>淘系!I10+抖音!I10+PDD!I10+得物!I10+京东自营财经口径!I10+京东POP财经口径!I10+'视频号+官网+小程序'!I10+快手!I10+唯品会!I10+'线下门店-直营'!I10++'线下门店-经销'!I10+线下渠道!I10+淘系达播!I10+抖音达播!I10</f>
        <v>40240744.0502943</v>
      </c>
      <c r="J10" s="12">
        <f>淘系!J10+抖音!J10+PDD!J10+得物!J10+京东自营财经口径!J10+京东POP财经口径!J10+'视频号+官网+小程序'!J10+快手!J10+唯品会!J10+'线下门店-直营'!J10++'线下门店-经销'!J10+线下渠道!J10+淘系达播!J10+抖音达播!J10</f>
        <v>55453829.5212764</v>
      </c>
      <c r="K10" s="12">
        <f>淘系!K10+抖音!K10+PDD!K10+得物!K10+京东自营财经口径!K10+京东POP财经口径!K10+'视频号+官网+小程序'!K10+快手!K10+唯品会!K10+'线下门店-直营'!K10++'线下门店-经销'!K10+线下渠道!K10+淘系达播!K10+抖音达播!K10</f>
        <v>40718428.5380385</v>
      </c>
      <c r="L10" s="12">
        <f>淘系!L10+抖音!L10+PDD!L10+得物!L10+京东自营财经口径!L10+京东POP财经口径!L10+'视频号+官网+小程序'!L10+快手!L10+唯品会!L10+'线下门店-直营'!L10++'线下门店-经销'!L10+线下渠道!L10+淘系达播!L10+抖音达播!L10</f>
        <v>71230328.9325347</v>
      </c>
      <c r="M10" s="12">
        <f>淘系!M10+抖音!M10+PDD!M10+得物!M10+京东自营财经口径!M10+京东POP财经口径!M10+'视频号+官网+小程序'!M10+快手!M10+唯品会!M10+'线下门店-直营'!M10++'线下门店-经销'!M10+线下渠道!M10+淘系达播!M10+抖音达播!M10</f>
        <v>66850933.4310996</v>
      </c>
      <c r="N10" s="12">
        <f>淘系!N10+抖音!N10+PDD!N10+得物!N10+京东自营财经口径!N10+京东POP财经口径!N10+'视频号+官网+小程序'!N10+快手!N10+唯品会!N10+'线下门店-直营'!N10++'线下门店-经销'!N10+线下渠道!N10+淘系达播!N10+抖音达播!N10</f>
        <v>55451704.9549411</v>
      </c>
      <c r="O10" s="12">
        <f t="shared" ref="O10:O16" si="1">SUM(C10:N10)</f>
        <v>599517994.010582</v>
      </c>
      <c r="P10" s="12"/>
      <c r="Q10" s="11" t="s">
        <v>87</v>
      </c>
      <c r="R10" s="6"/>
      <c r="S10" s="6"/>
      <c r="T10" s="83"/>
      <c r="U10" s="84"/>
      <c r="V10" s="84"/>
    </row>
    <row r="11" ht="16.8" spans="1:22">
      <c r="A11" s="6"/>
      <c r="B11" s="17" t="s">
        <v>23</v>
      </c>
      <c r="C11" s="85">
        <f>淘系!C11+抖音!C11+PDD!C11+得物!C11+京东自营财经口径!C11+京东POP财经口径!C11+'视频号+官网+小程序'!C11+快手!C11+唯品会!C11+'线下门店-直营'!C11+'线下门店-经销'!C11+线下渠道!C11+淘系达播!C11+抖音达播!C11</f>
        <v>1195159.19073273</v>
      </c>
      <c r="D11" s="85">
        <f>淘系!D11+抖音!D11+PDD!D11+得物!D11+京东自营财经口径!D11+京东POP财经口径!D11+'视频号+官网+小程序'!D11+快手!D11+唯品会!D11+'线下门店-直营'!D11+'线下门店-经销'!D11+线下渠道!D11+淘系达播!D11+抖音达播!D11</f>
        <v>1300782.15391634</v>
      </c>
      <c r="E11" s="85">
        <f>淘系!E11+抖音!E11+PDD!E11+得物!E11+京东自营财经口径!E11+京东POP财经口径!E11+'视频号+官网+小程序'!E11+快手!E11+唯品会!E11+'线下门店-直营'!E11+'线下门店-经销'!E11+线下渠道!E11+淘系达播!E11+抖音达播!E11</f>
        <v>1017203.86867448</v>
      </c>
      <c r="F11" s="85">
        <f>淘系!F11+抖音!F11+PDD!F11+得物!F11+京东自营财经口径!F11+京东POP财经口径!F11+'视频号+官网+小程序'!F11+快手!F11+唯品会!F11+'线下门店-直营'!F11+'线下门店-经销'!F11+线下渠道!F11+淘系达播!F11+抖音达播!F11</f>
        <v>947622.992288241</v>
      </c>
      <c r="G11" s="85">
        <f>淘系!G11+抖音!G11+PDD!G11+得物!G11+京东自营财经口径!G11+京东POP财经口径!G11+'视频号+官网+小程序'!G11+快手!G11+唯品会!G11+'线下门店-直营'!G11+'线下门店-经销'!G11+线下渠道!G11+淘系达播!G11+抖音达播!G11</f>
        <v>1706368.40320392</v>
      </c>
      <c r="H11" s="85">
        <f>淘系!H11+抖音!H11+PDD!H11+得物!H11+京东自营财经口径!H11+京东POP财经口径!H11+'视频号+官网+小程序'!H11+快手!H11+唯品会!H11+'线下门店-直营'!H11+'线下门店-经销'!H11+线下渠道!H11+淘系达播!H11+抖音达播!H11</f>
        <v>1674116.62119616</v>
      </c>
      <c r="I11" s="85">
        <f>淘系!I11+抖音!I11+PDD!I11+得物!I11+京东自营财经口径!I11+京东POP财经口径!I11+'视频号+官网+小程序'!I11+快手!I11+唯品会!I11+'线下门店-直营'!I11+'线下门店-经销'!I11+线下渠道!I11+淘系达播!I11+抖音达播!I11</f>
        <v>1317289.19089376</v>
      </c>
      <c r="J11" s="85">
        <f>淘系!J11+抖音!J11+PDD!J11+得物!J11+京东自营财经口径!J11+京东POP财经口径!J11+'视频号+官网+小程序'!J11+快手!J11+唯品会!J11+'线下门店-直营'!J11+'线下门店-经销'!J11+线下渠道!J11+淘系达播!J11+抖音达播!J11</f>
        <v>1660136.2184492</v>
      </c>
      <c r="K11" s="85">
        <f>淘系!K11+抖音!K11+PDD!K11+得物!K11+京东自营财经口径!K11+京东POP财经口径!K11+'视频号+官网+小程序'!K11+快手!K11+唯品会!K11+'线下门店-直营'!K11+'线下门店-经销'!K11+线下渠道!K11+淘系达播!K11+抖音达播!K11</f>
        <v>1299971.76377208</v>
      </c>
      <c r="L11" s="85">
        <f>淘系!L11+抖音!L11+PDD!L11+得物!L11+京东自营财经口径!L11+京东POP财经口径!L11+'视频号+官网+小程序'!L11+快手!L11+唯品会!L11+'线下门店-直营'!L11+'线下门店-经销'!L11+线下渠道!L11+淘系达播!L11+抖音达播!L11</f>
        <v>1951796.21061715</v>
      </c>
      <c r="M11" s="85">
        <f>淘系!M11+抖音!M11+PDD!M11+得物!M11+京东自营财经口径!M11+京东POP财经口径!M11+'视频号+官网+小程序'!M11+快手!M11+唯品会!M11+'线下门店-直营'!M11+'线下门店-经销'!M11+线下渠道!M11+淘系达播!M11+抖音达播!M11</f>
        <v>2192450.10546958</v>
      </c>
      <c r="N11" s="85">
        <f>淘系!N11+抖音!N11+PDD!N11+得物!N11+京东自营财经口径!N11+京东POP财经口径!N11+'视频号+官网+小程序'!N11+快手!N11+唯品会!N11+'线下门店-直营'!N11+'线下门店-经销'!N11+线下渠道!N11+淘系达播!N11+抖音达播!N11</f>
        <v>2086010.28026412</v>
      </c>
      <c r="O11" s="37">
        <f t="shared" si="1"/>
        <v>18348906.9994777</v>
      </c>
      <c r="P11" s="38">
        <f>O11/O8</f>
        <v>0.0401905808060789</v>
      </c>
      <c r="Q11" s="6" t="s">
        <v>88</v>
      </c>
      <c r="R11" s="20">
        <f>O11/$O$10</f>
        <v>0.0306060988707436</v>
      </c>
      <c r="S11" s="6"/>
      <c r="T11" s="83"/>
      <c r="U11" s="84"/>
      <c r="V11" s="84"/>
    </row>
    <row r="12" ht="16.8" spans="1:22">
      <c r="A12" s="6"/>
      <c r="B12" s="17" t="s">
        <v>25</v>
      </c>
      <c r="C12" s="85">
        <f>淘系!C12+抖音!C12+PDD!C12+得物!C12+京东自营财经口径!C12+京东POP财经口径!C12+'视频号+官网+小程序'!C12+快手!C12+唯品会!C12+'线下门店-直营'!C12+'线下门店-经销'!C12+线下渠道!C12+淘系达播!C12+抖音达播!C12</f>
        <v>3374204.7287499</v>
      </c>
      <c r="D12" s="85">
        <f>淘系!D12+抖音!D12+PDD!D12+得物!D12+京东自营财经口径!D12+京东POP财经口径!D12+'视频号+官网+小程序'!D12+快手!D12+唯品会!D12+'线下门店-直营'!D12+'线下门店-经销'!D12+线下渠道!D12+淘系达播!D12+抖音达播!D12</f>
        <v>3225504.02840925</v>
      </c>
      <c r="E12" s="85">
        <f>淘系!E12+抖音!E12+PDD!E12+得物!E12+京东自营财经口径!E12+京东POP财经口径!E12+'视频号+官网+小程序'!E12+快手!E12+唯品会!E12+'线下门店-直营'!E12+'线下门店-经销'!E12+线下渠道!E12+淘系达播!E12+抖音达播!E12</f>
        <v>2793045.82634499</v>
      </c>
      <c r="F12" s="85">
        <f>淘系!F12+抖音!F12+PDD!F12+得物!F12+京东自营财经口径!F12+京东POP财经口径!F12+'视频号+官网+小程序'!F12+快手!F12+唯品会!F12+'线下门店-直营'!F12+'线下门店-经销'!F12+线下渠道!F12+淘系达播!F12+抖音达播!F12</f>
        <v>2421445.07753509</v>
      </c>
      <c r="G12" s="85">
        <f>淘系!G12+抖音!G12+PDD!G12+得物!G12+京东自营财经口径!G12+京东POP财经口径!G12+'视频号+官网+小程序'!G12+快手!G12+唯品会!G12+'线下门店-直营'!G12+'线下门店-经销'!G12+线下渠道!G12+淘系达播!G12+抖音达播!G12</f>
        <v>5483400.14133421</v>
      </c>
      <c r="H12" s="85">
        <f>淘系!H12+抖音!H12+PDD!H12+得物!H12+京东自营财经口径!H12+京东POP财经口径!H12+'视频号+官网+小程序'!H12+快手!H12+唯品会!H12+'线下门店-直营'!H12+'线下门店-经销'!H12+线下渠道!H12+淘系达播!H12+抖音达播!H12</f>
        <v>4885124.80702923</v>
      </c>
      <c r="I12" s="85">
        <f>淘系!I12+抖音!I12+PDD!I12+得物!I12+京东自营财经口径!I12+京东POP财经口径!I12+'视频号+官网+小程序'!I12+快手!I12+唯品会!I12+'线下门店-直营'!I12+'线下门店-经销'!I12+线下渠道!I12+淘系达播!I12+抖音达播!I12</f>
        <v>3103718.76294483</v>
      </c>
      <c r="J12" s="85">
        <f>淘系!J12+抖音!J12+PDD!J12+得物!J12+京东自营财经口径!J12+京东POP财经口径!J12+'视频号+官网+小程序'!J12+快手!J12+唯品会!J12+'线下门店-直营'!J12+'线下门店-经销'!J12+线下渠道!J12+淘系达播!J12+抖音达播!J12</f>
        <v>4576920.76573863</v>
      </c>
      <c r="K12" s="85">
        <f>淘系!K12+抖音!K12+PDD!K12+得物!K12+京东自营财经口径!K12+京东POP财经口径!K12+'视频号+官网+小程序'!K12+快手!K12+唯品会!K12+'线下门店-直营'!K12+'线下门店-经销'!K12+线下渠道!K12+淘系达播!K12+抖音达播!K12</f>
        <v>3197466.28135588</v>
      </c>
      <c r="L12" s="85">
        <f>淘系!L12+抖音!L12+PDD!L12+得物!L12+京东自营财经口径!L12+京东POP财经口径!L12+'视频号+官网+小程序'!L12+快手!L12+唯品会!L12+'线下门店-直营'!L12+'线下门店-经销'!L12+线下渠道!L12+淘系达播!L12+抖音达播!L12</f>
        <v>6268013.48070518</v>
      </c>
      <c r="M12" s="85">
        <f>淘系!M12+抖音!M12+PDD!M12+得物!M12+京东自营财经口径!M12+京东POP财经口径!M12+'视频号+官网+小程序'!M12+快手!M12+唯品会!M12+'线下门店-直营'!M12+'线下门店-经销'!M12+线下渠道!M12+淘系达播!M12+抖音达播!M12</f>
        <v>5236290.43051779</v>
      </c>
      <c r="N12" s="85">
        <f>淘系!N12+抖音!N12+PDD!N12+得物!N12+京东自营财经口径!N12+京东POP财经口径!N12+'视频号+官网+小程序'!N12+快手!N12+唯品会!N12+'线下门店-直营'!N12+'线下门店-经销'!N12+线下渠道!N12+淘系达播!N12+抖音达播!N12</f>
        <v>4234950.42955383</v>
      </c>
      <c r="O12" s="37">
        <f t="shared" si="1"/>
        <v>48800084.7602188</v>
      </c>
      <c r="P12" s="38">
        <f>O12/O8</f>
        <v>0.10688940490869</v>
      </c>
      <c r="Q12" s="6" t="s">
        <v>83</v>
      </c>
      <c r="R12" s="20">
        <f>O12/$O$10</f>
        <v>0.0813988658351387</v>
      </c>
      <c r="S12" s="6"/>
      <c r="T12" s="83"/>
      <c r="U12" s="84"/>
      <c r="V12" s="84"/>
    </row>
    <row r="13" ht="16.8" spans="1:22">
      <c r="A13" s="6"/>
      <c r="B13" s="17" t="s">
        <v>27</v>
      </c>
      <c r="C13" s="85">
        <f>淘系!C13+抖音!C13+PDD!C13+得物!C13+京东自营财经口径!C13+京东POP财经口径!C13+'视频号+官网+小程序'!C13+快手!C13+唯品会!C13+'线下门店-直营'!C13+'线下门店-经销'!C13+线下渠道!C13+淘系达播!C13+抖音达播!C13</f>
        <v>7394578.68258404</v>
      </c>
      <c r="D13" s="85">
        <f>淘系!D13+抖音!D13+PDD!D13+得物!D13+京东自营财经口径!D13+京东POP财经口径!D13+'视频号+官网+小程序'!D13+快手!D13+唯品会!D13+'线下门店-直营'!D13+'线下门店-经销'!D13+线下渠道!D13+淘系达播!D13+抖音达播!D13</f>
        <v>5584980.13869014</v>
      </c>
      <c r="E13" s="85">
        <f>淘系!E13+抖音!E13+PDD!E13+得物!E13+京东自营财经口径!E13+京东POP财经口径!E13+'视频号+官网+小程序'!E13+快手!E13+唯品会!E13+'线下门店-直营'!E13+'线下门店-经销'!E13+线下渠道!E13+淘系达播!E13+抖音达播!E13</f>
        <v>4178396.8769444</v>
      </c>
      <c r="F13" s="85">
        <f>淘系!F13+抖音!F13+PDD!F13+得物!F13+京东自营财经口径!F13+京东POP财经口径!F13+'视频号+官网+小程序'!F13+快手!F13+唯品会!F13+'线下门店-直营'!F13+'线下门店-经销'!F13+线下渠道!F13+淘系达播!F13+抖音达播!F13</f>
        <v>3877961.28435304</v>
      </c>
      <c r="G13" s="85">
        <f>淘系!G13+抖音!G13+PDD!G13+得物!G13+京东自营财经口径!G13+京东POP财经口径!G13+'视频号+官网+小程序'!G13+快手!G13+唯品会!G13+'线下门店-直营'!G13+'线下门店-经销'!G13+线下渠道!G13+淘系达播!G13+抖音达播!G13</f>
        <v>7290043.4954846</v>
      </c>
      <c r="H13" s="85">
        <f>淘系!H13+抖音!H13+PDD!H13+得物!H13+京东自营财经口径!H13+京东POP财经口径!H13+'视频号+官网+小程序'!H13+快手!H13+唯品会!H13+'线下门店-直营'!H13+'线下门店-经销'!H13+线下渠道!H13+淘系达播!H13+抖音达播!H13</f>
        <v>6829676.21215004</v>
      </c>
      <c r="I13" s="85">
        <f>淘系!I13+抖音!I13+PDD!I13+得物!I13+京东自营财经口径!I13+京东POP财经口径!I13+'视频号+官网+小程序'!I13+快手!I13+唯品会!I13+'线下门店-直营'!I13+'线下门店-经销'!I13+线下渠道!I13+淘系达播!I13+抖音达播!I13</f>
        <v>5145767.98182824</v>
      </c>
      <c r="J13" s="85">
        <f>淘系!J13+抖音!J13+PDD!J13+得物!J13+京东自营财经口径!J13+京东POP财经口径!J13+'视频号+官网+小程序'!J13+快手!J13+唯品会!J13+'线下门店-直营'!J13+'线下门店-经销'!J13+线下渠道!J13+淘系达播!J13+抖音达播!J13</f>
        <v>6751727.89533766</v>
      </c>
      <c r="K13" s="85">
        <f>淘系!K13+抖音!K13+PDD!K13+得物!K13+京东自营财经口径!K13+京东POP财经口径!K13+'视频号+官网+小程序'!K13+快手!K13+唯品会!K13+'线下门店-直营'!K13+'线下门店-经销'!K13+线下渠道!K13+淘系达播!K13+抖音达播!K13</f>
        <v>5162680.46882492</v>
      </c>
      <c r="L13" s="85">
        <f>淘系!L13+抖音!L13+PDD!L13+得物!L13+京东自营财经口径!L13+京东POP财经口径!L13+'视频号+官网+小程序'!L13+快手!L13+唯品会!L13+'线下门店-直营'!L13+'线下门店-经销'!L13+线下渠道!L13+淘系达播!L13+抖音达播!L13</f>
        <v>8339303.60291982</v>
      </c>
      <c r="M13" s="85">
        <f>淘系!M13+抖音!M13+PDD!M13+得物!M13+京东自营财经口径!M13+京东POP财经口径!M13+'视频号+官网+小程序'!M13+快手!M13+唯品会!M13+'线下门店-直营'!M13+'线下门店-经销'!M13+线下渠道!M13+淘系达播!M13+抖音达播!M13</f>
        <v>8250770.24798306</v>
      </c>
      <c r="N13" s="85">
        <f>淘系!N13+抖音!N13+PDD!N13+得物!N13+京东自营财经口径!N13+京东POP财经口径!N13+'视频号+官网+小程序'!N13+快手!N13+唯品会!N13+'线下门店-直营'!N13+'线下门店-经销'!N13+线下渠道!N13+淘系达播!N13+抖音达播!N13</f>
        <v>7015669.86189429</v>
      </c>
      <c r="O13" s="37">
        <f t="shared" si="1"/>
        <v>75821556.7489942</v>
      </c>
      <c r="P13" s="38">
        <f>O13/O8</f>
        <v>0.166075963186793</v>
      </c>
      <c r="Q13" s="11" t="s">
        <v>83</v>
      </c>
      <c r="R13" s="20">
        <f>O13/$O$10</f>
        <v>0.126470860768953</v>
      </c>
      <c r="S13" s="6"/>
      <c r="T13" s="83"/>
      <c r="U13" s="84"/>
      <c r="V13" s="84"/>
    </row>
    <row r="14" ht="16.8" spans="1:22">
      <c r="A14" s="6"/>
      <c r="B14" s="21" t="s">
        <v>28</v>
      </c>
      <c r="C14" s="40">
        <f t="shared" ref="C14:N14" si="2">SUM(C11:C13)</f>
        <v>11963942.6020667</v>
      </c>
      <c r="D14" s="40">
        <f t="shared" si="2"/>
        <v>10111266.3210157</v>
      </c>
      <c r="E14" s="40">
        <f t="shared" si="2"/>
        <v>7988646.57196387</v>
      </c>
      <c r="F14" s="40">
        <f t="shared" si="2"/>
        <v>7247029.35417637</v>
      </c>
      <c r="G14" s="40">
        <f t="shared" si="2"/>
        <v>14479812.0400227</v>
      </c>
      <c r="H14" s="40">
        <f t="shared" si="2"/>
        <v>13388917.6403754</v>
      </c>
      <c r="I14" s="40">
        <f t="shared" si="2"/>
        <v>9566775.93566682</v>
      </c>
      <c r="J14" s="40">
        <f t="shared" si="2"/>
        <v>12988784.8795255</v>
      </c>
      <c r="K14" s="40">
        <f t="shared" si="2"/>
        <v>9660118.51395288</v>
      </c>
      <c r="L14" s="40">
        <f t="shared" si="2"/>
        <v>16559113.2942421</v>
      </c>
      <c r="M14" s="40">
        <f t="shared" si="2"/>
        <v>15679510.7839704</v>
      </c>
      <c r="N14" s="40">
        <f t="shared" si="2"/>
        <v>13336630.5717122</v>
      </c>
      <c r="O14" s="40">
        <f t="shared" si="1"/>
        <v>142970548.508691</v>
      </c>
      <c r="P14" s="41">
        <f>O14/O8</f>
        <v>0.313155948901561</v>
      </c>
      <c r="Q14" s="6"/>
      <c r="R14" s="20">
        <f>O14/$O$10</f>
        <v>0.238475825474835</v>
      </c>
      <c r="S14" s="6"/>
      <c r="T14" s="83"/>
      <c r="U14" s="84"/>
      <c r="V14" s="84"/>
    </row>
    <row r="15" ht="16.8" spans="1:22">
      <c r="A15" s="32"/>
      <c r="B15" s="12" t="s">
        <v>29</v>
      </c>
      <c r="C15" s="12">
        <f t="shared" ref="C15:N15" si="3">C8</f>
        <v>31205087.5352847</v>
      </c>
      <c r="D15" s="12">
        <f t="shared" si="3"/>
        <v>31208498.3327126</v>
      </c>
      <c r="E15" s="12">
        <f t="shared" si="3"/>
        <v>26660526.4033732</v>
      </c>
      <c r="F15" s="12">
        <f t="shared" si="3"/>
        <v>23102359.7871181</v>
      </c>
      <c r="G15" s="12">
        <f t="shared" si="3"/>
        <v>48293320.0663927</v>
      </c>
      <c r="H15" s="12">
        <f t="shared" si="3"/>
        <v>43922617.9788307</v>
      </c>
      <c r="I15" s="12">
        <f t="shared" si="3"/>
        <v>30673968.0824199</v>
      </c>
      <c r="J15" s="12">
        <f t="shared" si="3"/>
        <v>42465044.5994157</v>
      </c>
      <c r="K15" s="12">
        <f t="shared" si="3"/>
        <v>31058309.9846751</v>
      </c>
      <c r="L15" s="12">
        <f t="shared" si="3"/>
        <v>54671215.6397098</v>
      </c>
      <c r="M15" s="12">
        <f t="shared" si="3"/>
        <v>51171422.6805427</v>
      </c>
      <c r="N15" s="12">
        <f t="shared" si="3"/>
        <v>42115074.3921354</v>
      </c>
      <c r="O15" s="12">
        <f t="shared" si="1"/>
        <v>456547445.482611</v>
      </c>
      <c r="P15" s="12"/>
      <c r="Q15" s="6"/>
      <c r="R15" s="6"/>
      <c r="S15" s="6"/>
      <c r="T15" s="83"/>
      <c r="U15" s="84"/>
      <c r="V15" s="84"/>
    </row>
    <row r="16" ht="16.8" spans="1:22">
      <c r="A16" s="32"/>
      <c r="B16" s="12" t="s">
        <v>30</v>
      </c>
      <c r="C16" s="12">
        <f t="shared" ref="C16:N16" si="4">+C8/1.13</f>
        <v>27615121.7126413</v>
      </c>
      <c r="D16" s="12">
        <f t="shared" si="4"/>
        <v>27618140.1174448</v>
      </c>
      <c r="E16" s="12">
        <f t="shared" si="4"/>
        <v>23593386.1976754</v>
      </c>
      <c r="F16" s="12">
        <f t="shared" si="4"/>
        <v>20444566.1832904</v>
      </c>
      <c r="G16" s="12">
        <f t="shared" si="4"/>
        <v>42737451.3861883</v>
      </c>
      <c r="H16" s="12">
        <f t="shared" si="4"/>
        <v>38869573.4325935</v>
      </c>
      <c r="I16" s="12">
        <f t="shared" si="4"/>
        <v>27145104.4977167</v>
      </c>
      <c r="J16" s="12">
        <f t="shared" si="4"/>
        <v>37579685.4862086</v>
      </c>
      <c r="K16" s="12">
        <f t="shared" si="4"/>
        <v>27485230.0749337</v>
      </c>
      <c r="L16" s="12">
        <f t="shared" si="4"/>
        <v>48381606.7608052</v>
      </c>
      <c r="M16" s="12">
        <f t="shared" si="4"/>
        <v>45284444.8500378</v>
      </c>
      <c r="N16" s="12">
        <f t="shared" si="4"/>
        <v>37269977.3381729</v>
      </c>
      <c r="O16" s="12">
        <f t="shared" si="1"/>
        <v>404024288.037709</v>
      </c>
      <c r="P16" s="12"/>
      <c r="Q16" s="6"/>
      <c r="R16" s="6"/>
      <c r="S16" s="6"/>
      <c r="T16" s="53">
        <f>O16-淘系!O16-淘系达播!O16-抖音!O16-抖音达播!O16-快手!O16-京东POP财经口径!O16-京东自营财经口径!O16-PDD!O16-得物!O16-'视频号+官网+小程序'!O16-唯品会!O16-'线下门店-直营'!O16-'线下门店-经销'!O16-线下渠道!O16</f>
        <v>0</v>
      </c>
      <c r="U16" s="84"/>
      <c r="V16" s="84"/>
    </row>
    <row r="17" spans="1:22">
      <c r="A17" s="6"/>
      <c r="B17" s="6"/>
      <c r="C17" s="52">
        <f>C14/C15</f>
        <v>0.383397181262145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53">
        <f>O17-淘系!O17-淘系达播!O17-抖音!O17-抖音达播!O17-快手!O17-京东POP财经口径!O17-京东自营财经口径!O17-PDD!O17-得物!O17-'视频号+官网+小程序'!O17-唯品会!O17-'线下门店-直营'!O17-'线下门店-经销'!O17-线下渠道!O17</f>
        <v>0</v>
      </c>
      <c r="U17" s="84"/>
      <c r="V17" s="84"/>
    </row>
    <row r="18" ht="16.8" spans="1:22">
      <c r="A18" s="6"/>
      <c r="B18" s="17" t="s">
        <v>31</v>
      </c>
      <c r="C18" s="37">
        <f>淘系!C18+抖音!C18+PDD!C18+得物!C18+京东自营财经口径!C18+京东POP财经口径!C18+'视频号+官网+小程序'!C18+快手!C18+唯品会!C18+'线下门店-直营'!C18+'线下门店-经销'!C18+线下渠道!C18+淘系达播!C18+抖音达播!C18</f>
        <v>13519374.9850739</v>
      </c>
      <c r="D18" s="37">
        <f>淘系!D18+抖音!D18+PDD!D18+得物!D18+京东自营财经口径!D18+京东POP财经口径!D18+'视频号+官网+小程序'!D18+快手!D18+唯品会!D18+'线下门店-直营'!D18+'线下门店-经销'!D18+线下渠道!D18+淘系达播!D18+抖音达播!D18</f>
        <v>13428661.7001208</v>
      </c>
      <c r="E18" s="37">
        <f>淘系!E18+抖音!E18+PDD!E18+得物!E18+京东自营财经口径!E18+京东POP财经口径!E18+'视频号+官网+小程序'!E18+快手!E18+唯品会!E18+'线下门店-直营'!E18+'线下门店-经销'!E18+线下渠道!E18+淘系达播!E18+抖音达播!E18</f>
        <v>11966212.8056056</v>
      </c>
      <c r="F18" s="37">
        <f>淘系!F18+抖音!F18+PDD!F18+得物!F18+京东自营财经口径!F18+京东POP财经口径!F18+'视频号+官网+小程序'!F18+快手!F18+唯品会!F18+'线下门店-直营'!F18+'线下门店-经销'!F18+线下渠道!F18+淘系达播!F18+抖音达播!F18</f>
        <v>10347616.7683095</v>
      </c>
      <c r="G18" s="37">
        <f>淘系!G18+抖音!G18+PDD!G18+得物!G18+京东自营财经口径!G18+京东POP财经口径!G18+'视频号+官网+小程序'!G18+快手!G18+唯品会!G18+'线下门店-直营'!G18+'线下门店-经销'!G18+线下渠道!G18+淘系达播!G18+抖音达播!G18</f>
        <v>19576713.1182192</v>
      </c>
      <c r="H18" s="37">
        <f>淘系!H18+抖音!H18+PDD!H18+得物!H18+京东自营财经口径!H18+京东POP财经口径!H18+'视频号+官网+小程序'!H18+快手!H18+唯品会!H18+'线下门店-直营'!H18+'线下门店-经销'!H18+线下渠道!H18+淘系达播!H18+抖音达播!H18</f>
        <v>17979626.5984226</v>
      </c>
      <c r="I18" s="37">
        <f>淘系!I18+抖音!I18+PDD!I18+得物!I18+京东自营财经口径!I18+京东POP财经口径!I18+'视频号+官网+小程序'!I18+快手!I18+唯品会!I18+'线下门店-直营'!I18+'线下门店-经销'!I18+线下渠道!I18+淘系达播!I18+抖音达播!I18</f>
        <v>11695230.6120084</v>
      </c>
      <c r="J18" s="37">
        <f>淘系!J18+抖音!J18+PDD!J18+得物!J18+京东自营财经口径!J18+京东POP财经口径!J18+'视频号+官网+小程序'!J18+快手!J18+唯品会!J18+'线下门店-直营'!J18+'线下门店-经销'!J18+线下渠道!J18+淘系达播!J18+抖音达播!J18</f>
        <v>16035701.4184799</v>
      </c>
      <c r="K18" s="37">
        <f>淘系!K18+抖音!K18+PDD!K18+得物!K18+京东自营财经口径!K18+京东POP财经口径!K18+'视频号+官网+小程序'!K18+快手!K18+唯品会!K18+'线下门店-直营'!K18+'线下门店-经销'!K18+线下渠道!K18+淘系达播!K18+抖音达播!K18</f>
        <v>11502650.674456</v>
      </c>
      <c r="L18" s="37">
        <f>淘系!L18+抖音!L18+PDD!L18+得物!L18+京东自营财经口径!L18+京东POP财经口径!L18+'视频号+官网+小程序'!L18+快手!L18+唯品会!L18+'线下门店-直营'!L18+'线下门店-经销'!L18+线下渠道!L18+淘系达播!L18+抖音达播!L18</f>
        <v>19921815.475403</v>
      </c>
      <c r="M18" s="37">
        <f>淘系!M18+抖音!M18+PDD!M18+得物!M18+京东自营财经口径!M18+京东POP财经口径!M18+'视频号+官网+小程序'!M18+快手!M18+唯品会!M18+'线下门店-直营'!M18+'线下门店-经销'!M18+线下渠道!M18+淘系达播!M18+抖音达播!M18</f>
        <v>18172578.0000154</v>
      </c>
      <c r="N18" s="37">
        <f>淘系!N18+抖音!N18+PDD!N18+得物!N18+京东自营财经口径!N18+京东POP财经口径!N18+'视频号+官网+小程序'!N18+快手!N18+唯品会!N18+'线下门店-直营'!N18+'线下门店-经销'!N18+线下渠道!N18+淘系达播!N18+抖音达播!N18</f>
        <v>14738371.8009501</v>
      </c>
      <c r="O18" s="37">
        <f>SUM(C18:N18)</f>
        <v>178884553.957064</v>
      </c>
      <c r="P18" s="38">
        <f>O18/O16</f>
        <v>0.442756931336684</v>
      </c>
      <c r="Q18" s="6"/>
      <c r="R18" s="6" t="s">
        <v>89</v>
      </c>
      <c r="S18" s="6"/>
      <c r="T18" s="53">
        <f>O18-淘系!O18-淘系达播!O18-抖音!O18-抖音达播!O18-快手!O18-京东POP财经口径!O18-京东自营财经口径!O18-PDD!O18-得物!O18-'视频号+官网+小程序'!O18-唯品会!O18-'线下门店-直营'!O18-'线下门店-经销'!O18-线下渠道!O18</f>
        <v>0</v>
      </c>
      <c r="U18" s="84"/>
      <c r="V18" s="84"/>
    </row>
    <row r="19" ht="16.8" spans="1:22">
      <c r="A19" s="6"/>
      <c r="B19" s="21" t="s">
        <v>32</v>
      </c>
      <c r="C19" s="40">
        <f t="shared" ref="C19:N19" si="5">C16-C18</f>
        <v>14095746.7275675</v>
      </c>
      <c r="D19" s="40">
        <f t="shared" si="5"/>
        <v>14189478.417324</v>
      </c>
      <c r="E19" s="40">
        <f t="shared" si="5"/>
        <v>11627173.3920698</v>
      </c>
      <c r="F19" s="40">
        <f t="shared" si="5"/>
        <v>10096949.4149809</v>
      </c>
      <c r="G19" s="40">
        <f t="shared" si="5"/>
        <v>23160738.2679691</v>
      </c>
      <c r="H19" s="40">
        <f t="shared" si="5"/>
        <v>20889946.8341709</v>
      </c>
      <c r="I19" s="40">
        <f t="shared" si="5"/>
        <v>15449873.8857083</v>
      </c>
      <c r="J19" s="40">
        <f t="shared" si="5"/>
        <v>21543984.0677287</v>
      </c>
      <c r="K19" s="40">
        <f t="shared" si="5"/>
        <v>15982579.4004778</v>
      </c>
      <c r="L19" s="40">
        <f t="shared" si="5"/>
        <v>28459791.2854022</v>
      </c>
      <c r="M19" s="40">
        <f t="shared" si="5"/>
        <v>27111866.8500224</v>
      </c>
      <c r="N19" s="40">
        <f t="shared" si="5"/>
        <v>22531605.5372227</v>
      </c>
      <c r="O19" s="40">
        <f>SUM(C19:N19)</f>
        <v>225139734.080644</v>
      </c>
      <c r="P19" s="41">
        <f>O19/$O$16</f>
        <v>0.557243068663316</v>
      </c>
      <c r="Q19" s="6"/>
      <c r="R19" s="35">
        <f>O16*0.12</f>
        <v>48482914.564525</v>
      </c>
      <c r="S19" s="6"/>
      <c r="T19" s="53">
        <f>O19-淘系!O19-淘系达播!O19-抖音!O19-抖音达播!O19-快手!O19-京东POP财经口径!O19-京东自营财经口径!O19-PDD!O19-得物!O19-'视频号+官网+小程序'!O19-唯品会!O19-'线下门店-直营'!O19-'线下门店-经销'!O19-线下渠道!O19</f>
        <v>0</v>
      </c>
      <c r="U19" s="84"/>
      <c r="V19" s="84"/>
    </row>
    <row r="20" ht="16.8" spans="1:22">
      <c r="A20" s="36"/>
      <c r="B20" s="4" t="s">
        <v>33</v>
      </c>
      <c r="C20" s="36">
        <f t="shared" ref="C20:N20" si="6">C16*2.5%</f>
        <v>690378.042816034</v>
      </c>
      <c r="D20" s="36">
        <f t="shared" si="6"/>
        <v>690453.50293612</v>
      </c>
      <c r="E20" s="36">
        <f t="shared" si="6"/>
        <v>589834.654941884</v>
      </c>
      <c r="F20" s="36">
        <f t="shared" si="6"/>
        <v>511114.15458226</v>
      </c>
      <c r="G20" s="36">
        <f t="shared" si="6"/>
        <v>1068436.28465471</v>
      </c>
      <c r="H20" s="36">
        <f t="shared" si="6"/>
        <v>971739.335814838</v>
      </c>
      <c r="I20" s="36">
        <f t="shared" si="6"/>
        <v>678627.612442918</v>
      </c>
      <c r="J20" s="36">
        <f t="shared" si="6"/>
        <v>939492.137155215</v>
      </c>
      <c r="K20" s="36">
        <f t="shared" si="6"/>
        <v>687130.751873343</v>
      </c>
      <c r="L20" s="36">
        <f t="shared" si="6"/>
        <v>1209540.16902013</v>
      </c>
      <c r="M20" s="36">
        <f t="shared" si="6"/>
        <v>1132111.12125094</v>
      </c>
      <c r="N20" s="36">
        <f t="shared" si="6"/>
        <v>931749.433454322</v>
      </c>
      <c r="O20" s="36">
        <f>SUM(C20:N20)</f>
        <v>10100607.2009427</v>
      </c>
      <c r="P20" s="42">
        <v>0.025</v>
      </c>
      <c r="Q20" s="6"/>
      <c r="R20" s="35"/>
      <c r="S20" s="6"/>
      <c r="T20" s="53">
        <f>O20-淘系!O20-淘系达播!O20-抖音!O20-抖音达播!O20-快手!O20-京东POP财经口径!O20-京东自营财经口径!O20-PDD!O20-得物!O20-'视频号+官网+小程序'!O20-唯品会!O20-'线下门店-直营'!O20-'线下门店-经销'!O20-线下渠道!O20</f>
        <v>40154.7056694266</v>
      </c>
      <c r="U20" s="84"/>
      <c r="V20" s="84"/>
    </row>
    <row r="21" ht="16.8" spans="1:22">
      <c r="A21" s="6"/>
      <c r="B21" s="21" t="s">
        <v>35</v>
      </c>
      <c r="C21" s="40">
        <f t="shared" ref="C21:N21" si="7">SUM(C18,C20)</f>
        <v>14209753.0278899</v>
      </c>
      <c r="D21" s="40">
        <f t="shared" si="7"/>
        <v>14119115.2030569</v>
      </c>
      <c r="E21" s="40">
        <f t="shared" si="7"/>
        <v>12556047.4605475</v>
      </c>
      <c r="F21" s="40">
        <f t="shared" si="7"/>
        <v>10858730.9228918</v>
      </c>
      <c r="G21" s="40">
        <f t="shared" si="7"/>
        <v>20645149.4028739</v>
      </c>
      <c r="H21" s="40">
        <f t="shared" si="7"/>
        <v>18951365.9342374</v>
      </c>
      <c r="I21" s="40">
        <f t="shared" si="7"/>
        <v>12373858.2244513</v>
      </c>
      <c r="J21" s="40">
        <f t="shared" si="7"/>
        <v>16975193.5556351</v>
      </c>
      <c r="K21" s="40">
        <f t="shared" si="7"/>
        <v>12189781.4263293</v>
      </c>
      <c r="L21" s="40">
        <f t="shared" si="7"/>
        <v>21131355.6444231</v>
      </c>
      <c r="M21" s="40">
        <f t="shared" si="7"/>
        <v>19304689.1212664</v>
      </c>
      <c r="N21" s="40">
        <f t="shared" si="7"/>
        <v>15670121.2344045</v>
      </c>
      <c r="O21" s="40">
        <f>SUM(C21:N21)</f>
        <v>188985161.158007</v>
      </c>
      <c r="P21" s="41">
        <f>O21/$O$16</f>
        <v>0.467756931336684</v>
      </c>
      <c r="Q21" s="6"/>
      <c r="R21" s="35"/>
      <c r="S21" s="6"/>
      <c r="T21" s="53">
        <f>O21-淘系!O21-淘系达播!O21-抖音!O21-抖音达播!O21-快手!O21-京东POP财经口径!O21-京东自营财经口径!O21-PDD!O21-得物!O21-'视频号+官网+小程序'!O21-唯品会!O21-'线下门店-直营'!O21-'线下门店-经销'!O21-线下渠道!O21</f>
        <v>40154.7056694888</v>
      </c>
      <c r="U21" s="84"/>
      <c r="V21" s="84"/>
    </row>
    <row r="22" ht="16.8" spans="1:22">
      <c r="A22" s="32"/>
      <c r="B22" s="12" t="s">
        <v>36</v>
      </c>
      <c r="C22" s="12">
        <f t="shared" ref="C22:N22" si="8">C16-C21</f>
        <v>13405368.6847514</v>
      </c>
      <c r="D22" s="12">
        <f t="shared" si="8"/>
        <v>13499024.9143879</v>
      </c>
      <c r="E22" s="12">
        <f t="shared" si="8"/>
        <v>11037338.7371279</v>
      </c>
      <c r="F22" s="12">
        <f t="shared" si="8"/>
        <v>9585835.26039861</v>
      </c>
      <c r="G22" s="12">
        <f t="shared" si="8"/>
        <v>22092301.9833144</v>
      </c>
      <c r="H22" s="12">
        <f t="shared" si="8"/>
        <v>19918207.4983561</v>
      </c>
      <c r="I22" s="12">
        <f t="shared" si="8"/>
        <v>14771246.2732654</v>
      </c>
      <c r="J22" s="12">
        <f t="shared" si="8"/>
        <v>20604491.9305735</v>
      </c>
      <c r="K22" s="12">
        <f t="shared" si="8"/>
        <v>15295448.6486044</v>
      </c>
      <c r="L22" s="12">
        <f t="shared" si="8"/>
        <v>27250251.116382</v>
      </c>
      <c r="M22" s="12">
        <f t="shared" si="8"/>
        <v>25979755.7287714</v>
      </c>
      <c r="N22" s="12">
        <f t="shared" si="8"/>
        <v>21599856.1037684</v>
      </c>
      <c r="O22" s="12">
        <f>SUM(C22:N22)</f>
        <v>215039126.879701</v>
      </c>
      <c r="P22" s="43">
        <f>O22/$O$16</f>
        <v>0.532243068663316</v>
      </c>
      <c r="Q22" s="6"/>
      <c r="R22" s="6"/>
      <c r="S22" s="6"/>
      <c r="T22" s="53">
        <f>O22-淘系!O22-淘系达播!O22-抖音!O22-抖音达播!O22-快手!O22-京东POP财经口径!O22-京东自营财经口径!O22-PDD!O22-得物!O22-'视频号+官网+小程序'!O22-唯品会!O22-'线下门店-直营'!O22-'线下门店-经销'!O22-线下渠道!O22</f>
        <v>-40154.7056694292</v>
      </c>
      <c r="U22" s="84"/>
      <c r="V22" s="84"/>
    </row>
    <row r="23" ht="16.8" spans="1:22">
      <c r="A23" s="6"/>
      <c r="B23" s="14" t="s">
        <v>37</v>
      </c>
      <c r="C23" s="44">
        <f t="shared" ref="C23:O23" si="9">C19/C16</f>
        <v>0.510435799423433</v>
      </c>
      <c r="D23" s="44">
        <f t="shared" si="9"/>
        <v>0.513773858666222</v>
      </c>
      <c r="E23" s="44">
        <f t="shared" si="9"/>
        <v>0.492814947996544</v>
      </c>
      <c r="F23" s="44">
        <f t="shared" si="9"/>
        <v>0.493869584928304</v>
      </c>
      <c r="G23" s="44">
        <f t="shared" si="9"/>
        <v>0.541930730933901</v>
      </c>
      <c r="H23" s="44">
        <f t="shared" si="9"/>
        <v>0.537436997357269</v>
      </c>
      <c r="I23" s="44">
        <f t="shared" si="9"/>
        <v>0.569158755200514</v>
      </c>
      <c r="J23" s="44">
        <f t="shared" si="9"/>
        <v>0.573288035516826</v>
      </c>
      <c r="K23" s="44">
        <f t="shared" si="9"/>
        <v>0.581497020650874</v>
      </c>
      <c r="L23" s="44">
        <f t="shared" si="9"/>
        <v>0.588235761290549</v>
      </c>
      <c r="M23" s="44">
        <f t="shared" si="9"/>
        <v>0.598701539564081</v>
      </c>
      <c r="N23" s="44">
        <f t="shared" si="9"/>
        <v>0.604551093036091</v>
      </c>
      <c r="O23" s="44">
        <f t="shared" si="9"/>
        <v>0.557243068663316</v>
      </c>
      <c r="P23" s="42"/>
      <c r="Q23" s="6"/>
      <c r="R23" s="6" t="s">
        <v>90</v>
      </c>
      <c r="S23" s="6"/>
      <c r="T23" s="53">
        <f>O23-淘系!O23-淘系达播!O23-抖音!O23-抖音达播!O23-快手!O23-京东POP财经口径!O23-京东自营财经口径!O23-PDD!O23-得物!O23-'视频号+官网+小程序'!O23-唯品会!O23-'线下门店-直营'!O23-'线下门店-经销'!O23-线下渠道!O23</f>
        <v>-7.28106215213068</v>
      </c>
      <c r="U23" s="84"/>
      <c r="V23" s="84"/>
    </row>
    <row r="24" ht="16.8" spans="1:22">
      <c r="A24" s="6"/>
      <c r="B24" s="14" t="s">
        <v>38</v>
      </c>
      <c r="C24" s="44">
        <f t="shared" ref="C24:O24" si="10">IFERROR(1-C21/C16,0)</f>
        <v>0.485435799423433</v>
      </c>
      <c r="D24" s="44">
        <f t="shared" si="10"/>
        <v>0.488773858666222</v>
      </c>
      <c r="E24" s="44">
        <f t="shared" si="10"/>
        <v>0.467814947996544</v>
      </c>
      <c r="F24" s="44">
        <f t="shared" si="10"/>
        <v>0.468869584928304</v>
      </c>
      <c r="G24" s="44">
        <f t="shared" si="10"/>
        <v>0.516930730933901</v>
      </c>
      <c r="H24" s="44">
        <f t="shared" si="10"/>
        <v>0.512436997357269</v>
      </c>
      <c r="I24" s="44">
        <f t="shared" si="10"/>
        <v>0.544158755200514</v>
      </c>
      <c r="J24" s="44">
        <f t="shared" si="10"/>
        <v>0.548288035516826</v>
      </c>
      <c r="K24" s="44">
        <f t="shared" si="10"/>
        <v>0.556497020650874</v>
      </c>
      <c r="L24" s="44">
        <f t="shared" si="10"/>
        <v>0.563235761290549</v>
      </c>
      <c r="M24" s="44">
        <f t="shared" si="10"/>
        <v>0.573701539564081</v>
      </c>
      <c r="N24" s="44">
        <f t="shared" si="10"/>
        <v>0.579551093036091</v>
      </c>
      <c r="O24" s="44">
        <f t="shared" si="10"/>
        <v>0.532243068663316</v>
      </c>
      <c r="P24" s="42"/>
      <c r="Q24" s="6"/>
      <c r="R24" s="6"/>
      <c r="S24" s="6"/>
      <c r="T24" s="53">
        <f>O24-淘系!O24-淘系达播!O24-抖音!O24-抖音达播!O24-快手!O24-京东POP财经口径!O24-京东自营财经口径!O24-PDD!O24-得物!O24-'视频号+官网+小程序'!O24-唯品会!O24-'线下门店-直营'!O24-'线下门店-经销'!O24-线下渠道!O24</f>
        <v>-6.98906215213068</v>
      </c>
      <c r="U24" s="84"/>
      <c r="V24" s="84"/>
    </row>
    <row r="25" ht="16.8" spans="1:22">
      <c r="A25" s="6"/>
      <c r="B25" s="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42"/>
      <c r="Q25" s="6"/>
      <c r="R25" s="6"/>
      <c r="S25" s="6"/>
      <c r="T25" s="53">
        <f>O25-淘系!O25-淘系达播!O25-抖音!O25-抖音达播!O25-快手!O25-京东POP财经口径!O25-京东自营财经口径!O25-PDD!O25-得物!O25-'视频号+官网+小程序'!O25-唯品会!O25-'线下门店-直营'!O25-'线下门店-经销'!O25-线下渠道!O25</f>
        <v>0</v>
      </c>
      <c r="U25" s="84"/>
      <c r="V25" s="84"/>
    </row>
    <row r="26" ht="19" customHeight="1" spans="1:22">
      <c r="A26" s="6"/>
      <c r="B26" s="86" t="s">
        <v>39</v>
      </c>
      <c r="C26" s="86">
        <f t="shared" ref="C26:N26" si="11">SUM(C27:C31)</f>
        <v>751638.837830772</v>
      </c>
      <c r="D26" s="86">
        <f t="shared" si="11"/>
        <v>2209499.70498667</v>
      </c>
      <c r="E26" s="86">
        <f t="shared" si="11"/>
        <v>3628334.43256354</v>
      </c>
      <c r="F26" s="86">
        <f t="shared" si="11"/>
        <v>2088171.00907326</v>
      </c>
      <c r="G26" s="86">
        <f t="shared" si="11"/>
        <v>8100807.38938975</v>
      </c>
      <c r="H26" s="86">
        <f t="shared" si="11"/>
        <v>4791643.23931378</v>
      </c>
      <c r="I26" s="86">
        <f t="shared" si="11"/>
        <v>1089143.16083901</v>
      </c>
      <c r="J26" s="86">
        <f t="shared" si="11"/>
        <v>1639717.66245094</v>
      </c>
      <c r="K26" s="86">
        <f t="shared" si="11"/>
        <v>1204886.04676431</v>
      </c>
      <c r="L26" s="86">
        <f t="shared" si="11"/>
        <v>4469590.76461686</v>
      </c>
      <c r="M26" s="86">
        <f t="shared" si="11"/>
        <v>1775881.64771413</v>
      </c>
      <c r="N26" s="86">
        <f t="shared" si="11"/>
        <v>1241819.83352515</v>
      </c>
      <c r="O26" s="86">
        <f t="shared" ref="O26:O31" si="12">SUM(C26:N26)</f>
        <v>32991133.7290682</v>
      </c>
      <c r="P26" s="38">
        <f t="shared" ref="P26:P31" si="13">O26/$O$16</f>
        <v>0.0816563130135113</v>
      </c>
      <c r="Q26" s="6"/>
      <c r="R26" s="6"/>
      <c r="S26" s="6"/>
      <c r="T26" s="53">
        <f>O26-淘系!O26-淘系达播!O26-抖音!O26-抖音达播!O26-快手!O26-京东POP财经口径!O26-京东自营财经口径!O26-PDD!O26-得物!O26-'视频号+官网+小程序'!O26-唯品会!O26-'线下门店-直营'!O26-'线下门店-经销'!O26-线下渠道!O26</f>
        <v>0</v>
      </c>
    </row>
    <row r="27" ht="19" customHeight="1" spans="1:22">
      <c r="A27" s="36"/>
      <c r="B27" s="87" t="s">
        <v>40</v>
      </c>
      <c r="C27" s="87">
        <f>淘系!C27+抖音!C27+PDD!C27+得物!C27+京东自营财经口径!C27+京东POP财经口径!C27+'视频号+官网+小程序'!C27+快手!C27+唯品会!C27+'线下门店-直营'!C27+'线下门店-经销'!C27+线下渠道!C27+淘系达播!C27+抖音达播!C27</f>
        <v>0</v>
      </c>
      <c r="D27" s="87">
        <f>淘系!D27+抖音!D27+PDD!D27+得物!D27+京东自营财经口径!D27+京东POP财经口径!D27+'视频号+官网+小程序'!D27+快手!D27+唯品会!D27+'线下门店-直营'!D27+'线下门店-经销'!D27+线下渠道!D27+淘系达播!D27+抖音达播!D27</f>
        <v>0</v>
      </c>
      <c r="E27" s="87">
        <f>淘系!E27+抖音!E27+PDD!E27+得物!E27+京东自营财经口径!E27+京东POP财经口径!E27+'视频号+官网+小程序'!E27+快手!E27+唯品会!E27+'线下门店-直营'!E27+'线下门店-经销'!E27+线下渠道!E27+淘系达播!E27+抖音达播!E27</f>
        <v>64814.267453294</v>
      </c>
      <c r="F27" s="87">
        <f>淘系!F27+抖音!F27+PDD!F27+得物!F27+京东自营财经口径!F27+京东POP财经口径!F27+'视频号+官网+小程序'!F27+快手!F27+唯品会!F27+'线下门店-直营'!F27+'线下门店-经销'!F27+线下渠道!F27+淘系达播!F27+抖音达播!F27</f>
        <v>54155.0737463127</v>
      </c>
      <c r="G27" s="87">
        <f>淘系!G27+抖音!G27+PDD!G27+得物!G27+京东自营财经口径!G27+京东POP财经口径!G27+'视频号+官网+小程序'!G27+快手!G27+唯品会!G27+'线下门店-直营'!G27+'线下门店-经销'!G27+线下渠道!G27+淘系达播!G27+抖音达播!G27</f>
        <v>115388.163716814</v>
      </c>
      <c r="H27" s="87">
        <f>淘系!H27+抖音!H27+PDD!H27+得物!H27+京东自营财经口径!H27+京东POP财经口径!H27+'视频号+官网+小程序'!H27+快手!H27+唯品会!H27+'线下门店-直营'!H27+'线下门店-经销'!H27+线下渠道!H27+淘系达播!H27+抖音达播!H27</f>
        <v>101584.80199115</v>
      </c>
      <c r="I27" s="87">
        <f>淘系!I27+抖音!I27+PDD!I27+得物!I27+京东自营财经口径!I27+京东POP财经口径!I27+'视频号+官网+小程序'!I27+快手!I27+唯品会!I27+'线下门店-直营'!I27+'线下门店-经销'!I27+线下渠道!I27+淘系达播!I27+抖音达播!I27</f>
        <v>65500.2876106195</v>
      </c>
      <c r="J27" s="87">
        <f>淘系!J27+抖音!J27+PDD!J27+得物!J27+京东自营财经口径!J27+京东POP财经口径!J27+'视频号+官网+小程序'!J27+快手!J27+唯品会!J27+'线下门店-直营'!J27+'线下门店-经销'!J27+线下渠道!J27+淘系达播!J27+抖音达播!J27</f>
        <v>90329.9336283186</v>
      </c>
      <c r="K27" s="87">
        <f>淘系!K27+抖音!K27+PDD!K27+得物!K27+京东自营财经口径!K27+京东POP财经口径!K27+'视频号+官网+小程序'!K27+快手!K27+唯品会!K27+'线下门店-直营'!K27+'线下门店-经销'!K27+线下渠道!K27+淘系达播!K27+抖音达播!K27</f>
        <v>72053.1637168142</v>
      </c>
      <c r="L27" s="87">
        <f>淘系!L27+抖音!L27+PDD!L27+得物!L27+京东自营财经口径!L27+京东POP财经口径!L27+'视频号+官网+小程序'!L27+快手!L27+唯品会!L27+'线下门店-直营'!L27+'线下门店-经销'!L27+线下渠道!L27+淘系达播!L27+抖音达播!L27</f>
        <v>121420.238831432</v>
      </c>
      <c r="M27" s="87">
        <f>淘系!M27+抖音!M27+PDD!M27+得物!M27+京东自营财经口径!M27+京东POP财经口径!M27+'视频号+官网+小程序'!M27+快手!M27+唯品会!M27+'线下门店-直营'!M27+'线下门店-经销'!M27+线下渠道!M27+淘系达播!M27+抖音达播!M27</f>
        <v>91985.613604862</v>
      </c>
      <c r="N27" s="87">
        <f>淘系!N27+抖音!N27+PDD!N27+得物!N27+京东自营财经口径!N27+京东POP财经口径!N27+'视频号+官网+小程序'!N27+快手!N27+唯品会!N27+'线下门店-直营'!N27+'线下门店-经销'!N27+线下渠道!N27+淘系达播!N27+抖音达播!N27</f>
        <v>0</v>
      </c>
      <c r="O27" s="87">
        <f t="shared" si="12"/>
        <v>777231.544299617</v>
      </c>
      <c r="P27" s="42">
        <f t="shared" si="13"/>
        <v>0.00192372480395802</v>
      </c>
      <c r="Q27" s="4"/>
      <c r="R27" s="6"/>
      <c r="S27" s="6"/>
      <c r="T27" s="53">
        <f>O27-淘系!O27-淘系达播!O27-抖音!O27-抖音达播!O27-快手!O27-京东POP财经口径!O27-京东自营财经口径!O27-PDD!O27-得物!O27-'视频号+官网+小程序'!O27-唯品会!O27-'线下门店-直营'!O27-'线下门店-经销'!O27-线下渠道!O27</f>
        <v>-1.60071067512035e-10</v>
      </c>
    </row>
    <row r="28" ht="19" customHeight="1" spans="1:22">
      <c r="A28" s="36"/>
      <c r="B28" s="87" t="s">
        <v>41</v>
      </c>
      <c r="C28" s="87">
        <f>淘系!C28+抖音!C28+PDD!C28+得物!C28+京东自营财经口径!C28+京东POP财经口径!C28+'视频号+官网+小程序'!C28+快手!C28+唯品会!C28+'线下门店-直营'!C28+'线下门店-经销'!C28+线下渠道!C28+淘系达播!C28+抖音达播!C28</f>
        <v>209195</v>
      </c>
      <c r="D28" s="87">
        <f>淘系!D28+抖音!D28+PDD!D28+得物!D28+京东自营财经口径!D28+京东POP财经口径!D28+'视频号+官网+小程序'!D28+快手!D28+唯品会!D28+'线下门店-直营'!D28+'线下门店-经销'!D28+线下渠道!D28+淘系达播!D28+抖音达播!D28</f>
        <v>209195</v>
      </c>
      <c r="E28" s="87">
        <f>淘系!E28+抖音!E28+PDD!E28+得物!E28+京东自营财经口径!E28+京东POP财经口径!E28+'视频号+官网+小程序'!E28+快手!E28+唯品会!E28+'线下门店-直营'!E28+'线下门店-经销'!E28+线下渠道!E28+淘系达播!E28+抖音达播!E28</f>
        <v>209195</v>
      </c>
      <c r="F28" s="87">
        <f>淘系!F28+抖音!F28+PDD!F28+得物!F28+京东自营财经口径!F28+京东POP财经口径!F28+'视频号+官网+小程序'!F28+快手!F28+唯品会!F28+'线下门店-直营'!F28+'线下门店-经销'!F28+线下渠道!F28+淘系达播!F28+抖音达播!F28</f>
        <v>274181.088495575</v>
      </c>
      <c r="G28" s="87">
        <f>淘系!G28+抖音!G28+PDD!G28+得物!G28+京东自营财经口径!G28+京东POP财经口径!G28+'视频号+官网+小程序'!G28+快手!G28+唯品会!G28+'线下门店-直营'!G28+'线下门店-经销'!G28+线下渠道!G28+淘系达播!G28+抖音达播!G28</f>
        <v>901523.982300886</v>
      </c>
      <c r="H28" s="87">
        <f>淘系!H28+抖音!H28+PDD!H28+得物!H28+京东自营财经口径!H28+京东POP财经口径!H28+'视频号+官网+小程序'!H28+快手!H28+唯品会!H28+'线下门店-直营'!H28+'线下门店-经销'!H28+线下渠道!H28+淘系达播!H28+抖音达播!H28</f>
        <v>534266.366371681</v>
      </c>
      <c r="I28" s="87">
        <f>淘系!I28+抖音!I28+PDD!I28+得物!I28+京东自营财经口径!I28+京东POP财经口径!I28+'视频号+官网+小程序'!I28+快手!I28+唯品会!I28+'线下门店-直营'!I28+'线下门店-经销'!I28+线下渠道!I28+淘系达播!I28+抖音达播!I28</f>
        <v>209195</v>
      </c>
      <c r="J28" s="87">
        <f>淘系!J28+抖音!J28+PDD!J28+得物!J28+京东自营财经口径!J28+京东POP财经口径!J28+'视频号+官网+小程序'!J28+快手!J28+唯品会!J28+'线下门店-直营'!J28+'线下门店-经销'!J28+线下渠道!J28+淘系达播!J28+抖音达播!J28</f>
        <v>317590.920353982</v>
      </c>
      <c r="K28" s="87">
        <f>淘系!K28+抖音!K28+PDD!K28+得物!K28+京东自营财经口径!K28+京东POP财经口径!K28+'视频号+官网+小程序'!K28+快手!K28+唯品会!K28+'线下门店-直营'!K28+'线下门店-经销'!K28+线下渠道!K28+淘系达播!K28+抖音达播!K28</f>
        <v>439765.123893805</v>
      </c>
      <c r="L28" s="87">
        <f>淘系!L28+抖音!L28+PDD!L28+得物!L28+京东自营财经口径!L28+京东POP财经口径!L28+'视频号+官网+小程序'!L28+快手!L28+唯品会!L28+'线下门店-直营'!L28+'线下门店-经销'!L28+线下渠道!L28+淘系达播!L28+抖音达播!L28</f>
        <v>354899.286597718</v>
      </c>
      <c r="M28" s="87">
        <f>淘系!M28+抖音!M28+PDD!M28+得物!M28+京东自营财经口径!M28+京东POP财经口径!M28+'视频号+官网+小程序'!M28+快手!M28+唯品会!M28+'线下门店-直营'!M28+'线下门店-经销'!M28+线下渠道!M28+淘系达播!M28+抖音达播!M28</f>
        <v>319577.736325834</v>
      </c>
      <c r="N28" s="87">
        <f>淘系!N28+抖音!N28+PDD!N28+得物!N28+京东自营财经口径!N28+京东POP财经口径!N28+'视频号+官网+小程序'!N28+快手!N28+唯品会!N28+'线下门店-直营'!N28+'线下门店-经销'!N28+线下渠道!N28+淘系达播!N28+抖音达播!N28</f>
        <v>209195</v>
      </c>
      <c r="O28" s="87">
        <f t="shared" si="12"/>
        <v>4187779.50433948</v>
      </c>
      <c r="P28" s="42">
        <f t="shared" si="13"/>
        <v>0.0103651677097903</v>
      </c>
      <c r="Q28" s="4"/>
      <c r="R28" s="6"/>
      <c r="S28" s="6"/>
      <c r="T28" s="53">
        <f>O28-淘系!O28-淘系达播!O28-抖音!O28-抖音达播!O28-快手!O28-京东POP财经口径!O28-京东自营财经口径!O28-PDD!O28-得物!O28-'视频号+官网+小程序'!O28-唯品会!O28-'线下门店-直营'!O28-'线下门店-经销'!O28-线下渠道!O28</f>
        <v>5.5297277867794e-10</v>
      </c>
    </row>
    <row r="29" ht="19" customHeight="1" spans="1:22">
      <c r="A29" s="36"/>
      <c r="B29" s="87" t="s">
        <v>42</v>
      </c>
      <c r="C29" s="87">
        <f>淘系!C29+抖音!C29+PDD!C29+得物!C29+京东自营财经口径!C29+京东POP财经口径!C29+'视频号+官网+小程序'!C29+快手!C29+唯品会!C29+'线下门店-直营'!C29+'线下门店-经销'!C29+线下渠道!C29+淘系达播!C29+抖音达播!C29</f>
        <v>31801.7588495575</v>
      </c>
      <c r="D29" s="87">
        <f>淘系!D29+抖音!D29+PDD!D29+得物!D29+京东自营财经口径!D29+京东POP财经口径!D29+'视频号+官网+小程序'!D29+快手!D29+唯品会!D29+'线下门店-直营'!D29+'线下门店-经销'!D29+线下渠道!D29+淘系达播!D29+抖音达播!D29</f>
        <v>25890.0688298918</v>
      </c>
      <c r="E29" s="87">
        <f>淘系!E29+抖音!E29+PDD!E29+得物!E29+京东自营财经口径!E29+京东POP财经口径!E29+'视频号+官网+小程序'!E29+快手!E29+唯品会!E29+'线下门店-直营'!E29+'线下门店-经销'!E29+线下渠道!E29+淘系达播!E29+抖音达播!E29</f>
        <v>25925.7069813176</v>
      </c>
      <c r="F29" s="87">
        <f>淘系!F29+抖音!F29+PDD!F29+得物!F29+京东自营财经口径!F29+京东POP财经口径!F29+'视频号+官网+小程序'!F29+快手!F29+唯品会!F29+'线下门店-直营'!F29+'线下门店-经销'!F29+线下渠道!F29+淘系达播!F29+抖音达播!F29</f>
        <v>108310.147492625</v>
      </c>
      <c r="G29" s="87">
        <f>淘系!G29+抖音!G29+PDD!G29+得物!G29+京东自营财经口径!G29+京东POP财经口径!G29+'视频号+官网+小程序'!G29+快手!G29+唯品会!G29+'线下门店-直营'!G29+'线下门店-经销'!G29+线下渠道!G29+淘系达播!G29+抖音达播!G29</f>
        <v>692328.982300885</v>
      </c>
      <c r="H29" s="87">
        <f>淘系!H29+抖音!H29+PDD!H29+得物!H29+京东自营财经口径!H29+京东POP财经口径!H29+'视频号+官网+小程序'!H29+快手!H29+唯品会!H29+'线下门店-直营'!H29+'线下门店-经销'!H29+线下渠道!H29+淘系达播!H29+抖音达播!H29</f>
        <v>446973.128761062</v>
      </c>
      <c r="I29" s="87">
        <f>淘系!I29+抖音!I29+PDD!I29+得物!I29+京东自营财经口径!I29+京东POP财经口径!I29+'视频号+官网+小程序'!I29+快手!I29+唯品会!I29+'线下门店-直营'!I29+'线下门店-经销'!I29+线下渠道!I29+淘系达播!I29+抖音达播!I29</f>
        <v>0</v>
      </c>
      <c r="J29" s="87">
        <f>淘系!J29+抖音!J29+PDD!J29+得物!J29+京东自营财经口径!J29+京东POP财经口径!J29+'视频号+官网+小程序'!J29+快手!J29+唯品会!J29+'线下门店-直营'!J29+'线下门店-经销'!J29+线下渠道!J29+淘系达播!J29+抖音达播!J29</f>
        <v>108395.920353982</v>
      </c>
      <c r="K29" s="87">
        <f>淘系!K29+抖音!K29+PDD!K29+得物!K29+京东自营财经口径!K29+京东POP财经口径!K29+'视频号+官网+小程序'!K29+快手!K29+唯品会!K29+'线下门店-直营'!K29+'线下门店-经销'!K29+线下渠道!K29+淘系达播!K29+抖音达播!K29</f>
        <v>230570.123893805</v>
      </c>
      <c r="L29" s="87">
        <f>淘系!L29+抖音!L29+PDD!L29+得物!L29+京东自营财经口径!L29+京东POP财经口径!L29+'视频号+官网+小程序'!L29+快手!L29+唯品会!L29+'线下门店-直营'!L29+'线下门店-经销'!L29+线下渠道!L29+淘系达播!L29+抖音达播!L29</f>
        <v>242840.477662864</v>
      </c>
      <c r="M29" s="87">
        <f>淘系!M29+抖音!M29+PDD!M29+得物!M29+京东自营财经口径!M29+京东POP财经口径!M29+'视频号+官网+小程序'!M29+快手!M29+唯品会!M29+'线下门店-直营'!M29+'线下门店-经销'!M29+线下渠道!M29+淘系达播!M29+抖音达播!M29</f>
        <v>183971.227209724</v>
      </c>
      <c r="N29" s="87">
        <f>淘系!N29+抖音!N29+PDD!N29+得物!N29+京东自营财经口径!N29+京东POP财经口径!N29+'视频号+官网+小程序'!N29+快手!N29+唯品会!N29+'线下门店-直营'!N29+'线下门店-经销'!N29+线下渠道!N29+淘系达播!N29+抖音达播!N29</f>
        <v>32181.9618296194</v>
      </c>
      <c r="O29" s="87">
        <f t="shared" si="12"/>
        <v>2129189.50416533</v>
      </c>
      <c r="P29" s="42">
        <f t="shared" si="13"/>
        <v>0.00526995422603557</v>
      </c>
      <c r="Q29" s="6"/>
      <c r="R29" s="6"/>
      <c r="S29" s="6"/>
      <c r="T29" s="53">
        <f>O29-淘系!O29-淘系达播!O29-抖音!O29-抖音达播!O29-快手!O29-京东POP财经口径!O29-京东自营财经口径!O29-PDD!O29-得物!O29-'视频号+官网+小程序'!O29-唯品会!O29-'线下门店-直营'!O29-'线下门店-经销'!O29-线下渠道!O29</f>
        <v>0</v>
      </c>
    </row>
    <row r="30" ht="19" customHeight="1" spans="1:22">
      <c r="A30" s="36"/>
      <c r="B30" s="87" t="s">
        <v>43</v>
      </c>
      <c r="C30" s="87">
        <f>淘系!C30+抖音!C30+PDD!C30+得物!C30+京东自营财经口径!C30+京东POP财经口径!C30+'视频号+官网+小程序'!C30+快手!C30+唯品会!C30+'线下门店-直营'!C30+'线下门店-经销'!C30+线下渠道!C30+淘系达播!C30+抖音达播!C30</f>
        <v>31801.7588495575</v>
      </c>
      <c r="D30" s="87">
        <f>淘系!D30+抖音!D30+PDD!D30+得物!D30+京东自营财经口径!D30+京东POP财经口径!D30+'视频号+官网+小程序'!D30+快手!D30+唯品会!D30+'线下门店-直营'!D30+'线下门店-经销'!D30+线下渠道!D30+淘系达播!D30+抖音达播!D30</f>
        <v>25890.0688298918</v>
      </c>
      <c r="E30" s="87">
        <f>淘系!E30+抖音!E30+PDD!E30+得物!E30+京东自营财经口径!E30+京东POP财经口径!E30+'视频号+官网+小程序'!E30+快手!E30+唯品会!E30+'线下门店-直营'!E30+'线下门店-经销'!E30+线下渠道!E30+淘系达播!E30+抖音达播!E30</f>
        <v>207405.655850541</v>
      </c>
      <c r="F30" s="87">
        <f>淘系!F30+抖音!F30+PDD!F30+得物!F30+京东自营财经口径!F30+京东POP财经口径!F30+'视频号+官网+小程序'!F30+快手!F30+唯品会!F30+'线下门店-直营'!F30+'线下门店-经销'!F30+线下渠道!F30+淘系达播!F30+抖音达播!F30</f>
        <v>21662.0294985251</v>
      </c>
      <c r="G30" s="87">
        <f>淘系!G30+抖音!G30+PDD!G30+得物!G30+京东自营财经口径!G30+京东POP财经口径!G30+'视频号+官网+小程序'!G30+快手!G30+唯品会!G30+'线下门店-直营'!G30+'线下门店-经销'!G30+线下渠道!G30+淘系达播!G30+抖音达播!G30</f>
        <v>138465.796460177</v>
      </c>
      <c r="H30" s="87">
        <f>淘系!H30+抖音!H30+PDD!H30+得物!H30+京东自营财经口径!H30+京东POP财经口径!H30+'视频号+官网+小程序'!H30+快手!H30+唯品会!H30+'线下门店-直营'!H30+'线下门店-经销'!H30+线下渠道!H30+淘系达播!H30+抖音达播!H30</f>
        <v>40633.9207964602</v>
      </c>
      <c r="I30" s="87">
        <f>淘系!I30+抖音!I30+PDD!I30+得物!I30+京东自营财经口径!I30+京东POP财经口径!I30+'视频号+官网+小程序'!I30+快手!I30+唯品会!I30+'线下门店-直营'!I30+'线下门店-经销'!I30+线下渠道!I30+淘系达播!I30+抖音达播!I30</f>
        <v>26200.1150442478</v>
      </c>
      <c r="J30" s="87">
        <f>淘系!J30+抖音!J30+PDD!J30+得物!J30+京东自营财经口径!J30+京东POP财经口径!J30+'视频号+官网+小程序'!J30+快手!J30+唯品会!J30+'线下门店-直营'!J30+'线下门店-经销'!J30+线下渠道!J30+淘系达播!J30+抖音达播!J30</f>
        <v>36131.9734513274</v>
      </c>
      <c r="K30" s="87">
        <f>淘系!K30+抖音!K30+PDD!K30+得物!K30+京东自营财经口径!K30+京东POP财经口径!K30+'视频号+官网+小程序'!K30+快手!K30+唯品会!K30+'线下门店-直营'!K30+'线下门店-经销'!K30+线下渠道!K30+淘系达播!K30+抖音达播!K30</f>
        <v>28821.2654867257</v>
      </c>
      <c r="L30" s="87">
        <f>淘系!L30+抖音!L30+PDD!L30+得物!L30+京东自营财经口径!L30+京东POP财经口径!L30+'视频号+官网+小程序'!L30+快手!L30+唯品会!L30+'线下门店-直营'!L30+'线下门店-经销'!L30+线下渠道!L30+淘系达播!L30+抖音达播!L30</f>
        <v>97136.1910651456</v>
      </c>
      <c r="M30" s="87">
        <f>淘系!M30+抖音!M30+PDD!M30+得物!M30+京东自营财经口径!M30+京东POP财经口径!M30+'视频号+官网+小程序'!M30+快手!M30+唯品会!M30+'线下门店-直营'!M30+'线下门店-经销'!M30+线下渠道!M30+淘系达播!M30+抖音达播!M30</f>
        <v>73588.4908838896</v>
      </c>
      <c r="N30" s="87">
        <f>淘系!N30+抖音!N30+PDD!N30+得物!N30+京东自营财经口径!N30+京东POP财经口径!N30+'视频号+官网+小程序'!N30+快手!N30+唯品会!N30+'线下门店-直营'!N30+'线下门店-经销'!N30+线下渠道!N30+淘系达播!N30+抖音达播!N30</f>
        <v>32181.9618296194</v>
      </c>
      <c r="O30" s="87">
        <f t="shared" si="12"/>
        <v>759919.228046108</v>
      </c>
      <c r="P30" s="42">
        <f t="shared" si="13"/>
        <v>0.00188087511208035</v>
      </c>
      <c r="Q30" s="6"/>
      <c r="R30" s="6"/>
      <c r="S30" s="6"/>
      <c r="T30" s="53">
        <f>O30-淘系!O30-淘系达播!O30-抖音!O30-抖音达播!O30-快手!O30-京东POP财经口径!O30-京东自营财经口径!O30-PDD!O30-得物!O30-'视频号+官网+小程序'!O30-唯品会!O30-'线下门店-直营'!O30-'线下门店-经销'!O30-线下渠道!O30</f>
        <v>0</v>
      </c>
    </row>
    <row r="31" ht="19" customHeight="1" collapsed="1" spans="1:22">
      <c r="A31" s="36"/>
      <c r="B31" s="87" t="s">
        <v>44</v>
      </c>
      <c r="C31" s="87">
        <f>淘系!C31+抖音!C31+PDD!C31+得物!C31+京东自营财经口径!C31+京东POP财经口径!C31+'视频号+官网+小程序'!C31+快手!C31+唯品会!C31+'线下门店-直营'!C31+'线下门店-经销'!C31+线下渠道!C31+淘系达播!C31+抖音达播!C31</f>
        <v>478840.320131657</v>
      </c>
      <c r="D31" s="87">
        <f>淘系!D31+抖音!D31+PDD!D31+得物!D31+京东自营财经口径!D31+京东POP财经口径!D31+'视频号+官网+小程序'!D31+快手!D31+唯品会!D31+'线下门店-直营'!D31+'线下门店-经销'!D31+线下渠道!D31+淘系达播!D31+抖音达播!D31</f>
        <v>1948524.56732689</v>
      </c>
      <c r="E31" s="87">
        <f>淘系!E31+抖音!E31+PDD!E31+得物!E31+京东自营财经口径!E31+京东POP财经口径!E31+'视频号+官网+小程序'!E31+快手!E31+唯品会!E31+'线下门店-直营'!E31+'线下门店-经销'!E31+线下渠道!E31+淘系达播!E31+抖音达播!E31</f>
        <v>3120993.80227839</v>
      </c>
      <c r="F31" s="87">
        <f>淘系!F31+抖音!F31+PDD!F31+得物!F31+京东自营财经口径!F31+京东POP财经口径!F31+'视频号+官网+小程序'!F31+快手!F31+唯品会!F31+'线下门店-直营'!F31+'线下门店-经销'!F31+线下渠道!F31+淘系达播!F31+抖音达播!F31</f>
        <v>1629862.66984022</v>
      </c>
      <c r="G31" s="87">
        <f>淘系!G31+抖音!G31+PDD!G31+得物!G31+京东自营财经口径!G31+京东POP财经口径!G31+'视频号+官网+小程序'!G31+快手!G31+唯品会!G31+'线下门店-直营'!G31+'线下门店-经销'!G31+线下渠道!G31+淘系达播!G31+抖音达播!G31</f>
        <v>6253100.46461099</v>
      </c>
      <c r="H31" s="87">
        <f>淘系!H31+抖音!H31+PDD!H31+得物!H31+京东自营财经口径!H31+京东POP财经口径!H31+'视频号+官网+小程序'!H31+快手!H31+唯品会!H31+'线下门店-直营'!H31+'线下门店-经销'!H31+线下渠道!H31+淘系达播!H31+抖音达播!H31</f>
        <v>3668185.02139343</v>
      </c>
      <c r="I31" s="87">
        <f>淘系!I31+抖音!I31+PDD!I31+得物!I31+京东自营财经口径!I31+京东POP财经口径!I31+'视频号+官网+小程序'!I31+快手!I31+唯品会!I31+'线下门店-直营'!I31+'线下门店-经销'!I31+线下渠道!I31+淘系达播!I31+抖音达播!I31</f>
        <v>788247.758184143</v>
      </c>
      <c r="J31" s="87">
        <f>淘系!J31+抖音!J31+PDD!J31+得物!J31+京东自营财经口径!J31+京东POP财经口径!J31+'视频号+官网+小程序'!J31+快手!J31+唯品会!J31+'线下门店-直营'!J31+'线下门店-经销'!J31+线下渠道!J31+淘系达播!J31+抖音达播!J31</f>
        <v>1087268.91466333</v>
      </c>
      <c r="K31" s="87">
        <f>淘系!K31+抖音!K31+PDD!K31+得物!K31+京东自营财经口径!K31+京东POP财经口径!K31+'视频号+官网+小程序'!K31+快手!K31+唯品会!K31+'线下门店-直营'!K31+'线下门店-经销'!K31+线下渠道!K31+淘系达播!K31+抖音达播!K31</f>
        <v>433676.369773156</v>
      </c>
      <c r="L31" s="87">
        <f>淘系!L31+抖音!L31+PDD!L31+得物!L31+京东自营财经口径!L31+京东POP财经口径!L31+'视频号+官网+小程序'!L31+快手!L31+唯品会!L31+'线下门店-直营'!L31+'线下门店-经销'!L31+线下渠道!L31+淘系达播!L31+抖音达播!L31</f>
        <v>3653294.5704597</v>
      </c>
      <c r="M31" s="87">
        <f>淘系!M31+抖音!M31+PDD!M31+得物!M31+京东自营财经口径!M31+京东POP财经口径!M31+'视频号+官网+小程序'!M31+快手!M31+唯品会!M31+'线下门店-直营'!M31+'线下门店-经销'!M31+线下渠道!M31+淘系达播!M31+抖音达播!M31</f>
        <v>1106758.57968982</v>
      </c>
      <c r="N31" s="87">
        <f>淘系!N31+抖音!N31+PDD!N31+得物!N31+京东自营财经口径!N31+京东POP财经口径!N31+'视频号+官网+小程序'!N31+快手!N31+唯品会!N31+'线下门店-直营'!N31+'线下门店-经销'!N31+线下渠道!N31+淘系达播!N31+抖音达播!N31</f>
        <v>968260.909865913</v>
      </c>
      <c r="O31" s="87">
        <f t="shared" si="12"/>
        <v>25137013.9482176</v>
      </c>
      <c r="P31" s="42">
        <f t="shared" si="13"/>
        <v>0.062216591161647</v>
      </c>
      <c r="Q31" s="6"/>
      <c r="R31" s="6"/>
      <c r="S31" s="6"/>
      <c r="T31" s="53">
        <f>O31-淘系!O31-淘系达播!O31-抖音!O31-抖音达播!O31-快手!O31-京东POP财经口径!O31-京东自营财经口径!O31-PDD!O31-得物!O31-'视频号+官网+小程序'!O31-唯品会!O31-'线下门店-直营'!O31-'线下门店-经销'!O31-线下渠道!O31</f>
        <v>0</v>
      </c>
    </row>
    <row r="32" ht="19" hidden="1" customHeight="1" outlineLevel="1" spans="1:22">
      <c r="A32" s="36"/>
      <c r="B32" s="87" t="s">
        <v>45</v>
      </c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42"/>
      <c r="Q32" s="6"/>
      <c r="R32" s="6"/>
      <c r="S32" s="6"/>
      <c r="T32" s="53">
        <f>O32-淘系!O32-淘系达播!O32-抖音!O32-抖音达播!O32-快手!O32-京东POP财经口径!O32-京东自营财经口径!O32-PDD!O32-得物!O32-'视频号+官网+小程序'!O32-唯品会!O32-'线下门店-直营'!O32-'线下门店-经销'!O32-线下渠道!O32</f>
        <v>0</v>
      </c>
    </row>
    <row r="33" ht="19" hidden="1" customHeight="1" outlineLevel="1" spans="1:22">
      <c r="A33" s="36"/>
      <c r="B33" s="87" t="s">
        <v>46</v>
      </c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42"/>
      <c r="Q33" s="6"/>
      <c r="R33" s="6"/>
      <c r="S33" s="6"/>
      <c r="T33" s="53">
        <f>O33-淘系!O33-淘系达播!O33-抖音!O33-抖音达播!O33-快手!O33-京东POP财经口径!O33-京东自营财经口径!O33-PDD!O33-得物!O33-'视频号+官网+小程序'!O33-唯品会!O33-'线下门店-直营'!O33-'线下门店-经销'!O33-线下渠道!O33</f>
        <v>0</v>
      </c>
    </row>
    <row r="34" ht="19" hidden="1" customHeight="1" outlineLevel="1" spans="1:22">
      <c r="A34" s="36"/>
      <c r="B34" s="87" t="s">
        <v>47</v>
      </c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42"/>
      <c r="Q34" s="6"/>
      <c r="T34" s="53">
        <f>O34-淘系!O34-淘系达播!O34-抖音!O34-抖音达播!O34-快手!O34-京东POP财经口径!O34-京东自营财经口径!O34-PDD!O34-得物!O34-'视频号+官网+小程序'!O34-唯品会!O34-'线下门店-直营'!O34-'线下门店-经销'!O34-线下渠道!O34</f>
        <v>0</v>
      </c>
    </row>
    <row r="35" ht="19" hidden="1" customHeight="1" outlineLevel="1" spans="1:22">
      <c r="A35" s="36"/>
      <c r="B35" s="87" t="s">
        <v>48</v>
      </c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42"/>
      <c r="Q35" s="6"/>
      <c r="T35" s="53">
        <f>O35-淘系!O35-淘系达播!O35-抖音!O35-抖音达播!O35-快手!O35-京东POP财经口径!O35-京东自营财经口径!O35-PDD!O35-得物!O35-'视频号+官网+小程序'!O35-唯品会!O35-'线下门店-直营'!O35-'线下门店-经销'!O35-线下渠道!O35</f>
        <v>0</v>
      </c>
    </row>
    <row r="36" ht="19" hidden="1" customHeight="1" outlineLevel="1" spans="1:22">
      <c r="A36" s="36"/>
      <c r="B36" s="87" t="s">
        <v>49</v>
      </c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42"/>
      <c r="Q36" s="6"/>
      <c r="T36" s="53">
        <f>O36-淘系!O36-淘系达播!O36-抖音!O36-抖音达播!O36-快手!O36-京东POP财经口径!O36-京东自营财经口径!O36-PDD!O36-得物!O36-'视频号+官网+小程序'!O36-唯品会!O36-'线下门店-直营'!O36-'线下门店-经销'!O36-线下渠道!O36</f>
        <v>0</v>
      </c>
    </row>
    <row r="37" ht="16.8" spans="1:22">
      <c r="A37" s="6"/>
      <c r="B37" s="86" t="s">
        <v>50</v>
      </c>
      <c r="C37" s="86">
        <f t="shared" ref="C37:N37" si="14">SUM(C38:C40)</f>
        <v>5289161.06036241</v>
      </c>
      <c r="D37" s="86">
        <f t="shared" si="14"/>
        <v>6011795.26225013</v>
      </c>
      <c r="E37" s="86">
        <f t="shared" si="14"/>
        <v>4469411.69885126</v>
      </c>
      <c r="F37" s="86">
        <f t="shared" si="14"/>
        <v>3799706.23403942</v>
      </c>
      <c r="G37" s="86">
        <f t="shared" si="14"/>
        <v>9797097.20364332</v>
      </c>
      <c r="H37" s="86">
        <f t="shared" si="14"/>
        <v>8746822.96721701</v>
      </c>
      <c r="I37" s="86">
        <f t="shared" si="14"/>
        <v>4912801.7229974</v>
      </c>
      <c r="J37" s="86">
        <f t="shared" si="14"/>
        <v>8629549.865097</v>
      </c>
      <c r="K37" s="86">
        <f t="shared" si="14"/>
        <v>5128807.85392751</v>
      </c>
      <c r="L37" s="86">
        <f t="shared" si="14"/>
        <v>10396130.7919437</v>
      </c>
      <c r="M37" s="86">
        <f t="shared" si="14"/>
        <v>8977635.30427918</v>
      </c>
      <c r="N37" s="86">
        <f t="shared" si="14"/>
        <v>6666059.04176329</v>
      </c>
      <c r="O37" s="86">
        <f>SUM(C37:N37)</f>
        <v>82824979.0063717</v>
      </c>
      <c r="P37" s="38">
        <f>O37/$O$16</f>
        <v>0.204999999897633</v>
      </c>
      <c r="Q37" s="6"/>
      <c r="R37" s="84">
        <f>O16*20.5%</f>
        <v>82824979.0477302</v>
      </c>
      <c r="S37" s="67"/>
      <c r="T37" s="53">
        <f>O37-淘系!O37-淘系达播!O37-抖音!O37-抖音达播!O37-快手!O37-京东POP财经口径!O37-京东自营财经口径!O37-PDD!O37-得物!O37-'视频号+官网+小程序'!O37-唯品会!O37-'线下门店-直营'!O37-'线下门店-经销'!O37-线下渠道!O37</f>
        <v>-2.3283064365387e-10</v>
      </c>
      <c r="U37" s="84"/>
      <c r="V37" s="84"/>
    </row>
    <row r="38" ht="16.8" spans="1:22">
      <c r="A38" s="36"/>
      <c r="B38" s="87" t="s">
        <v>51</v>
      </c>
      <c r="C38" s="87">
        <f>淘系!C38+抖音!C38+PDD!C38+得物!C38+京东自营财经口径!C38+京东POP财经口径!C38+'视频号+官网+小程序'!C38+快手!C38+唯品会!C38+'线下门店-直营'!C38+'线下门店-经销'!C38+线下渠道!C38+淘系达播!C38+抖音达播!C38</f>
        <v>2292019.75051535</v>
      </c>
      <c r="D38" s="87">
        <f>淘系!D38+抖音!D38+PDD!D38+得物!D38+京东自营财经口径!D38+京东POP财经口径!D38+'视频号+官网+小程序'!D38+快手!D38+唯品会!D38+'线下门店-直营'!D38+'线下门店-经销'!D38+线下渠道!D38+淘系达播!D38+抖音达播!D38</f>
        <v>2749177.43198473</v>
      </c>
      <c r="E38" s="87">
        <f>淘系!E38+抖音!E38+PDD!E38+得物!E38+京东自营财经口径!E38+京东POP财经口径!E38+'视频号+官网+小程序'!E38+快手!E38+唯品会!E38+'线下门店-直营'!E38+'线下门店-经销'!E38+线下渠道!E38+淘系达播!E38+抖音达播!E38</f>
        <v>2219902.56234978</v>
      </c>
      <c r="F38" s="87">
        <f>淘系!F38+抖音!F38+PDD!F38+得物!F38+京东自营财经口径!F38+京东POP财经口径!F38+'视频号+官网+小程序'!F38+快手!F38+唯品会!F38+'线下门店-直营'!F38+'线下门店-经销'!F38+线下渠道!F38+淘系达播!F38+抖音达播!F38</f>
        <v>1900621.98868592</v>
      </c>
      <c r="G38" s="87">
        <f>淘系!G38+抖音!G38+PDD!G38+得物!G38+京东自营财经口径!G38+京东POP财经口径!G38+'视频号+官网+小程序'!G38+快手!G38+唯品会!G38+'线下门店-直营'!G38+'线下门店-经销'!G38+线下渠道!G38+淘系达播!G38+抖音达播!G38</f>
        <v>4748153.49034533</v>
      </c>
      <c r="H38" s="87">
        <f>淘系!H38+抖音!H38+PDD!H38+得物!H38+京东自营财经口径!H38+京东POP财经口径!H38+'视频号+官网+小程序'!H38+快手!H38+唯品会!H38+'线下门店-直营'!H38+'线下门店-经销'!H38+线下渠道!H38+淘系达播!H38+抖音达播!H38</f>
        <v>4563874.82963346</v>
      </c>
      <c r="I38" s="87">
        <f>淘系!I38+抖音!I38+PDD!I38+得物!I38+京东自营财经口径!I38+京东POP财经口径!I38+'视频号+官网+小程序'!I38+快手!I38+唯品会!I38+'线下门店-直营'!I38+'线下门店-经销'!I38+线下渠道!I38+淘系达播!I38+抖音达播!I38</f>
        <v>2576178.91809479</v>
      </c>
      <c r="J38" s="87">
        <f>淘系!J38+抖音!J38+PDD!J38+得物!J38+京东自营财经口径!J38+京东POP财经口径!J38+'视频号+官网+小程序'!J38+快手!J38+唯品会!J38+'线下门店-直营'!J38+'线下门店-经销'!J38+线下渠道!J38+淘系达播!J38+抖音达播!J38</f>
        <v>4648298.75713734</v>
      </c>
      <c r="K38" s="87">
        <f>淘系!K38+抖音!K38+PDD!K38+得物!K38+京东自营财经口径!K38+京东POP财经口径!K38+'视频号+官网+小程序'!K38+快手!K38+唯品会!K38+'线下门店-直营'!K38+'线下门店-经销'!K38+线下渠道!K38+淘系达播!K38+抖音达播!K38</f>
        <v>2731039.37716828</v>
      </c>
      <c r="L38" s="87">
        <f>淘系!L38+抖音!L38+PDD!L38+得物!L38+京东自营财经口径!L38+京东POP财经口径!L38+'视频号+官网+小程序'!L38+快手!L38+唯品会!L38+'线下门店-直营'!L38+'线下门店-经销'!L38+线下渠道!L38+淘系达播!L38+抖音达播!L38</f>
        <v>5541694.53167599</v>
      </c>
      <c r="M38" s="87">
        <f>淘系!M38+抖音!M38+PDD!M38+得物!M38+京东自营财经口径!M38+京东POP财经口径!M38+'视频号+官网+小程序'!M38+快手!M38+唯品会!M38+'线下门店-直营'!M38+'线下门店-经销'!M38+线下渠道!M38+淘系达播!M38+抖音达播!M38</f>
        <v>4773752.36634482</v>
      </c>
      <c r="N38" s="87">
        <f>淘系!N38+抖音!N38+PDD!N38+得物!N38+京东自营财经口径!N38+京东POP财经口径!N38+'视频号+官网+小程序'!N38+快手!N38+唯品会!N38+'线下门店-直营'!N38+'线下门店-经销'!N38+线下渠道!N38+淘系达播!N38+抖音达播!N38</f>
        <v>3186379.58890018</v>
      </c>
      <c r="O38" s="87">
        <f>SUM(C38:N38)</f>
        <v>41931093.592836</v>
      </c>
      <c r="P38" s="42">
        <f>O38/$O$16</f>
        <v>0.103783596269644</v>
      </c>
      <c r="Q38" s="6" t="s">
        <v>91</v>
      </c>
      <c r="R38">
        <f>O37-R37</f>
        <v>-0.0413585603237152</v>
      </c>
      <c r="S38" s="67"/>
      <c r="T38" s="53">
        <f>O38-淘系!O38-淘系达播!O38-抖音!O38-抖音达播!O38-快手!O38-京东POP财经口径!O38-京东自营财经口径!O38-PDD!O38-得物!O38-'视频号+官网+小程序'!O38-唯品会!O38-'线下门店-直营'!O38-'线下门店-经销'!O38-线下渠道!O38</f>
        <v>-1.32713466882706e-8</v>
      </c>
      <c r="U38" s="84"/>
      <c r="V38" s="84"/>
    </row>
    <row r="39" ht="16.8" spans="1:22">
      <c r="A39" s="36"/>
      <c r="B39" s="87" t="s">
        <v>53</v>
      </c>
      <c r="C39" s="87">
        <f>淘系!C39+抖音!C39+PDD!C39+得物!C39+京东自营财经口径!C39+京东POP财经口径!C39+'视频号+官网+小程序'!C39+快手!C39+唯品会!C39+'线下门店-直营'!C39+'线下门店-经销'!C39+线下渠道!C39+淘系达播!C39+抖音达播!C39</f>
        <v>2298503.00864808</v>
      </c>
      <c r="D39" s="87">
        <f>淘系!D39+抖音!D39+PDD!D39+得物!D39+京东自营财经口径!D39+京东POP财经口径!D39+'视频号+官网+小程序'!D39+快手!D39+唯品会!D39+'线下门店-直营'!D39+'线下门店-经销'!D39+线下渠道!D39+淘系达播!D39+抖音达播!D39</f>
        <v>2468200.77653974</v>
      </c>
      <c r="E39" s="87">
        <f>淘系!E39+抖音!E39+PDD!E39+得物!E39+京东自营财经口径!E39+京东POP财经口径!E39+'视频号+官网+小程序'!E39+快手!E39+唯品会!E39+'线下门店-直营'!E39+'线下门店-经销'!E39+线下渠道!E39+淘系达播!E39+抖音达播!E39</f>
        <v>1582066.5670413</v>
      </c>
      <c r="F39" s="87">
        <f>淘系!F39+抖音!F39+PDD!F39+得物!F39+京东自营财经口径!F39+京东POP财经口径!F39+'视频号+官网+小程序'!F39+快手!F39+唯品会!F39+'线下门店-直营'!F39+'线下门店-经销'!F39+线下渠道!F39+淘系达播!F39+抖音达播!F39</f>
        <v>1336204.87081191</v>
      </c>
      <c r="G39" s="87">
        <f>淘系!G39+抖音!G39+PDD!G39+得物!G39+京东自营财经口径!G39+京东POP财经口径!G39+'视频号+官网+小程序'!G39+快手!G39+唯品会!G39+'线下门店-直营'!G39+'线下门店-经销'!G39+线下渠道!G39+淘系达播!G39+抖音达播!G39</f>
        <v>3070752.37989253</v>
      </c>
      <c r="H39" s="87">
        <f>淘系!H39+抖音!H39+PDD!H39+得物!H39+京东自营财经口径!H39+京东POP财经口径!H39+'视频号+官网+小程序'!H39+快手!H39+唯品会!H39+'线下门店-直营'!H39+'线下门店-经销'!H39+线下渠道!H39+淘系达播!H39+抖音达播!H39</f>
        <v>2791593.07262957</v>
      </c>
      <c r="I39" s="87">
        <f>淘系!I39+抖音!I39+PDD!I39+得物!I39+京东自营财经口径!I39+京东POP财经口径!I39+'视频号+官网+小程序'!I39+快手!I39+唯品会!I39+'线下门店-直营'!I39+'线下门店-经销'!I39+线下渠道!I39+淘系达播!I39+抖音达播!I39</f>
        <v>1603445.84497429</v>
      </c>
      <c r="J39" s="87">
        <f>淘系!J39+抖音!J39+PDD!J39+得物!J39+京东自营财经口径!J39+京东POP财经口径!J39+'视频号+官网+小程序'!J39+快手!J39+唯品会!J39+'线下门店-直营'!J39+'线下门店-经销'!J39+线下渠道!J39+淘系达播!J39+抖音达播!J39</f>
        <v>2583206.54748962</v>
      </c>
      <c r="K39" s="87">
        <f>淘系!K39+抖音!K39+PDD!K39+得物!K39+京东自营财经口径!K39+京东POP财经口径!K39+'视频号+官网+小程序'!K39+快手!K39+唯品会!K39+'线下门店-直营'!K39+'线下门店-经销'!K39+线下渠道!K39+淘系达播!K39+抖音达播!K39</f>
        <v>1594158.1573787</v>
      </c>
      <c r="L39" s="87">
        <f>淘系!L39+抖音!L39+PDD!L39+得物!L39+京东自营财经口径!L39+京东POP财经口径!L39+'视频号+官网+小程序'!L39+快手!L39+唯品会!L39+'线下门店-直营'!L39+'线下门店-经销'!L39+线下渠道!L39+淘系达播!L39+抖音达播!L39</f>
        <v>3070752.37989253</v>
      </c>
      <c r="M39" s="87">
        <f>淘系!M39+抖音!M39+PDD!M39+得物!M39+京东自营财经口径!M39+京东POP财经口径!M39+'视频号+官网+小程序'!M39+快手!M39+唯品会!M39+'线下门店-直营'!M39+'线下门店-经销'!M39+线下渠道!M39+淘系达播!M39+抖音达播!M39</f>
        <v>2780534.82542285</v>
      </c>
      <c r="N39" s="87">
        <f>淘系!N39+抖音!N39+PDD!N39+得物!N39+京东自营财经口径!N39+京东POP财经口径!N39+'视频号+官网+小程序'!N39+快手!N39+唯品会!N39+'线下门店-直营'!N39+'线下门店-经销'!N39+线下渠道!N39+淘系达播!N39+抖音达播!N39</f>
        <v>2571042.47556223</v>
      </c>
      <c r="O39" s="87">
        <f>SUM(C39:N39)</f>
        <v>27750460.9062833</v>
      </c>
      <c r="P39" s="42">
        <f>O39/$O$16</f>
        <v>0.0686851303941741</v>
      </c>
      <c r="Q39" s="6" t="s">
        <v>91</v>
      </c>
      <c r="R39">
        <f>淘系!O31+抖音!O31+京东自营财经口径!O31</f>
        <v>20683454.2887816</v>
      </c>
      <c r="S39" s="67"/>
      <c r="T39" s="53">
        <f>O39-淘系!O39-淘系达播!O39-抖音!O39-抖音达播!O39-快手!O39-京东POP财经口径!O39-京东自营财经口径!O39-PDD!O39-得物!O39-'视频号+官网+小程序'!O39-唯品会!O39-'线下门店-直营'!O39-'线下门店-经销'!O39-线下渠道!O39</f>
        <v>0</v>
      </c>
      <c r="U39" s="84"/>
      <c r="V39" s="84"/>
    </row>
    <row r="40" ht="16.8" spans="1:22">
      <c r="A40" s="36"/>
      <c r="B40" s="87" t="s">
        <v>55</v>
      </c>
      <c r="C40" s="87">
        <f>淘系!C40+抖音!C40+PDD!C40+得物!C40+京东自营财经口径!C40+京东POP财经口径!C40+'视频号+官网+小程序'!C40+快手!C40+唯品会!C40+'线下门店-直营'!C40+'线下门店-经销'!C40+线下渠道!C40+淘系达播!C40+抖音达播!C40</f>
        <v>698638.301198982</v>
      </c>
      <c r="D40" s="87">
        <f>淘系!D40+抖音!D40+PDD!D40+得物!D40+京东自营财经口径!D40+京东POP财经口径!D40+'视频号+官网+小程序'!D40+快手!D40+唯品会!D40+'线下门店-直营'!D40+'线下门店-经销'!D40+线下渠道!D40+淘系达播!D40+抖音达播!D40</f>
        <v>794417.053725664</v>
      </c>
      <c r="E40" s="87">
        <f>淘系!E40+抖音!E40+PDD!E40+得物!E40+京东自营财经口径!E40+京东POP财经口径!E40+'视频号+官网+小程序'!E40+快手!E40+唯品会!E40+'线下门店-直营'!E40+'线下门店-经销'!E40+线下渠道!E40+淘系达播!E40+抖音达播!E40</f>
        <v>667442.569460177</v>
      </c>
      <c r="F40" s="87">
        <f>淘系!F40+抖音!F40+PDD!F40+得物!F40+京东自营财经口径!F40+京东POP财经口径!F40+'视频号+官网+小程序'!F40+快手!F40+唯品会!F40+'线下门店-直营'!F40+'线下门店-经销'!F40+线下渠道!F40+淘系达播!F40+抖音达播!F40</f>
        <v>562879.374541593</v>
      </c>
      <c r="G40" s="87">
        <f>淘系!G40+抖音!G40+PDD!G40+得物!G40+京东自营财经口径!G40+京东POP财经口径!G40+'视频号+官网+小程序'!G40+快手!G40+唯品会!G40+'线下门店-直营'!G40+'线下门店-经销'!G40+线下渠道!G40+淘系达播!G40+抖音达播!G40</f>
        <v>1978191.33340547</v>
      </c>
      <c r="H40" s="87">
        <f>淘系!H40+抖音!H40+PDD!H40+得物!H40+京东自营财经口径!H40+京东POP财经口径!H40+'视频号+官网+小程序'!H40+快手!H40+唯品会!H40+'线下门店-直营'!H40+'线下门店-经销'!H40+线下渠道!H40+淘系达播!H40+抖音达播!H40</f>
        <v>1391355.06495398</v>
      </c>
      <c r="I40" s="87">
        <f>淘系!I40+抖音!I40+PDD!I40+得物!I40+京东自营财经口径!I40+京东POP财经口径!I40+'视频号+官网+小程序'!I40+快手!I40+唯品会!I40+'线下门店-直营'!I40+'线下门店-经销'!I40+线下渠道!I40+淘系达播!I40+抖音达播!I40</f>
        <v>733176.959928319</v>
      </c>
      <c r="J40" s="87">
        <f>淘系!J40+抖音!J40+PDD!J40+得物!J40+京东自营财经口径!J40+京东POP财经口径!J40+'视频号+官网+小程序'!J40+快手!J40+唯品会!J40+'线下门店-直营'!J40+'线下门店-经销'!J40+线下渠道!J40+淘系达播!J40+抖音达播!J40</f>
        <v>1398044.56047005</v>
      </c>
      <c r="K40" s="87">
        <f>淘系!K40+抖音!K40+PDD!K40+得物!K40+京东自营财经口径!K40+京东POP财经口径!K40+'视频号+官网+小程序'!K40+快手!K40+唯品会!K40+'线下门店-直营'!K40+'线下门店-经销'!K40+线下渠道!K40+淘系达播!K40+抖音达播!K40</f>
        <v>803610.319380531</v>
      </c>
      <c r="L40" s="87">
        <f>淘系!L40+抖音!L40+PDD!L40+得物!L40+京东自营财经口径!L40+京东POP财经口径!L40+'视频号+官网+小程序'!L40+快手!L40+唯品会!L40+'线下门店-直营'!L40+'线下门店-经销'!L40+线下渠道!L40+淘系达播!L40+抖音达播!L40</f>
        <v>1783683.88037522</v>
      </c>
      <c r="M40" s="87">
        <f>淘系!M40+抖音!M40+PDD!M40+得物!M40+京东自营财经口径!M40+京东POP财经口径!M40+'视频号+官网+小程序'!M40+快手!M40+唯品会!M40+'线下门店-直营'!M40+'线下门店-经销'!M40+线下渠道!M40+淘系达播!M40+抖音达播!M40</f>
        <v>1423348.1125115</v>
      </c>
      <c r="N40" s="87">
        <f>淘系!N40+抖音!N40+PDD!N40+得物!N40+京东自营财经口径!N40+京东POP财经口径!N40+'视频号+官网+小程序'!N40+快手!N40+唯品会!N40+'线下门店-直营'!N40+'线下门店-经销'!N40+线下渠道!N40+淘系达播!N40+抖音达播!N40</f>
        <v>908636.977300885</v>
      </c>
      <c r="O40" s="87">
        <f>SUM(C40:N40)</f>
        <v>13143424.5072524</v>
      </c>
      <c r="P40" s="42">
        <f>O40/$O$16</f>
        <v>0.0325312732338153</v>
      </c>
      <c r="Q40" s="6" t="s">
        <v>91</v>
      </c>
      <c r="R40">
        <f>淘系!O31</f>
        <v>9080973.66010454</v>
      </c>
      <c r="S40">
        <f t="shared" ref="S40:S45" si="15">R40/$R$39</f>
        <v>0.439045312901623</v>
      </c>
      <c r="T40" s="53">
        <f>O40-淘系!O40-淘系达播!O40-抖音!O40-抖音达播!O40-快手!O40-京东POP财经口径!O40-京东自营财经口径!O40-PDD!O40-得物!O40-'视频号+官网+小程序'!O40-唯品会!O40-'线下门店-直营'!O40-'线下门店-经销'!O40-线下渠道!O40</f>
        <v>0</v>
      </c>
      <c r="U40" s="84"/>
      <c r="V40" s="84"/>
    </row>
    <row r="41" ht="16.8" outlineLevel="1" spans="1:22">
      <c r="A41" s="36"/>
      <c r="B41" s="87" t="s">
        <v>57</v>
      </c>
      <c r="C41" s="42">
        <f t="shared" ref="C41:N41" si="16">C38/C$16</f>
        <v>0.0829987198450816</v>
      </c>
      <c r="D41" s="42">
        <f t="shared" si="16"/>
        <v>0.0995424536298963</v>
      </c>
      <c r="E41" s="42">
        <f t="shared" si="16"/>
        <v>0.0940900362394147</v>
      </c>
      <c r="F41" s="42">
        <f t="shared" si="16"/>
        <v>0.0929646523993903</v>
      </c>
      <c r="G41" s="42">
        <f t="shared" si="16"/>
        <v>0.111100529777492</v>
      </c>
      <c r="H41" s="42">
        <f t="shared" si="16"/>
        <v>0.117415099436272</v>
      </c>
      <c r="I41" s="42">
        <f t="shared" si="16"/>
        <v>0.0949039970839487</v>
      </c>
      <c r="J41" s="42">
        <f t="shared" si="16"/>
        <v>0.123691795101458</v>
      </c>
      <c r="K41" s="42">
        <f t="shared" si="16"/>
        <v>0.099363889977365</v>
      </c>
      <c r="L41" s="42">
        <f t="shared" si="16"/>
        <v>0.11454134954785</v>
      </c>
      <c r="M41" s="42">
        <f t="shared" si="16"/>
        <v>0.105417045127822</v>
      </c>
      <c r="N41" s="42">
        <f t="shared" si="16"/>
        <v>0.085494540551722</v>
      </c>
      <c r="O41" s="42">
        <f>O38/$O$16</f>
        <v>0.103783596269644</v>
      </c>
      <c r="P41" s="42"/>
      <c r="Q41" s="6" t="s">
        <v>91</v>
      </c>
      <c r="S41">
        <f t="shared" si="15"/>
        <v>0</v>
      </c>
      <c r="T41" s="53">
        <f>O41-淘系!O41-淘系达播!O41-抖音!O41-抖音达播!O41-快手!O41-京东POP财经口径!O41-京东自营财经口径!O41-PDD!O41-得物!O41-'视频号+官网+小程序'!O41-唯品会!O41-'线下门店-直营'!O41-'线下门店-经销'!O41-线下渠道!O41</f>
        <v>-0.99470871609196</v>
      </c>
    </row>
    <row r="42" ht="16.8" outlineLevel="1" spans="1:22">
      <c r="A42" s="36"/>
      <c r="B42" s="87" t="s">
        <v>58</v>
      </c>
      <c r="C42" s="42">
        <f t="shared" ref="C42:N42" si="17">C39/C$16</f>
        <v>0.083233491873255</v>
      </c>
      <c r="D42" s="42">
        <f t="shared" si="17"/>
        <v>0.08936882664958</v>
      </c>
      <c r="E42" s="42">
        <f t="shared" si="17"/>
        <v>0.0670555109718494</v>
      </c>
      <c r="F42" s="42">
        <f t="shared" si="17"/>
        <v>0.0653574577632275</v>
      </c>
      <c r="G42" s="42">
        <f t="shared" si="17"/>
        <v>0.071851555960703</v>
      </c>
      <c r="H42" s="42">
        <f t="shared" si="17"/>
        <v>0.0718194934006845</v>
      </c>
      <c r="I42" s="42">
        <f t="shared" si="17"/>
        <v>0.0590694298159421</v>
      </c>
      <c r="J42" s="42">
        <f t="shared" si="17"/>
        <v>0.0687394403137735</v>
      </c>
      <c r="K42" s="42">
        <f t="shared" si="17"/>
        <v>0.05800053894519</v>
      </c>
      <c r="L42" s="42">
        <f t="shared" si="17"/>
        <v>0.063469417108739</v>
      </c>
      <c r="M42" s="42">
        <f t="shared" si="17"/>
        <v>0.0614015438332249</v>
      </c>
      <c r="N42" s="42">
        <f t="shared" si="17"/>
        <v>0.0689842779412934</v>
      </c>
      <c r="O42" s="42">
        <f>O39/$O$16</f>
        <v>0.0686851303941741</v>
      </c>
      <c r="P42" s="42"/>
      <c r="Q42" s="6" t="s">
        <v>91</v>
      </c>
      <c r="S42">
        <f t="shared" si="15"/>
        <v>0</v>
      </c>
      <c r="T42" s="53">
        <f>O42-淘系!O42-淘系达播!O42-抖音!O42-抖音达播!O42-快手!O42-京东POP财经口径!O42-京东自营财经口径!O42-PDD!O42-得物!O42-'视频号+官网+小程序'!O42-唯品会!O42-'线下门店-直营'!O42-'线下门店-经销'!O42-线下渠道!O42</f>
        <v>-0.296020751958767</v>
      </c>
    </row>
    <row r="43" ht="16.8" outlineLevel="1" spans="1:22">
      <c r="A43" s="36"/>
      <c r="B43" s="87" t="s">
        <v>59</v>
      </c>
      <c r="C43" s="42">
        <f t="shared" ref="C43:N43" si="18">C40/C$16</f>
        <v>0.0252991208392598</v>
      </c>
      <c r="D43" s="42">
        <f t="shared" si="18"/>
        <v>0.0287643212159633</v>
      </c>
      <c r="E43" s="42">
        <f t="shared" si="18"/>
        <v>0.0282893927928811</v>
      </c>
      <c r="F43" s="42">
        <f t="shared" si="18"/>
        <v>0.027531979377564</v>
      </c>
      <c r="G43" s="42">
        <f t="shared" si="18"/>
        <v>0.0462870683497232</v>
      </c>
      <c r="H43" s="42">
        <f t="shared" si="18"/>
        <v>0.0357954806827718</v>
      </c>
      <c r="I43" s="42">
        <f t="shared" si="18"/>
        <v>0.0270095464171077</v>
      </c>
      <c r="J43" s="42">
        <f t="shared" si="18"/>
        <v>0.0372021357385525</v>
      </c>
      <c r="K43" s="42">
        <f t="shared" si="18"/>
        <v>0.0292378967609013</v>
      </c>
      <c r="L43" s="42">
        <f t="shared" si="18"/>
        <v>0.0368669831325283</v>
      </c>
      <c r="M43" s="42">
        <f t="shared" si="18"/>
        <v>0.0314312810331452</v>
      </c>
      <c r="N43" s="42">
        <f t="shared" si="18"/>
        <v>0.0243798639601059</v>
      </c>
      <c r="O43" s="42">
        <f>O40/$O$16</f>
        <v>0.0325312732338153</v>
      </c>
      <c r="P43" s="42"/>
      <c r="Q43" s="6" t="s">
        <v>91</v>
      </c>
      <c r="S43">
        <f t="shared" si="15"/>
        <v>0</v>
      </c>
      <c r="T43" s="53">
        <f>O43-淘系!O43-淘系达播!O43-抖音!O43-抖音达播!O43-快手!O43-京东POP财经口径!O43-京东自营财经口径!O43-PDD!O43-得物!O43-'视频号+官网+小程序'!O43-唯品会!O43-'线下门店-直营'!O43-'线下门店-经销'!O43-线下渠道!O43</f>
        <v>-0.0905027897491248</v>
      </c>
    </row>
    <row r="44" ht="16.8" spans="1:22">
      <c r="A44" s="6"/>
      <c r="B44" s="86" t="s">
        <v>60</v>
      </c>
      <c r="C44" s="86">
        <f t="shared" ref="C44:N44" si="19">SUM(C45:C46)</f>
        <v>873457.067637389</v>
      </c>
      <c r="D44" s="86">
        <f t="shared" si="19"/>
        <v>891315.704904132</v>
      </c>
      <c r="E44" s="86">
        <f t="shared" si="19"/>
        <v>784090.163295593</v>
      </c>
      <c r="F44" s="86">
        <f t="shared" si="19"/>
        <v>610146.643503439</v>
      </c>
      <c r="G44" s="86">
        <f t="shared" si="19"/>
        <v>1521937.33443377</v>
      </c>
      <c r="H44" s="86">
        <f t="shared" si="19"/>
        <v>1188479.91072996</v>
      </c>
      <c r="I44" s="86">
        <f t="shared" si="19"/>
        <v>779366.809232135</v>
      </c>
      <c r="J44" s="86">
        <f t="shared" si="19"/>
        <v>1264018.59042331</v>
      </c>
      <c r="K44" s="86">
        <f t="shared" si="19"/>
        <v>822841.275072908</v>
      </c>
      <c r="L44" s="86">
        <f t="shared" si="19"/>
        <v>2071368.97492832</v>
      </c>
      <c r="M44" s="86">
        <f t="shared" si="19"/>
        <v>1291114.684877</v>
      </c>
      <c r="N44" s="86">
        <f t="shared" si="19"/>
        <v>1089471.61056944</v>
      </c>
      <c r="O44" s="86">
        <f>SUM(C44:N44)</f>
        <v>13187608.7696074</v>
      </c>
      <c r="P44" s="38">
        <f>O44/$O$16</f>
        <v>0.0326406336452143</v>
      </c>
      <c r="Q44" s="6"/>
      <c r="R44">
        <f>抖音!O31</f>
        <v>5348171.17288612</v>
      </c>
      <c r="S44">
        <f t="shared" si="15"/>
        <v>0.25857243660634</v>
      </c>
      <c r="T44" s="53">
        <f>O44-淘系!O44-淘系达播!O44-抖音!O44-抖音达播!O44-快手!O44-京东POP财经口径!O44-京东自营财经口径!O44-PDD!O44-得物!O44-'视频号+官网+小程序'!O44-唯品会!O44-'线下门店-直营'!O44-'线下门店-经销'!O44-线下渠道!O44</f>
        <v>-1.28056854009628e-9</v>
      </c>
    </row>
    <row r="45" ht="16.8" spans="1:22">
      <c r="A45" s="36"/>
      <c r="B45" s="87" t="s">
        <v>61</v>
      </c>
      <c r="C45" s="87">
        <f>淘系!C45+抖音!C45+PDD!C45+得物!C45+京东自营财经口径!C45+京东POP财经口径!C45+'视频号+官网+小程序'!C45+快手!C45+唯品会!C45+'线下门店-直营'!C45+'线下门店-经销'!C45+线下渠道!C45+淘系达播!C45+抖音达播!C45</f>
        <v>162529.488822359</v>
      </c>
      <c r="D45" s="87">
        <f>淘系!D45+抖音!D45+PDD!D45+得物!D45+京东自营财经口径!D45+京东POP财经口径!D45+'视频号+官网+小程序'!D45+快手!D45+唯品会!D45+'线下门店-直营'!D45+'线下门店-经销'!D45+线下渠道!D45+淘系达播!D45+抖音达播!D45</f>
        <v>155166.98701243</v>
      </c>
      <c r="E45" s="87">
        <f>淘系!E45+抖音!E45+PDD!E45+得物!E45+京东自营财经口径!E45+京东POP财经口径!E45+'视频号+官网+小程序'!E45+快手!E45+唯品会!E45+'线下门店-直营'!E45+'线下门店-经销'!E45+线下渠道!E45+淘系达播!E45+抖音达播!E45</f>
        <v>194579.218911321</v>
      </c>
      <c r="F45" s="87">
        <f>淘系!F45+抖音!F45+PDD!F45+得物!F45+京东自营财经口径!F45+京东POP财经口径!F45+'视频号+官网+小程序'!F45+快手!F45+唯品会!F45+'线下门店-直营'!F45+'线下门店-经销'!F45+线下渠道!F45+淘系达播!F45+抖音达播!F45</f>
        <v>106561.309839184</v>
      </c>
      <c r="G45" s="87">
        <f>淘系!G45+抖音!G45+PDD!G45+得物!G45+京东自营财经口径!G45+京东POP财经口径!G45+'视频号+官网+小程序'!G45+快手!G45+唯品会!G45+'线下门店-直营'!G45+'线下门店-经销'!G45+线下渠道!G45+淘系达播!G45+抖音达播!G45</f>
        <v>442337.329917363</v>
      </c>
      <c r="H45" s="87">
        <f>淘系!H45+抖音!H45+PDD!H45+得物!H45+京东自营财经口径!H45+京东POP财经口径!H45+'视频号+官网+小程序'!H45+快手!H45+唯品会!H45+'线下门店-直营'!H45+'线下门店-经销'!H45+线下渠道!H45+淘系达播!H45+抖音达播!H45</f>
        <v>242039.409556093</v>
      </c>
      <c r="I45" s="87">
        <f>淘系!I45+抖音!I45+PDD!I45+得物!I45+京东自营财经口径!I45+京东POP财经口径!I45+'视频号+官网+小程序'!I45+快手!I45+唯品会!I45+'线下门店-直营'!I45+'线下门店-经销'!I45+线下渠道!I45+淘系达播!I45+抖音达播!I45</f>
        <v>126179.026245701</v>
      </c>
      <c r="J45" s="87">
        <f>淘系!J45+抖音!J45+PDD!J45+得物!J45+京东自营财经口径!J45+京东POP财经口径!J45+'视频号+官网+小程序'!J45+快手!J45+唯品会!J45+'线下门店-直营'!J45+'线下门店-经销'!J45+线下渠道!J45+淘系达播!J45+抖音达播!J45</f>
        <v>326056.341315885</v>
      </c>
      <c r="K45" s="87">
        <f>淘系!K45+抖音!K45+PDD!K45+得物!K45+京东自营财经口径!K45+京东POP财经口径!K45+'视频号+官网+小程序'!K45+快手!K45+唯品会!K45+'线下门店-直营'!K45+'线下门店-经销'!K45+线下渠道!K45+淘系达播!K45+抖音达播!K45</f>
        <v>160579.676976833</v>
      </c>
      <c r="L45" s="87">
        <f>淘系!L45+抖音!L45+PDD!L45+得物!L45+京东自营财经口径!L45+京东POP财经口径!L45+'视频号+官网+小程序'!L45+快手!L45+唯品会!L45+'线下门店-直营'!L45+'线下门店-经销'!L45+线下渠道!L45+淘系达播!L45+抖音达播!L45</f>
        <v>861365.922370193</v>
      </c>
      <c r="M45" s="87">
        <f>淘系!M45+抖音!M45+PDD!M45+得物!M45+京东自营财经口径!M45+京东POP财经口径!M45+'视频号+官网+小程序'!M45+快手!M45+唯品会!M45+'线下门店-直营'!M45+'线下门店-经销'!M45+线下渠道!M45+淘系达播!M45+抖音达播!M45</f>
        <v>219019.155230439</v>
      </c>
      <c r="N45" s="87">
        <f>淘系!N45+抖音!N45+PDD!N45+得物!N45+京东自营财经口径!N45+京东POP财经口径!N45+'视频号+官网+小程序'!N45+快手!N45+唯品会!N45+'线下门店-直营'!N45+'线下门店-经销'!N45+线下渠道!N45+淘系达播!N45+抖音达播!N45</f>
        <v>174825.025677513</v>
      </c>
      <c r="O45" s="87">
        <f>SUM(C45:N45)</f>
        <v>3171238.89187531</v>
      </c>
      <c r="P45" s="42">
        <f>O45/$O$16</f>
        <v>0.00784912933645052</v>
      </c>
      <c r="Q45" s="6" t="s">
        <v>92</v>
      </c>
      <c r="R45">
        <f>京东自营财经口径!O31</f>
        <v>6254309.45579096</v>
      </c>
      <c r="S45">
        <f t="shared" si="15"/>
        <v>0.302382250492037</v>
      </c>
      <c r="T45" s="53">
        <f>O45-淘系!O45-淘系达播!O45-抖音!O45-抖音达播!O45-快手!O45-京东POP财经口径!O45-京东自营财经口径!O45-PDD!O45-得物!O45-'视频号+官网+小程序'!O45-唯品会!O45-'线下门店-直营'!O45-'线下门店-经销'!O45-线下渠道!O45</f>
        <v>-5.38420863449574e-10</v>
      </c>
    </row>
    <row r="46" ht="16.8" spans="1:22">
      <c r="A46" s="36"/>
      <c r="B46" s="87" t="s">
        <v>63</v>
      </c>
      <c r="C46" s="87">
        <f>淘系!C46+抖音!C46+PDD!C46+得物!C46+京东自营财经口径!C46+京东POP财经口径!C46+'视频号+官网+小程序'!C46+快手!C46+唯品会!C46+'线下门店-直营'!C46+'线下门店-经销'!C46+线下渠道!C46+淘系达播!C46+抖音达播!C46</f>
        <v>710927.57881503</v>
      </c>
      <c r="D46" s="87">
        <f>淘系!D46+抖音!D46+PDD!D46+得物!D46+京东自营财经口径!D46+京东POP财经口径!D46+'视频号+官网+小程序'!D46+快手!D46+唯品会!D46+'线下门店-直营'!D46+'线下门店-经销'!D46+线下渠道!D46+淘系达播!D46+抖音达播!D46</f>
        <v>736148.717891702</v>
      </c>
      <c r="E46" s="87">
        <f>淘系!E46+抖音!E46+PDD!E46+得物!E46+京东自营财经口径!E46+京东POP财经口径!E46+'视频号+官网+小程序'!E46+快手!E46+唯品会!E46+'线下门店-直营'!E46+'线下门店-经销'!E46+线下渠道!E46+淘系达播!E46+抖音达播!E46</f>
        <v>589510.944384271</v>
      </c>
      <c r="F46" s="87">
        <f>淘系!F46+抖音!F46+PDD!F46+得物!F46+京东自营财经口径!F46+京东POP财经口径!F46+'视频号+官网+小程序'!F46+快手!F46+唯品会!F46+'线下门店-直营'!F46+'线下门店-经销'!F46+线下渠道!F46+淘系达播!F46+抖音达播!F46</f>
        <v>503585.333664255</v>
      </c>
      <c r="G46" s="87">
        <f>淘系!G46+抖音!G46+PDD!G46+得物!G46+京东自营财经口径!G46+京东POP财经口径!G46+'视频号+官网+小程序'!G46+快手!G46+唯品会!G46+'线下门店-直营'!G46+'线下门店-经销'!G46+线下渠道!G46+淘系达播!G46+抖音达播!G46</f>
        <v>1079600.00451641</v>
      </c>
      <c r="H46" s="87">
        <f>淘系!H46+抖音!H46+PDD!H46+得物!H46+京东自营财经口径!H46+京东POP财经口径!H46+'视频号+官网+小程序'!H46+快手!H46+唯品会!H46+'线下门店-直营'!H46+'线下门店-经销'!H46+线下渠道!H46+淘系达播!H46+抖音达播!H46</f>
        <v>946440.501173864</v>
      </c>
      <c r="I46" s="87">
        <f>淘系!I46+抖音!I46+PDD!I46+得物!I46+京东自营财经口径!I46+京东POP财经口径!I46+'视频号+官网+小程序'!I46+快手!I46+唯品会!I46+'线下门店-直营'!I46+'线下门店-经销'!I46+线下渠道!I46+淘系达播!I46+抖音达播!I46</f>
        <v>653187.782986435</v>
      </c>
      <c r="J46" s="87">
        <f>淘系!J46+抖音!J46+PDD!J46+得物!J46+京东自营财经口径!J46+京东POP财经口径!J46+'视频号+官网+小程序'!J46+快手!J46+唯品会!J46+'线下门店-直营'!J46+'线下门店-经销'!J46+线下渠道!J46+淘系达播!J46+抖音达播!J46</f>
        <v>937962.249107427</v>
      </c>
      <c r="K46" s="87">
        <f>淘系!K46+抖音!K46+PDD!K46+得物!K46+京东自营财经口径!K46+京东POP财经口径!K46+'视频号+官网+小程序'!K46+快手!K46+唯品会!K46+'线下门店-直营'!K46+'线下门店-经销'!K46+线下渠道!K46+淘系达播!K46+抖音达播!K46</f>
        <v>662261.598096076</v>
      </c>
      <c r="L46" s="87">
        <f>淘系!L46+抖音!L46+PDD!L46+得物!L46+京东自营财经口径!L46+京东POP财经口径!L46+'视频号+官网+小程序'!L46+快手!L46+唯品会!L46+'线下门店-直营'!L46+'线下门店-经销'!L46+线下渠道!L46+淘系达播!L46+抖音达播!L46</f>
        <v>1210003.05255813</v>
      </c>
      <c r="M46" s="87">
        <f>淘系!M46+抖音!M46+PDD!M46+得物!M46+京东自营财经口径!M46+京东POP财经口径!M46+'视频号+官网+小程序'!M46+快手!M46+唯品会!M46+'线下门店-直营'!M46+'线下门店-经销'!M46+线下渠道!M46+淘系达播!M46+抖音达播!M46</f>
        <v>1072095.52964656</v>
      </c>
      <c r="N46" s="87">
        <f>淘系!N46+抖音!N46+PDD!N46+得物!N46+京东自营财经口径!N46+京东POP财经口径!N46+'视频号+官网+小程序'!N46+快手!N46+唯品会!N46+'线下门店-直营'!N46+'线下门店-经销'!N46+线下渠道!N46+淘系达播!N46+抖音达播!N46</f>
        <v>914646.584891926</v>
      </c>
      <c r="O46" s="87">
        <f>SUM(C46:N46)</f>
        <v>10016369.8777321</v>
      </c>
      <c r="P46" s="42">
        <f>O46/$O$16</f>
        <v>0.0247915043087638</v>
      </c>
      <c r="Q46" s="4" t="s">
        <v>83</v>
      </c>
      <c r="T46" s="53">
        <f>O46-淘系!O46-淘系达播!O46-抖音!O46-抖音达播!O46-快手!O46-京东POP财经口径!O46-京东自营财经口径!O46-PDD!O46-得物!O46-'视频号+官网+小程序'!O46-唯品会!O46-'线下门店-直营'!O46-'线下门店-经销'!O46-线下渠道!O46</f>
        <v>-18223.0698760723</v>
      </c>
    </row>
    <row r="47" ht="20" customHeight="1" spans="1:22">
      <c r="A47" s="36"/>
      <c r="B47" s="87" t="s">
        <v>93</v>
      </c>
      <c r="C47" s="42">
        <f t="shared" ref="C47:O47" si="20">C45/C$16</f>
        <v>0.0058855249856805</v>
      </c>
      <c r="D47" s="42">
        <f t="shared" si="20"/>
        <v>0.00561829965206164</v>
      </c>
      <c r="E47" s="42">
        <f t="shared" si="20"/>
        <v>0.0082471933990761</v>
      </c>
      <c r="F47" s="42">
        <f t="shared" si="20"/>
        <v>0.00521220694456595</v>
      </c>
      <c r="G47" s="42">
        <f t="shared" si="20"/>
        <v>0.0103501101626363</v>
      </c>
      <c r="H47" s="42">
        <f t="shared" si="20"/>
        <v>0.00622696335929261</v>
      </c>
      <c r="I47" s="42">
        <f t="shared" si="20"/>
        <v>0.0046483160989973</v>
      </c>
      <c r="J47" s="42">
        <f t="shared" si="20"/>
        <v>0.00867639888672152</v>
      </c>
      <c r="K47" s="42">
        <f t="shared" si="20"/>
        <v>0.00584239886437333</v>
      </c>
      <c r="L47" s="42">
        <f t="shared" si="20"/>
        <v>0.0178035823950353</v>
      </c>
      <c r="M47" s="42">
        <f t="shared" si="20"/>
        <v>0.00483652070718177</v>
      </c>
      <c r="N47" s="42">
        <f t="shared" si="20"/>
        <v>0.00469077359750505</v>
      </c>
      <c r="O47" s="42">
        <f t="shared" si="20"/>
        <v>0.00784912933645052</v>
      </c>
      <c r="P47" s="42"/>
      <c r="Q47" s="4"/>
      <c r="T47" s="53"/>
    </row>
    <row r="48" ht="20" customHeight="1" spans="1:22">
      <c r="A48" s="36"/>
      <c r="B48" s="87" t="s">
        <v>94</v>
      </c>
      <c r="C48" s="42">
        <f t="shared" ref="C48:O48" si="21">C46/C$16</f>
        <v>0.0257441406998974</v>
      </c>
      <c r="D48" s="42">
        <f t="shared" si="21"/>
        <v>0.0266545362852555</v>
      </c>
      <c r="E48" s="42">
        <f t="shared" si="21"/>
        <v>0.0249862796058649</v>
      </c>
      <c r="F48" s="42">
        <f t="shared" si="21"/>
        <v>0.0246317446479173</v>
      </c>
      <c r="G48" s="42">
        <f t="shared" si="21"/>
        <v>0.0252612163219755</v>
      </c>
      <c r="H48" s="42">
        <f t="shared" si="21"/>
        <v>0.0243491352642486</v>
      </c>
      <c r="I48" s="42">
        <f t="shared" si="21"/>
        <v>0.0240628207211867</v>
      </c>
      <c r="J48" s="42">
        <f t="shared" si="21"/>
        <v>0.0249592894930334</v>
      </c>
      <c r="K48" s="42">
        <f t="shared" si="21"/>
        <v>0.0240951811678685</v>
      </c>
      <c r="L48" s="42">
        <f t="shared" si="21"/>
        <v>0.025009567345299</v>
      </c>
      <c r="M48" s="42">
        <f t="shared" si="21"/>
        <v>0.0236746974197623</v>
      </c>
      <c r="N48" s="42">
        <f t="shared" si="21"/>
        <v>0.0245411092309713</v>
      </c>
      <c r="O48" s="42">
        <f t="shared" si="21"/>
        <v>0.0247915043087638</v>
      </c>
      <c r="P48" s="42"/>
      <c r="Q48" s="4"/>
      <c r="T48" s="53"/>
    </row>
    <row r="49" ht="16.8" spans="1:22">
      <c r="A49" s="6"/>
      <c r="B49" s="86" t="s">
        <v>65</v>
      </c>
      <c r="C49" s="86">
        <f t="shared" ref="C49:N49" si="22">SUM(C50:C53)</f>
        <v>657080.283668148</v>
      </c>
      <c r="D49" s="86">
        <f t="shared" si="22"/>
        <v>636510.42427804</v>
      </c>
      <c r="E49" s="86">
        <f t="shared" si="22"/>
        <v>641266.508697088</v>
      </c>
      <c r="F49" s="86">
        <f t="shared" si="22"/>
        <v>662889.290044293</v>
      </c>
      <c r="G49" s="86">
        <f t="shared" si="22"/>
        <v>717270.269065751</v>
      </c>
      <c r="H49" s="86">
        <f t="shared" si="22"/>
        <v>966198.144021873</v>
      </c>
      <c r="I49" s="86">
        <f t="shared" si="22"/>
        <v>933219.492245947</v>
      </c>
      <c r="J49" s="86">
        <f t="shared" si="22"/>
        <v>963447.111509864</v>
      </c>
      <c r="K49" s="86">
        <f t="shared" si="22"/>
        <v>881708.222221685</v>
      </c>
      <c r="L49" s="86">
        <f t="shared" si="22"/>
        <v>1332901.34315578</v>
      </c>
      <c r="M49" s="86">
        <f t="shared" si="22"/>
        <v>1431607.07564887</v>
      </c>
      <c r="N49" s="86">
        <f t="shared" si="22"/>
        <v>1542325.93216576</v>
      </c>
      <c r="O49" s="86">
        <f t="shared" ref="O49:O62" si="23">SUM(C49:N49)</f>
        <v>11366424.0967231</v>
      </c>
      <c r="P49" s="38">
        <f t="shared" ref="P49:P62" si="24">O49/$O$16</f>
        <v>0.0281330217842306</v>
      </c>
      <c r="Q49" s="6"/>
      <c r="R49">
        <f>$R$38*S40+R40</f>
        <v>9080973.64194626</v>
      </c>
      <c r="T49" s="53">
        <f>O49-淘系!O47-淘系达播!O47-抖音!O47-抖音达播!O47-快手!O47-京东POP财经口径!O47-京东自营财经口径!O47-PDD!O47-得物!O47-'视频号+官网+小程序'!O47-唯品会!O47-'线下门店-直营'!O47-'线下门店-经销'!O47-线下渠道!O47</f>
        <v>0</v>
      </c>
    </row>
    <row r="50" ht="16.8" spans="1:22">
      <c r="A50" s="36"/>
      <c r="B50" s="87" t="s">
        <v>66</v>
      </c>
      <c r="C50" s="87">
        <f>淘系!C48+抖音!C48+PDD!C48+得物!C48+京东自营财经口径!C48+京东POP财经口径!C48+'视频号+官网+小程序'!C48+快手!C48+唯品会!C48+'线下门店-直营'!C48+'线下门店-经销'!C48+线下渠道!C48+淘系达播!C48+抖音达播!C48</f>
        <v>273499.09091418</v>
      </c>
      <c r="D50" s="87">
        <f>淘系!D48+抖音!D48+PDD!D48+得物!D48+京东自营财经口径!D48+京东POP财经口径!D48+'视频号+官网+小程序'!D48+快手!D48+唯品会!D48+'线下门店-直营'!D48+'线下门店-经销'!D48+线下渠道!D48+淘系达播!D48+抖音达播!D48</f>
        <v>282312.630706612</v>
      </c>
      <c r="E50" s="87">
        <f>淘系!E48+抖音!E48+PDD!E48+得物!E48+京东自营财经口径!E48+京东POP财经口径!E48+'视频号+官网+小程序'!E48+快手!E48+唯品会!E48+'线下门店-直营'!E48+'线下门店-经销'!E48+线下渠道!E48+淘系达播!E48+抖音达播!E48</f>
        <v>248013.188268517</v>
      </c>
      <c r="F50" s="87">
        <f>淘系!F48+抖音!F48+PDD!F48+得物!F48+京东自营财经口径!F48+京东POP财经口径!F48+'视频号+官网+小程序'!F48+快手!F48+唯品会!F48+'线下门店-直营'!F48+'线下门店-经销'!F48+线下渠道!F48+淘系达播!F48+抖音达播!F48</f>
        <v>271172.87271096</v>
      </c>
      <c r="G50" s="87">
        <f>淘系!G48+抖音!G48+PDD!G48+得物!G48+京东自营财经口径!G48+京东POP财经口径!G48+'视频号+官网+小程序'!G48+快手!G48+唯品会!G48+'线下门店-直营'!G48+'线下门店-经销'!G48+线下渠道!G48+淘系达播!G48+抖音达播!G48</f>
        <v>411814.033732418</v>
      </c>
      <c r="H50" s="87">
        <f>淘系!H48+抖音!H48+PDD!H48+得物!H48+京东自营财经口径!H48+京东POP财经口径!H48+'视频号+官网+小程序'!H48+快手!H48+唯品会!H48+'线下门店-直营'!H48+'线下门店-经销'!H48+线下渠道!H48+淘系达播!H48+抖音达播!H48</f>
        <v>560242.137021873</v>
      </c>
      <c r="I50" s="87">
        <f>淘系!I48+抖音!I48+PDD!I48+得物!I48+京东自营财经口径!I48+京东POP财经口径!I48+'视频号+官网+小程序'!I48+快手!I48+唯品会!I48+'线下门店-直营'!I48+'线下门店-经销'!I48+线下渠道!I48+淘系达播!I48+抖音达播!I48</f>
        <v>548529.708245947</v>
      </c>
      <c r="J50" s="87">
        <f>淘系!J48+抖音!J48+PDD!J48+得物!J48+京东自营财经口径!J48+京东POP财经口径!J48+'视频号+官网+小程序'!J48+快手!J48+唯品会!J48+'线下门店-直营'!J48+'线下门店-经销'!J48+线下渠道!J48+淘系达播!J48+抖音达播!J48</f>
        <v>616741.814843197</v>
      </c>
      <c r="K50" s="87">
        <f>淘系!K48+抖音!K48+PDD!K48+得物!K48+京东自营财经口径!K48+京东POP财经口径!K48+'视频号+官网+小程序'!K48+快手!K48+唯品会!K48+'线下门店-直营'!K48+'线下门店-经销'!K48+线下渠道!K48+淘系达播!K48+抖音达播!K48</f>
        <v>540262.257221685</v>
      </c>
      <c r="L50" s="87">
        <f>淘系!L48+抖音!L48+PDD!L48+得物!L48+京东自营财经口径!L48+京东POP财经口径!L48+'视频号+官网+小程序'!L48+快手!L48+唯品会!L48+'线下门店-直营'!L48+'线下门店-经销'!L48+线下渠道!L48+淘系达播!L48+抖音达播!L48</f>
        <v>874444.448155779</v>
      </c>
      <c r="M50" s="87">
        <f>淘系!M48+抖音!M48+PDD!M48+得物!M48+京东自营财经口径!M48+京东POP财经口径!M48+'视频号+官网+小程序'!M48+快手!M48+唯品会!M48+'线下门店-直营'!M48+'线下门店-经销'!M48+线下渠道!M48+淘系达播!M48+抖音达播!M48</f>
        <v>942170.295648869</v>
      </c>
      <c r="N50" s="87">
        <f>淘系!N48+抖音!N48+PDD!N48+得物!N48+京东自营财经口径!N48+京东POP财经口径!N48+'视频号+官网+小程序'!N48+快手!N48+唯品会!N48+'线下门店-直营'!N48+'线下门店-经销'!N48+线下渠道!N48+淘系达播!N48+抖音达播!N48</f>
        <v>1012182.70799909</v>
      </c>
      <c r="O50" s="87">
        <f t="shared" si="23"/>
        <v>6581385.18546913</v>
      </c>
      <c r="P50" s="42">
        <f t="shared" si="24"/>
        <v>0.0162895780781745</v>
      </c>
      <c r="Q50" s="4" t="s">
        <v>95</v>
      </c>
      <c r="R50">
        <f>R38*S44+R44</f>
        <v>5348171.16219193</v>
      </c>
      <c r="T50" s="53">
        <f>O50-淘系!O48-淘系达播!O48-抖音!O48-抖音达播!O48-快手!O48-京东POP财经口径!O48-京东自营财经口径!O48-PDD!O48-得物!O48-'视频号+官网+小程序'!O48-唯品会!O48-'线下门店-直营'!O48-'线下门店-经销'!O48-线下渠道!O48</f>
        <v>0</v>
      </c>
    </row>
    <row r="51" ht="16.8" spans="1:22">
      <c r="A51" s="36"/>
      <c r="B51" s="87" t="s">
        <v>67</v>
      </c>
      <c r="C51" s="87">
        <f>淘系!C49+抖音!C49+PDD!C49+得物!C49+京东自营财经口径!C49+京东POP财经口径!C49+'视频号+官网+小程序'!C49+快手!C49+唯品会!C49+'线下门店-直营'!C49+'线下门店-经销'!C49+线下渠道!C49+淘系达播!C49+抖音达播!C49</f>
        <v>151958.471673633</v>
      </c>
      <c r="D51" s="87">
        <f>淘系!D49+抖音!D49+PDD!D49+得物!D49+京东自营财经口径!D49+京东POP财经口径!D49+'视频号+官网+小程序'!D49+快手!D49+唯品会!D49+'线下门店-直营'!D49+'线下门店-经销'!D49+线下渠道!D49+淘系达播!D49+抖音达播!D49</f>
        <v>132683.535</v>
      </c>
      <c r="E51" s="87">
        <f>淘系!E49+抖音!E49+PDD!E49+得物!E49+京东自营财经口径!E49+京东POP财经口径!E49+'视频号+官网+小程序'!E49+快手!E49+唯品会!E49+'线下门店-直营'!E49+'线下门店-经销'!E49+线下渠道!E49+淘系达播!E49+抖音达播!E49</f>
        <v>144087.636</v>
      </c>
      <c r="F51" s="87">
        <f>淘系!F49+抖音!F49+PDD!F49+得物!F49+京东自营财经口径!F49+京东POP财经口径!F49+'视频号+官网+小程序'!F49+快手!F49+唯品会!F49+'线下门店-直营'!F49+'线下门店-经销'!F49+线下渠道!F49+淘系达播!F49+抖音达播!F49</f>
        <v>135605.015</v>
      </c>
      <c r="G51" s="87">
        <f>淘系!G49+抖音!G49+PDD!G49+得物!G49+京东自营财经口径!G49+京东POP财经口径!G49+'视频号+官网+小程序'!G49+快手!G49+唯品会!G49+'线下门店-直营'!G49+'线下门店-经销'!G49+线下渠道!G49+淘系达播!G49+抖音达播!G49</f>
        <v>102872.77</v>
      </c>
      <c r="H51" s="87">
        <f>淘系!H49+抖音!H49+PDD!H49+得物!H49+京东自营财经口径!H49+京东POP财经口径!H49+'视频号+官网+小程序'!H49+快手!H49+唯品会!H49+'线下门店-直营'!H49+'线下门店-经销'!H49+线下渠道!H49+淘系达播!H49+抖音达播!H49</f>
        <v>143943.345</v>
      </c>
      <c r="I51" s="87">
        <f>淘系!I49+抖音!I49+PDD!I49+得物!I49+京东自营财经口径!I49+京东POP财经口径!I49+'视频号+官网+小程序'!I49+快手!I49+唯品会!I49+'线下门店-直营'!I49+'线下门店-经销'!I49+线下渠道!I49+淘系达播!I49+抖音达播!I49</f>
        <v>131789.64</v>
      </c>
      <c r="J51" s="87">
        <f>淘系!J49+抖音!J49+PDD!J49+得物!J49+京东自营财经口径!J49+京东POP财经口径!J49+'视频号+官网+小程序'!J49+快手!J49+唯品会!J49+'线下门店-直营'!J49+'线下门店-经销'!J49+线下渠道!J49+淘系达播!J49+抖音达播!J49</f>
        <v>112127.73</v>
      </c>
      <c r="K51" s="87">
        <f>淘系!K49+抖音!K49+PDD!K49+得物!K49+京东自营财经口径!K49+京东POP财经口径!K49+'视频号+官网+小程序'!K49+快手!K49+唯品会!K49+'线下门店-直营'!K49+'线下门店-经销'!K49+线下渠道!K49+淘系达播!K49+抖音达播!K49</f>
        <v>107031.015</v>
      </c>
      <c r="L51" s="87">
        <f>淘系!L49+抖音!L49+PDD!L49+得物!L49+京东自营财经口径!L49+京东POP财经口径!L49+'视频号+官网+小程序'!L49+快手!L49+唯品会!L49+'线下门店-直营'!L49+'线下门店-经销'!L49+线下渠道!L49+淘系达播!L49+抖音达播!L49</f>
        <v>130051.305</v>
      </c>
      <c r="M51" s="87">
        <f>淘系!M49+抖音!M49+PDD!M49+得物!M49+京东自营财经口径!M49+京东POP财经口径!M49+'视频号+官网+小程序'!M49+快手!M49+唯品会!M49+'线下门店-直营'!M49+'线下门店-经销'!M49+线下渠道!M49+淘系达播!M49+抖音达播!M49</f>
        <v>134868.02</v>
      </c>
      <c r="N51" s="87">
        <f>淘系!N49+抖音!N49+PDD!N49+得物!N49+京东自营财经口径!N49+京东POP财经口径!N49+'视频号+官网+小程序'!N49+快手!N49+唯品会!N49+'线下门店-直营'!N49+'线下门店-经销'!N49+线下渠道!N49+淘系达播!N49+抖音达播!N49</f>
        <v>139684.735</v>
      </c>
      <c r="O51" s="87">
        <f t="shared" si="23"/>
        <v>1566703.21767363</v>
      </c>
      <c r="P51" s="42">
        <f t="shared" si="24"/>
        <v>0.00387774513577612</v>
      </c>
      <c r="Q51" s="4" t="s">
        <v>95</v>
      </c>
      <c r="R51">
        <f>R38*S45+R45</f>
        <v>6254309.44328487</v>
      </c>
      <c r="T51" s="53">
        <f>O51-淘系!O49-淘系达播!O49-抖音!O49-抖音达播!O49-快手!O49-京东POP财经口径!O49-京东自营财经口径!O49-PDD!O49-得物!O49-'视频号+官网+小程序'!O49-唯品会!O49-'线下门店-直营'!O49-'线下门店-经销'!O49-线下渠道!O49</f>
        <v>0</v>
      </c>
    </row>
    <row r="52" ht="16.8" spans="1:22">
      <c r="A52" s="36"/>
      <c r="B52" s="87" t="s">
        <v>68</v>
      </c>
      <c r="C52" s="87">
        <f>淘系!C50+抖音!C50+PDD!C50+得物!C50+京东自营财经口径!C50+京东POP财经口径!C50+'视频号+官网+小程序'!C50+快手!C50+唯品会!C50+'线下门店-直营'!C50+'线下门店-经销'!C50+线下渠道!C50+淘系达播!C50+抖音达播!C50</f>
        <v>112000</v>
      </c>
      <c r="D52" s="87">
        <f>淘系!D50+抖音!D50+PDD!D50+得物!D50+京东自营财经口径!D50+京东POP财经口径!D50+'视频号+官网+小程序'!D50+快手!D50+唯品会!D50+'线下门店-直营'!D50+'线下门店-经销'!D50+线下渠道!D50+淘系达播!D50+抖音达播!D50</f>
        <v>120000</v>
      </c>
      <c r="E52" s="87">
        <f>淘系!E50+抖音!E50+PDD!E50+得物!E50+京东自营财经口径!E50+京东POP财经口径!E50+'视频号+官网+小程序'!E50+快手!E50+唯品会!E50+'线下门店-直营'!E50+'线下门店-经销'!E50+线下渠道!E50+淘系达播!E50+抖音达播!E50</f>
        <v>132000</v>
      </c>
      <c r="F52" s="87">
        <f>淘系!F50+抖音!F50+PDD!F50+得物!F50+京东自营财经口径!F50+京东POP财经口径!F50+'视频号+官网+小程序'!F50+快手!F50+唯品会!F50+'线下门店-直营'!F50+'线下门店-经销'!F50+线下渠道!F50+淘系达播!F50+抖音达播!F50</f>
        <v>145000</v>
      </c>
      <c r="G52" s="87">
        <f>淘系!G50+抖音!G50+PDD!G50+得物!G50+京东自营财经口径!G50+京东POP财经口径!G50+'视频号+官网+小程序'!G50+快手!G50+唯品会!G50+'线下门店-直营'!G50+'线下门店-经销'!G50+线下渠道!G50+淘系达播!G50+抖音达播!G50</f>
        <v>110000</v>
      </c>
      <c r="H52" s="87">
        <f>淘系!H50+抖音!H50+PDD!H50+得物!H50+京东自营财经口径!H50+京东POP财经口径!H50+'视频号+官网+小程序'!H50+快手!H50+唯品会!H50+'线下门店-直营'!H50+'线下门店-经销'!H50+线下渠道!H50+淘系达播!H50+抖音达播!H50</f>
        <v>135000</v>
      </c>
      <c r="I52" s="87">
        <f>淘系!I50+抖音!I50+PDD!I50+得物!I50+京东自营财经口径!I50+京东POP财经口径!I50+'视频号+官网+小程序'!I50+快手!I50+唯品会!I50+'线下门店-直营'!I50+'线下门店-经销'!I50+线下渠道!I50+淘系达播!I50+抖音达播!I50</f>
        <v>120000</v>
      </c>
      <c r="J52" s="87">
        <f>淘系!J50+抖音!J50+PDD!J50+得物!J50+京东自营财经口径!J50+京东POP财经口径!J50+'视频号+官网+小程序'!J50+快手!J50+唯品会!J50+'线下门店-直营'!J50+'线下门店-经销'!J50+线下渠道!J50+淘系达播!J50+抖音达播!J50</f>
        <v>110000</v>
      </c>
      <c r="K52" s="87">
        <f>淘系!K50+抖音!K50+PDD!K50+得物!K50+京东自营财经口径!K50+京东POP财经口径!K50+'视频号+官网+小程序'!K50+快手!K50+唯品会!K50+'线下门店-直营'!K50+'线下门店-经销'!K50+线下渠道!K50+淘系达播!K50+抖音达播!K50</f>
        <v>105000</v>
      </c>
      <c r="L52" s="87">
        <f>淘系!L50+抖音!L50+PDD!L50+得物!L50+京东自营财经口径!L50+京东POP财经口径!L50+'视频号+官网+小程序'!L50+快手!L50+唯品会!L50+'线下门店-直营'!L50+'线下门店-经销'!L50+线下渠道!L50+淘系达播!L50+抖音达播!L50</f>
        <v>135000</v>
      </c>
      <c r="M52" s="87">
        <f>淘系!M50+抖音!M50+PDD!M50+得物!M50+京东自营财经口径!M50+京东POP财经口径!M50+'视频号+官网+小程序'!M50+快手!M50+唯品会!M50+'线下门店-直营'!M50+'线下门店-经销'!M50+线下渠道!M50+淘系达播!M50+抖音达播!M50</f>
        <v>140000</v>
      </c>
      <c r="N52" s="87">
        <f>淘系!N50+抖音!N50+PDD!N50+得物!N50+京东自营财经口径!N50+京东POP财经口径!N50+'视频号+官网+小程序'!N50+快手!N50+唯品会!N50+'线下门店-直营'!N50+'线下门店-经销'!N50+线下渠道!N50+淘系达播!N50+抖音达播!N50</f>
        <v>145000</v>
      </c>
      <c r="O52" s="87">
        <f t="shared" si="23"/>
        <v>1509000</v>
      </c>
      <c r="P52" s="42">
        <f t="shared" si="24"/>
        <v>0.00373492397531101</v>
      </c>
      <c r="Q52" s="4" t="s">
        <v>95</v>
      </c>
      <c r="T52" s="53">
        <f>O52-淘系!O50-淘系达播!O50-抖音!O50-抖音达播!O50-快手!O50-京东POP财经口径!O50-京东自营财经口径!O50-PDD!O50-得物!O50-'视频号+官网+小程序'!O50-唯品会!O50-'线下门店-直营'!O50-'线下门店-经销'!O50-线下渠道!O50</f>
        <v>0</v>
      </c>
    </row>
    <row r="53" ht="16.8" spans="1:22">
      <c r="A53" s="6"/>
      <c r="B53" s="87" t="s">
        <v>69</v>
      </c>
      <c r="C53" s="87">
        <f>淘系!C51+抖音!C51+PDD!C51+得物!C51+京东自营财经口径!C51+京东POP财经口径!C51+'视频号+官网+小程序'!C51+快手!C51+唯品会!C51+'线下门店-直营'!C51+'线下门店-经销'!C51+线下渠道!C51+淘系达播!C51+抖音达播!C51</f>
        <v>119622.721080335</v>
      </c>
      <c r="D53" s="87">
        <f>淘系!D51+抖音!D51+PDD!D51+得物!D51+京东自营财经口径!D51+京东POP财经口径!D51+'视频号+官网+小程序'!D51+快手!D51+唯品会!D51+'线下门店-直营'!D51+'线下门店-经销'!D51+线下渠道!D51+淘系达播!D51+抖音达播!D51</f>
        <v>101514.258571429</v>
      </c>
      <c r="E53" s="87">
        <f>淘系!E51+抖音!E51+PDD!E51+得物!E51+京东自营财经口径!E51+京东POP财经口径!E51+'视频号+官网+小程序'!E51+快手!E51+唯品会!E51+'线下门店-直营'!E51+'线下门店-经销'!E51+线下渠道!E51+淘系达播!E51+抖音达播!E51</f>
        <v>117165.684428571</v>
      </c>
      <c r="F53" s="87">
        <f>淘系!F51+抖音!F51+PDD!F51+得物!F51+京东自营财经口径!F51+京东POP财经口径!F51+'视频号+官网+小程序'!F51+快手!F51+唯品会!F51+'线下门店-直营'!F51+'线下门店-经销'!F51+线下渠道!F51+淘系达播!F51+抖音达播!F51</f>
        <v>111111.402333333</v>
      </c>
      <c r="G53" s="87">
        <f>淘系!G51+抖音!G51+PDD!G51+得物!G51+京东自营财经口径!G51+京东POP财经口径!G51+'视频号+官网+小程序'!G51+快手!G51+唯品会!G51+'线下门店-直营'!G51+'线下门店-经销'!G51+线下渠道!G51+淘系达播!G51+抖音达播!G51</f>
        <v>92583.4653333333</v>
      </c>
      <c r="H53" s="87">
        <f>淘系!H51+抖音!H51+PDD!H51+得物!H51+京东自营财经口径!H51+京东POP财经口径!H51+'视频号+官网+小程序'!H51+快手!H51+唯品会!H51+'线下门店-直营'!H51+'线下门店-经销'!H51+线下渠道!H51+淘系达播!H51+抖音达播!H51</f>
        <v>127012.662</v>
      </c>
      <c r="I53" s="87">
        <f>淘系!I51+抖音!I51+PDD!I51+得物!I51+京东自营财经口径!I51+京东POP财经口径!I51+'视频号+官网+小程序'!I51+快手!I51+唯品会!I51+'线下门店-直营'!I51+'线下门店-经销'!I51+线下渠道!I51+淘系达播!I51+抖音达播!I51</f>
        <v>132900.144</v>
      </c>
      <c r="J53" s="87">
        <f>淘系!J51+抖音!J51+PDD!J51+得物!J51+京东自营财经口径!J51+京东POP财经口径!J51+'视频号+官网+小程序'!J51+快手!J51+唯品会!J51+'线下门店-直营'!J51+'线下门店-经销'!J51+线下渠道!J51+淘系达播!J51+抖音达播!J51</f>
        <v>124577.566666667</v>
      </c>
      <c r="K53" s="87">
        <f>淘系!K51+抖音!K51+PDD!K51+得物!K51+京东自营财经口径!K51+京东POP财经口径!K51+'视频号+官网+小程序'!K51+快手!K51+唯品会!K51+'线下门店-直营'!K51+'线下门店-经销'!K51+线下渠道!K51+淘系达播!K51+抖音达播!K51</f>
        <v>129414.95</v>
      </c>
      <c r="L53" s="87">
        <f>淘系!L51+抖音!L51+PDD!L51+得物!L51+京东自营财经口径!L51+京东POP财经口径!L51+'视频号+官网+小程序'!L51+快手!L51+唯品会!L51+'线下门店-直营'!L51+'线下门店-经销'!L51+线下渠道!L51+淘系达播!L51+抖音达播!L51</f>
        <v>193405.59</v>
      </c>
      <c r="M53" s="87">
        <f>淘系!M51+抖音!M51+PDD!M51+得物!M51+京东自营财经口径!M51+京东POP财经口径!M51+'视频号+官网+小程序'!M51+快手!M51+唯品会!M51+'线下门店-直营'!M51+'线下门店-经销'!M51+线下渠道!M51+淘系达播!M51+抖音达播!M51</f>
        <v>214568.76</v>
      </c>
      <c r="N53" s="87">
        <f>淘系!N51+抖音!N51+PDD!N51+得物!N51+京东自营财经口径!N51+京东POP财经口径!N51+'视频号+官网+小程序'!N51+快手!N51+唯品会!N51+'线下门店-直营'!N51+'线下门店-经销'!N51+线下渠道!N51+淘系达播!N51+抖音达播!N51</f>
        <v>245458.489166667</v>
      </c>
      <c r="O53" s="87">
        <f t="shared" si="23"/>
        <v>1709335.69358034</v>
      </c>
      <c r="P53" s="42">
        <f t="shared" si="24"/>
        <v>0.0042307745949689</v>
      </c>
      <c r="Q53" s="4" t="s">
        <v>95</v>
      </c>
      <c r="T53" s="53">
        <f>O53-淘系!O51-淘系达播!O51-抖音!O51-抖音达播!O51-快手!O51-京东POP财经口径!O51-京东自营财经口径!O51-PDD!O51-得物!O51-'视频号+官网+小程序'!O51-唯品会!O51-'线下门店-直营'!O51-'线下门店-经销'!O51-线下渠道!O51</f>
        <v>0</v>
      </c>
    </row>
    <row r="54" ht="16.8" spans="1:22">
      <c r="A54" s="6"/>
      <c r="B54" s="88" t="s">
        <v>70</v>
      </c>
      <c r="C54" s="88">
        <f t="shared" ref="C54:N54" si="25">SUM(C26,C37,C44,C49)</f>
        <v>7571337.24949872</v>
      </c>
      <c r="D54" s="88">
        <f t="shared" si="25"/>
        <v>9749121.09641897</v>
      </c>
      <c r="E54" s="88">
        <f t="shared" si="25"/>
        <v>9523102.80340748</v>
      </c>
      <c r="F54" s="88">
        <f t="shared" si="25"/>
        <v>7160913.17666042</v>
      </c>
      <c r="G54" s="88">
        <f t="shared" si="25"/>
        <v>20137112.1965326</v>
      </c>
      <c r="H54" s="88">
        <f t="shared" si="25"/>
        <v>15693144.2612826</v>
      </c>
      <c r="I54" s="88">
        <f t="shared" si="25"/>
        <v>7714531.18531449</v>
      </c>
      <c r="J54" s="88">
        <f t="shared" si="25"/>
        <v>12496733.2294811</v>
      </c>
      <c r="K54" s="88">
        <f t="shared" si="25"/>
        <v>8038243.39798641</v>
      </c>
      <c r="L54" s="88">
        <f t="shared" si="25"/>
        <v>18269991.8746447</v>
      </c>
      <c r="M54" s="88">
        <f t="shared" si="25"/>
        <v>13476238.7125192</v>
      </c>
      <c r="N54" s="88">
        <f t="shared" si="25"/>
        <v>10539676.4180236</v>
      </c>
      <c r="O54" s="88">
        <f t="shared" si="23"/>
        <v>140370145.60177</v>
      </c>
      <c r="P54" s="41">
        <f t="shared" si="24"/>
        <v>0.34742996834059</v>
      </c>
      <c r="Q54" s="6"/>
      <c r="T54" s="53">
        <f>O54-淘系!O52-淘系达播!O52-抖音!O52-抖音达播!O52-快手!O52-京东POP财经口径!O52-京东自营财经口径!O52-PDD!O52-得物!O52-'视频号+官网+小程序'!O52-唯品会!O52-'线下门店-直营'!O52-'线下门店-经销'!O52-线下渠道!O52</f>
        <v>-1.02445483207703e-8</v>
      </c>
    </row>
    <row r="55" ht="16.8" spans="1:22">
      <c r="A55" s="36"/>
      <c r="B55" s="87" t="s">
        <v>71</v>
      </c>
      <c r="C55" s="87">
        <f>淘系!C53+抖音!C53+PDD!C53+得物!C53+京东自营财经口径!C53+京东POP财经口径!C53+'视频号+官网+小程序'!C53+快手!C53+唯品会!C53+'线下门店-直营'!C53+'线下门店-经销'!C53+线下渠道!C53+淘系达播!C53+抖音达播!C53</f>
        <v>545556.883595722</v>
      </c>
      <c r="D55" s="87">
        <f>淘系!D53+抖音!D53+PDD!D53+得物!D53+京东自营财经口径!D53+京东POP财经口径!D53+'视频号+官网+小程序'!D53+快手!D53+唯品会!D53+'线下门店-直营'!D53+'线下门店-经销'!D53+线下渠道!D53+淘系达播!D53+抖音达播!D53</f>
        <v>530099.860723887</v>
      </c>
      <c r="E55" s="87">
        <f>淘系!E53+抖音!E53+PDD!E53+得物!E53+京东自营财经口径!E53+京东POP财经口径!E53+'视频号+官网+小程序'!E53+快手!E53+唯品会!E53+'线下门店-直营'!E53+'线下门店-经销'!E53+线下渠道!E53+淘系达播!E53+抖音达播!E53</f>
        <v>459150.755133381</v>
      </c>
      <c r="F55" s="87">
        <f>淘系!F53+抖音!F53+PDD!F53+得物!F53+京东自营财经口径!F53+京东POP财经口径!F53+'视频号+官网+小程序'!F53+快手!F53+唯品会!F53+'线下门店-直营'!F53+'线下门店-经销'!F53+线下渠道!F53+淘系达播!F53+抖音达播!F53</f>
        <v>386682.703462475</v>
      </c>
      <c r="G55" s="87">
        <f>淘系!G53+抖音!G53+PDD!G53+得物!G53+京东自营财经口径!G53+京东POP财经口径!G53+'视频号+官网+小程序'!G53+快手!G53+唯品会!G53+'线下门店-直营'!G53+'线下门店-经销'!G53+线下渠道!G53+淘系达播!G53+抖音达播!G53</f>
        <v>881670.406427612</v>
      </c>
      <c r="H55" s="87">
        <f>淘系!H53+抖音!H53+PDD!H53+得物!H53+京东自营财经口径!H53+京东POP财经口径!H53+'视频号+官网+小程序'!H53+快手!H53+唯品会!H53+'线下门店-直营'!H53+'线下门店-经销'!H53+线下渠道!H53+淘系达播!H53+抖音达播!H53</f>
        <v>775856.216323882</v>
      </c>
      <c r="I55" s="87">
        <f>淘系!I53+抖音!I53+PDD!I53+得物!I53+京东自营财经口径!I53+京东POP财经口径!I53+'视频号+官网+小程序'!I53+快手!I53+唯品会!I53+'线下门店-直营'!I53+'线下门店-经销'!I53+线下渠道!I53+淘系达播!I53+抖音达播!I53</f>
        <v>507479.604761614</v>
      </c>
      <c r="J55" s="87">
        <f>淘系!J53+抖音!J53+PDD!J53+得物!J53+京东自营财经口径!J53+京东POP财经口径!J53+'视频号+官网+小程序'!J53+快手!J53+唯品会!J53+'线下门店-直营'!J53+'线下门店-经销'!J53+线下渠道!J53+淘系达播!J53+抖音达播!J53</f>
        <v>754147.405577996</v>
      </c>
      <c r="K55" s="87">
        <f>淘系!K53+抖音!K53+PDD!K53+得物!K53+京东自营财经口径!K53+京东POP财经口径!K53+'视频号+官网+小程序'!K53+快手!K53+唯品会!K53+'线下门店-直营'!K53+'线下门店-经销'!K53+线下渠道!K53+淘系达播!K53+抖音达播!K53</f>
        <v>523741.738888572</v>
      </c>
      <c r="L55" s="87">
        <f>淘系!L53+抖音!L53+PDD!L53+得物!L53+京东自营财经口径!L53+京东POP财经口径!L53+'视频号+官网+小程序'!L53+快手!L53+唯品会!L53+'线下门店-直营'!L53+'线下门店-经销'!L53+线下渠道!L53+淘系达播!L53+抖音达播!L53</f>
        <v>1006384.89301648</v>
      </c>
      <c r="M55" s="87">
        <f>淘系!M53+抖音!M53+PDD!M53+得物!M53+京东自营财经口径!M53+京东POP财经口径!M53+'视频号+官网+小程序'!M53+快手!M53+唯品会!M53+'线下门店-直营'!M53+'线下门店-经销'!M53+线下渠道!M53+淘系达播!M53+抖音达播!M53</f>
        <v>835439.317305766</v>
      </c>
      <c r="N55" s="87">
        <f>淘系!N53+抖音!N53+PDD!N53+得物!N53+京东自营财经口径!N53+京东POP财经口径!N53+'视频号+官网+小程序'!N53+快手!N53+唯品会!N53+'线下门店-直营'!N53+'线下门店-经销'!N53+线下渠道!N53+淘系达播!N53+抖音达播!N53</f>
        <v>670023.883873157</v>
      </c>
      <c r="O55" s="87">
        <f t="shared" si="23"/>
        <v>7876233.66909055</v>
      </c>
      <c r="P55" s="42">
        <f t="shared" si="24"/>
        <v>0.0194944559084414</v>
      </c>
      <c r="Q55" s="6"/>
      <c r="T55" s="53">
        <f>O55-淘系!O53-淘系达播!O53-抖音!O53-抖音达播!O53-快手!O53-京东POP财经口径!O53-京东自营财经口径!O53-PDD!O53-得物!O53-'视频号+官网+小程序'!O53-唯品会!O53-'线下门店-直营'!O53-'线下门店-经销'!O53-线下渠道!O53</f>
        <v>-1.13504938781261e-9</v>
      </c>
    </row>
    <row r="56" ht="16.8" spans="1:22">
      <c r="A56" s="36"/>
      <c r="B56" s="87" t="s">
        <v>73</v>
      </c>
      <c r="C56" s="87">
        <f>淘系!C54+抖音!C54+PDD!C54+得物!C54+京东自营财经口径!C54+京东POP财经口径!C54+'视频号+官网+小程序'!C54+快手!C54+唯品会!C54+'线下门店-直营'!C54+'线下门店-经销'!C54+线下渠道!C54+淘系达播!C54+抖音达播!C54</f>
        <v>361150.604167027</v>
      </c>
      <c r="D56" s="87">
        <f>淘系!D54+抖音!D54+PDD!D54+得物!D54+京东自营财经口径!D54+京东POP财经口径!D54+'视频号+官网+小程序'!D54+快手!D54+唯品会!D54+'线下门店-直营'!D54+'线下门店-经销'!D54+线下渠道!D54+淘系达播!D54+抖音达播!D54</f>
        <v>365217.223106674</v>
      </c>
      <c r="E56" s="87">
        <f>淘系!E54+抖音!E54+PDD!E54+得物!E54+京东自营财经口径!E54+京东POP财经口径!E54+'视频号+官网+小程序'!E54+快手!E54+唯品会!E54+'线下门店-直营'!E54+'线下门店-经销'!E54+线下渠道!E54+淘系达播!E54+抖音达播!E54</f>
        <v>305035.606701191</v>
      </c>
      <c r="F56" s="87">
        <f>淘系!F54+抖音!F54+PDD!F54+得物!F54+京东自营财经口径!F54+京东POP财经口径!F54+'视频号+官网+小程序'!F54+快手!F54+唯品会!F54+'线下门店-直营'!F54+'线下门店-经销'!F54+线下渠道!F54+淘系达播!F54+抖音达播!F54</f>
        <v>260450.248731551</v>
      </c>
      <c r="G56" s="87">
        <f>淘系!G54+抖音!G54+PDD!G54+得物!G54+京东自营财经口径!G54+京东POP财经口径!G54+'视频号+官网+小程序'!G54+快手!G54+唯品会!G54+'线下门店-直营'!G54+'线下门店-经销'!G54+线下渠道!G54+淘系达播!G54+抖音达播!G54</f>
        <v>464064.907345889</v>
      </c>
      <c r="H56" s="87">
        <f>淘系!H54+抖音!H54+PDD!H54+得物!H54+京东自营财经口径!H54+京东POP财经口径!H54+'视频号+官网+小程序'!H54+快手!H54+唯品会!H54+'线下门店-直营'!H54+'线下门店-经销'!H54+线下渠道!H54+淘系达播!H54+抖音达播!H54</f>
        <v>412716.558019607</v>
      </c>
      <c r="I56" s="87">
        <f>淘系!I54+抖音!I54+PDD!I54+得物!I54+京东自营财经口径!I54+京东POP财经口径!I54+'视频号+官网+小程序'!I54+快手!I54+唯品会!I54+'线下门店-直营'!I54+'线下门店-经销'!I54+线下渠道!I54+淘系达播!I54+抖音达播!I54</f>
        <v>339608.742660318</v>
      </c>
      <c r="J56" s="87">
        <f>淘系!J54+抖音!J54+PDD!J54+得物!J54+京东自营财经口径!J54+京东POP财经口径!J54+'视频号+官网+小程序'!J54+快手!J54+唯品会!J54+'线下门店-直营'!J54+'线下门店-经销'!J54+线下渠道!J54+淘系达播!J54+抖音达播!J54</f>
        <v>483451.935125777</v>
      </c>
      <c r="K56" s="87">
        <f>淘系!K54+抖音!K54+PDD!K54+得物!K54+京东自营财经口径!K54+京东POP财经口径!K54+'视频号+官网+小程序'!K54+快手!K54+唯品会!K54+'线下门店-直营'!K54+'线下门店-经销'!K54+线下渠道!K54+淘系达播!K54+抖音达播!K54</f>
        <v>345370.345221676</v>
      </c>
      <c r="L56" s="87">
        <f>淘系!L54+抖音!L54+PDD!L54+得物!L54+京东自营财经口径!L54+京东POP财经口径!L54+'视频号+官网+小程序'!L54+快手!L54+唯品会!L54+'线下门店-直营'!L54+'线下门店-经销'!L54+线下渠道!L54+淘系达播!L54+抖音达播!L54</f>
        <v>522135.488521389</v>
      </c>
      <c r="M56" s="87">
        <f>淘系!M54+抖音!M54+PDD!M54+得物!M54+京东自营财经口径!M54+京东POP财经口径!M54+'视频号+官网+小程序'!M54+快手!M54+唯品会!M54+'线下门店-直营'!M54+'线下门店-经销'!M54+线下渠道!M54+淘系达播!M54+抖音达播!M54</f>
        <v>468604.863672283</v>
      </c>
      <c r="N56" s="87">
        <f>淘系!N54+抖音!N54+PDD!N54+得物!N54+京东自营财经口径!N54+京东POP财经口径!N54+'视频号+官网+小程序'!N54+快手!N54+唯品会!N54+'线下门店-直营'!N54+'线下门店-经销'!N54+线下渠道!N54+淘系达播!N54+抖音达播!N54</f>
        <v>456461.731459567</v>
      </c>
      <c r="O56" s="87">
        <f t="shared" si="23"/>
        <v>4784268.25473295</v>
      </c>
      <c r="P56" s="42">
        <f t="shared" si="24"/>
        <v>0.0118415362550838</v>
      </c>
      <c r="Q56" s="6"/>
      <c r="T56" s="53">
        <f>O56-淘系!O54-淘系达播!O54-抖音!O54-抖音达播!O54-快手!O54-京东POP财经口径!O54-京东自营财经口径!O54-PDD!O54-得物!O54-'视频号+官网+小程序'!O54-唯品会!O54-'线下门店-直营'!O54-'线下门店-经销'!O54-线下渠道!O54</f>
        <v>3.74711817130446e-10</v>
      </c>
    </row>
    <row r="57" ht="16.8" spans="1:22">
      <c r="A57" s="36"/>
      <c r="B57" s="87" t="s">
        <v>75</v>
      </c>
      <c r="C57" s="87">
        <f>淘系!C55+抖音!C55+PDD!C55+得物!C55+京东自营财经口径!C55+京东POP财经口径!C55+'视频号+官网+小程序'!C55+快手!C55+唯品会!C55+'线下门店-直营'!C55+'线下门店-经销'!C55+线下渠道!C55+淘系达播!C55+抖音达播!C55</f>
        <v>2113042</v>
      </c>
      <c r="D57" s="87">
        <f>淘系!D55+抖音!D55+PDD!D55+得物!D55+京东自营财经口径!D55+京东POP财经口径!D55+'视频号+官网+小程序'!D55+快手!D55+唯品会!D55+'线下门店-直营'!D55+'线下门店-经销'!D55+线下渠道!D55+淘系达播!D55+抖音达播!D55</f>
        <v>1381742</v>
      </c>
      <c r="E57" s="87">
        <f>淘系!E55+抖音!E55+PDD!E55+得物!E55+京东自营财经口径!E55+京东POP财经口径!E55+'视频号+官网+小程序'!E55+快手!E55+唯品会!E55+'线下门店-直营'!E55+'线下门店-经销'!E55+线下渠道!E55+淘系达播!E55+抖音达播!E55</f>
        <v>1077748</v>
      </c>
      <c r="F57" s="87">
        <f>淘系!F55+抖音!F55+PDD!F55+得物!F55+京东自营财经口径!F55+京东POP财经口径!F55+'视频号+官网+小程序'!F55+快手!F55+唯品会!F55+'线下门店-直营'!F55+'线下门店-经销'!F55+线下渠道!F55+淘系达播!F55+抖音达播!F55</f>
        <v>1658593</v>
      </c>
      <c r="G57" s="87">
        <f>淘系!G55+抖音!G55+PDD!G55+得物!G55+京东自营财经口径!G55+京东POP财经口径!G55+'视频号+官网+小程序'!G55+快手!G55+唯品会!G55+'线下门店-直营'!G55+'线下门店-经销'!G55+线下渠道!G55+淘系达播!G55+抖音达播!G55</f>
        <v>1424395</v>
      </c>
      <c r="H57" s="87">
        <f>淘系!H55+抖音!H55+PDD!H55+得物!H55+京东自营财经口径!H55+京东POP财经口径!H55+'视频号+官网+小程序'!H55+快手!H55+唯品会!H55+'线下门店-直营'!H55+'线下门店-经销'!H55+线下渠道!H55+淘系达播!H55+抖音达播!H55</f>
        <v>997887</v>
      </c>
      <c r="I57" s="87">
        <f>淘系!I55+抖音!I55+PDD!I55+得物!I55+京东自营财经口径!I55+京东POP财经口径!I55+'视频号+官网+小程序'!I55+快手!I55+唯品会!I55+'线下门店-直营'!I55+'线下门店-经销'!I55+线下渠道!I55+淘系达播!I55+抖音达播!I55</f>
        <v>1390333</v>
      </c>
      <c r="J57" s="87">
        <f>淘系!J55+抖音!J55+PDD!J55+得物!J55+京东自营财经口径!J55+京东POP财经口径!J55+'视频号+官网+小程序'!J55+快手!J55+唯品会!J55+'线下门店-直营'!J55+'线下门店-经销'!J55+线下渠道!J55+淘系达播!J55+抖音达播!J55</f>
        <v>1075635</v>
      </c>
      <c r="K57" s="87">
        <f>淘系!K55+抖音!K55+PDD!K55+得物!K55+京东自营财经口径!K55+京东POP财经口径!K55+'视频号+官网+小程序'!K55+快手!K55+唯品会!K55+'线下门店-直营'!K55+'线下门店-经销'!K55+线下渠道!K55+淘系达播!K55+抖音达播!K55</f>
        <v>1482157</v>
      </c>
      <c r="L57" s="87">
        <f>淘系!L55+抖音!L55+PDD!L55+得物!L55+京东自营财经口径!L55+京东POP财经口径!L55+'视频号+官网+小程序'!L55+快手!L55+唯品会!L55+'线下门店-直营'!L55+'线下门店-经销'!L55+线下渠道!L55+淘系达播!L55+抖音达播!L55</f>
        <v>1169906</v>
      </c>
      <c r="M57" s="87">
        <f>淘系!M55+抖音!M55+PDD!M55+得物!M55+京东自营财经口径!M55+京东POP财经口径!M55+'视频号+官网+小程序'!M55+快手!M55+唯品会!M55+'线下门店-直营'!M55+'线下门店-经销'!M55+线下渠道!M55+淘系达播!M55+抖音达播!M55</f>
        <v>1024701</v>
      </c>
      <c r="N57" s="87">
        <f>淘系!N55+抖音!N55+PDD!N55+得物!N55+京东自营财经口径!N55+京东POP财经口径!N55+'视频号+官网+小程序'!N55+快手!N55+唯品会!N55+'线下门店-直营'!N55+'线下门店-经销'!N55+线下渠道!N55+淘系达播!N55+抖音达播!N55</f>
        <v>999777</v>
      </c>
      <c r="O57" s="87">
        <f t="shared" si="23"/>
        <v>15795916</v>
      </c>
      <c r="P57" s="42">
        <f t="shared" si="24"/>
        <v>0.0390964515443332</v>
      </c>
      <c r="Q57" s="6"/>
      <c r="T57" s="53">
        <f>O57-淘系!O55-淘系达播!O55-抖音!O55-抖音达播!O55-快手!O55-京东POP财经口径!O55-京东自营财经口径!O55-PDD!O55-得物!O55-'视频号+官网+小程序'!O55-唯品会!O55-'线下门店-直营'!O55-'线下门店-经销'!O55-线下渠道!O55</f>
        <v>1066677.05564126</v>
      </c>
    </row>
    <row r="58" ht="16.8" spans="1:22">
      <c r="A58" s="36"/>
      <c r="B58" s="87" t="s">
        <v>77</v>
      </c>
      <c r="C58" s="87">
        <f>淘系!C56+抖音!C56+PDD!C56+得物!C56+京东自营财经口径!C56+京东POP财经口径!C56+'视频号+官网+小程序'!C56+快手!C56+唯品会!C56+'线下门店-直营'!C56+'线下门店-经销'!C56+线下渠道!C56+淘系达播!C56+抖音达播!C56</f>
        <v>46067.115758025</v>
      </c>
      <c r="D58" s="87">
        <f>淘系!D56+抖音!D56+PDD!D56+得物!D56+京东自营财经口径!D56+京东POP财经口径!D56+'视频号+官网+小程序'!D56+快手!D56+唯品会!D56+'线下门店-直营'!D56+'线下门店-经销'!D56+线下渠道!D56+淘系达播!D56+抖音达播!D56</f>
        <v>49007.40507837</v>
      </c>
      <c r="E58" s="87">
        <f>淘系!E56+抖音!E56+PDD!E56+得物!E56+京东自营财经口径!E56+京东POP财经口径!E56+'视频号+官网+小程序'!E56+快手!E56+唯品会!E56+'线下门店-直营'!E56+'线下门店-经销'!E56+线下渠道!E56+淘系达播!E56+抖音达播!E56</f>
        <v>36750.7941300413</v>
      </c>
      <c r="F58" s="87">
        <f>淘系!F56+抖音!F56+PDD!F56+得物!F56+京东自营财经口径!F56+京东POP财经口径!F56+'视频号+官网+小程序'!F56+快手!F56+唯品会!F56+'线下门店-直营'!F56+'线下门店-经销'!F56+线下渠道!F56+淘系达播!F56+抖音达播!F56</f>
        <v>31207.4457662588</v>
      </c>
      <c r="G58" s="87">
        <f>淘系!G56+抖音!G56+PDD!G56+得物!G56+京东自营财经口径!G56+京东POP财经口径!G56+'视频号+官网+小程序'!G56+快手!G56+唯品会!G56+'线下门店-直营'!G56+'线下门店-经销'!G56+线下渠道!G56+淘系达播!G56+抖音达播!G56</f>
        <v>67320.8370693899</v>
      </c>
      <c r="H58" s="87">
        <f>淘系!H56+抖音!H56+PDD!H56+得物!H56+京东自营财经口径!H56+京东POP财经口径!H56+'视频号+官网+小程序'!H56+快手!H56+唯品会!H56+'线下门店-直营'!H56+'线下门店-经销'!H56+线下渠道!H56+淘系达播!H56+抖音达播!H56</f>
        <v>59261.0261833969</v>
      </c>
      <c r="I58" s="87">
        <f>淘系!I56+抖音!I56+PDD!I56+得物!I56+京东自营财经口径!I56+京东POP财经口径!I56+'视频号+官网+小程序'!I56+快手!I56+唯品会!I56+'线下门店-直营'!I56+'线下门店-经销'!I56+线下渠道!I56+淘系达播!I56+抖音达播!I56</f>
        <v>39012.5068722135</v>
      </c>
      <c r="J58" s="87">
        <f>淘系!J56+抖音!J56+PDD!J56+得物!J56+京东自营财经口径!J56+京东POP财经口径!J56+'视频号+官网+小程序'!J56+快手!J56+唯品会!J56+'线下门店-直营'!J56+'线下门店-经销'!J56+线下渠道!J56+淘系达播!J56+抖音达播!J56</f>
        <v>57007.7861784088</v>
      </c>
      <c r="K58" s="87">
        <f>淘系!K56+抖音!K56+PDD!K56+得物!K56+京东自营财经口径!K56+京东POP财经口径!K56+'视频号+官网+小程序'!K56+快手!K56+唯品会!K56+'线下门店-直营'!K56+'线下门店-经销'!K56+线下渠道!K56+淘系达播!K56+抖音达播!K56</f>
        <v>39423.5650956228</v>
      </c>
      <c r="L58" s="87">
        <f>淘系!L56+抖音!L56+PDD!L56+得物!L56+京东自营财经口径!L56+京东POP财经口径!L56+'视频号+官网+小程序'!L56+快手!L56+唯品会!L56+'线下门店-直营'!L56+'线下门店-经销'!L56+线下渠道!L56+淘系达播!L56+抖音达播!L56</f>
        <v>70819.6466223808</v>
      </c>
      <c r="M58" s="87">
        <f>淘系!M56+抖音!M56+PDD!M56+得物!M56+京东自营财经口径!M56+京东POP财经口径!M56+'视频号+官网+小程序'!M56+快手!M56+唯品会!M56+'线下门店-直营'!M56+'线下门店-经销'!M56+线下渠道!M56+淘系达播!M56+抖音达播!M56</f>
        <v>63623.8355598078</v>
      </c>
      <c r="N58" s="87">
        <f>淘系!N56+抖音!N56+PDD!N56+得物!N56+京东自营财经口径!N56+京东POP财经口径!N56+'视频号+官网+小程序'!N56+快手!N56+唯品会!N56+'线下门店-直营'!N56+'线下门店-经销'!N56+线下渠道!N56+淘系达播!N56+抖音达播!N56</f>
        <v>55104.6430494098</v>
      </c>
      <c r="O58" s="87">
        <f t="shared" si="23"/>
        <v>614606.607363325</v>
      </c>
      <c r="P58" s="42">
        <f t="shared" si="24"/>
        <v>0.00152121202997074</v>
      </c>
      <c r="Q58" s="6"/>
      <c r="T58" s="53">
        <f>O58-淘系!O56-淘系达播!O56-抖音!O56-抖音达播!O56-快手!O56-京东POP财经口径!O56-京东自营财经口径!O56-PDD!O56-得物!O56-'视频号+官网+小程序'!O56-唯品会!O56-'线下门店-直营'!O56-'线下门店-经销'!O56-线下渠道!O56</f>
        <v>6.93489710101858e-11</v>
      </c>
    </row>
    <row r="59" ht="16.8" spans="1:22">
      <c r="A59" s="36"/>
      <c r="B59" s="87" t="s">
        <v>79</v>
      </c>
      <c r="C59" s="87">
        <f>淘系!C57+抖音!C57+PDD!C57+得物!C57+京东自营财经口径!C57+京东POP财经口径!C57+'视频号+官网+小程序'!C57+快手!C57+唯品会!C57+'线下门店-直营'!C57+'线下门店-经销'!C57+线下渠道!C57+淘系达播!C57+抖音达播!C57</f>
        <v>250000</v>
      </c>
      <c r="D59" s="87">
        <f>淘系!D57+抖音!D57+PDD!D57+得物!D57+京东自营财经口径!D57+京东POP财经口径!D57+'视频号+官网+小程序'!D57+快手!D57+唯品会!D57+'线下门店-直营'!D57+'线下门店-经销'!D57+线下渠道!D57+淘系达播!D57+抖音达播!D57</f>
        <v>0</v>
      </c>
      <c r="E59" s="87">
        <f>淘系!E57+抖音!E57+PDD!E57+得物!E57+京东自营财经口径!E57+京东POP财经口径!E57+'视频号+官网+小程序'!E57+快手!E57+唯品会!E57+'线下门店-直营'!E57+'线下门店-经销'!E57+线下渠道!E57+淘系达播!E57+抖音达播!E57</f>
        <v>0</v>
      </c>
      <c r="F59" s="87">
        <f>淘系!F57+抖音!F57+PDD!F57+得物!F57+京东自营财经口径!F57+京东POP财经口径!F57+'视频号+官网+小程序'!F57+快手!F57+唯品会!F57+'线下门店-直营'!F57+'线下门店-经销'!F57+线下渠道!F57+淘系达播!F57+抖音达播!F57</f>
        <v>0</v>
      </c>
      <c r="G59" s="87">
        <f>淘系!G57+抖音!G57+PDD!G57+得物!G57+京东自营财经口径!G57+京东POP财经口径!G57+'视频号+官网+小程序'!G57+快手!G57+唯品会!G57+'线下门店-直营'!G57+'线下门店-经销'!G57+线下渠道!G57+淘系达播!G57+抖音达播!G57</f>
        <v>100000</v>
      </c>
      <c r="H59" s="87">
        <f>淘系!H57+抖音!H57+PDD!H57+得物!H57+京东自营财经口径!H57+京东POP财经口径!H57+'视频号+官网+小程序'!H57+快手!H57+唯品会!H57+'线下门店-直营'!H57+'线下门店-经销'!H57+线下渠道!H57+淘系达播!H57+抖音达播!H57</f>
        <v>0</v>
      </c>
      <c r="I59" s="87">
        <f>淘系!I57+抖音!I57+PDD!I57+得物!I57+京东自营财经口径!I57+京东POP财经口径!I57+'视频号+官网+小程序'!I57+快手!I57+唯品会!I57+'线下门店-直营'!I57+'线下门店-经销'!I57+线下渠道!I57+淘系达播!I57+抖音达播!I57</f>
        <v>0</v>
      </c>
      <c r="J59" s="87">
        <f>淘系!J57+抖音!J57+PDD!J57+得物!J57+京东自营财经口径!J57+京东POP财经口径!J57+'视频号+官网+小程序'!J57+快手!J57+唯品会!J57+'线下门店-直营'!J57+'线下门店-经销'!J57+线下渠道!J57+淘系达播!J57+抖音达播!J57</f>
        <v>0</v>
      </c>
      <c r="K59" s="87">
        <f>淘系!K57+抖音!K57+PDD!K57+得物!K57+京东自营财经口径!K57+京东POP财经口径!K57+'视频号+官网+小程序'!K57+快手!K57+唯品会!K57+'线下门店-直营'!K57+'线下门店-经销'!K57+线下渠道!K57+淘系达播!K57+抖音达播!K57</f>
        <v>0</v>
      </c>
      <c r="L59" s="87">
        <f>淘系!L57+抖音!L57+PDD!L57+得物!L57+京东自营财经口径!L57+京东POP财经口径!L57+'视频号+官网+小程序'!L57+快手!L57+唯品会!L57+'线下门店-直营'!L57+'线下门店-经销'!L57+线下渠道!L57+淘系达播!L57+抖音达播!L57</f>
        <v>100000</v>
      </c>
      <c r="M59" s="87">
        <f>淘系!M57+抖音!M57+PDD!M57+得物!M57+京东自营财经口径!M57+京东POP财经口径!M57+'视频号+官网+小程序'!M57+快手!M57+唯品会!M57+'线下门店-直营'!M57+'线下门店-经销'!M57+线下渠道!M57+淘系达播!M57+抖音达播!M57</f>
        <v>0</v>
      </c>
      <c r="N59" s="87">
        <f>淘系!N57+抖音!N57+PDD!N57+得物!N57+京东自营财经口径!N57+京东POP财经口径!N57+'视频号+官网+小程序'!N57+快手!N57+唯品会!N57+'线下门店-直营'!N57+'线下门店-经销'!N57+线下渠道!N57+淘系达播!N57+抖音达播!N57</f>
        <v>300000</v>
      </c>
      <c r="O59" s="87">
        <f t="shared" si="23"/>
        <v>750000</v>
      </c>
      <c r="P59" s="42">
        <f t="shared" si="24"/>
        <v>0.00185632404339514</v>
      </c>
      <c r="Q59" s="71" t="s">
        <v>96</v>
      </c>
      <c r="T59" s="53">
        <f>O59-淘系!O57-淘系达播!O57-抖音!O57-抖音达播!O57-快手!O57-京东POP财经口径!O57-京东自营财经口径!O57-PDD!O57-得物!O57-'视频号+官网+小程序'!O57-唯品会!O57-'线下门店-直营'!O57-'线下门店-经销'!O57-线下渠道!O57</f>
        <v>0</v>
      </c>
    </row>
    <row r="60" ht="16.8" spans="1:22">
      <c r="A60" s="6"/>
      <c r="B60" s="88" t="s">
        <v>80</v>
      </c>
      <c r="C60" s="88">
        <f t="shared" ref="C60:N60" si="26">SUM(C55:C59)</f>
        <v>3315816.60352078</v>
      </c>
      <c r="D60" s="88">
        <f t="shared" si="26"/>
        <v>2326066.48890893</v>
      </c>
      <c r="E60" s="88">
        <f t="shared" si="26"/>
        <v>1878685.15596461</v>
      </c>
      <c r="F60" s="88">
        <f t="shared" si="26"/>
        <v>2336933.39796028</v>
      </c>
      <c r="G60" s="88">
        <f t="shared" si="26"/>
        <v>2937451.15084289</v>
      </c>
      <c r="H60" s="88">
        <f t="shared" si="26"/>
        <v>2245720.80052689</v>
      </c>
      <c r="I60" s="88">
        <f t="shared" si="26"/>
        <v>2276433.85429415</v>
      </c>
      <c r="J60" s="88">
        <f t="shared" si="26"/>
        <v>2370242.12688218</v>
      </c>
      <c r="K60" s="88">
        <f t="shared" si="26"/>
        <v>2390692.64920587</v>
      </c>
      <c r="L60" s="88">
        <f t="shared" si="26"/>
        <v>2869246.02816025</v>
      </c>
      <c r="M60" s="88">
        <f t="shared" si="26"/>
        <v>2392369.01653786</v>
      </c>
      <c r="N60" s="88">
        <f t="shared" si="26"/>
        <v>2481367.25838213</v>
      </c>
      <c r="O60" s="88">
        <f t="shared" si="23"/>
        <v>29821024.5311868</v>
      </c>
      <c r="P60" s="41">
        <f t="shared" si="24"/>
        <v>0.0738099797812243</v>
      </c>
      <c r="Q60" s="6"/>
      <c r="T60" s="53">
        <f>O60-淘系!O58-淘系达播!O58-抖音!O58-抖音达播!O58-快手!O58-京东POP财经口径!O58-京东自营财经口径!O58-PDD!O58-得物!O58-'视频号+官网+小程序'!O58-唯品会!O58-'线下门店-直营'!O58-'线下门店-经销'!O58-线下渠道!O58</f>
        <v>-4.65661287307739e-9</v>
      </c>
    </row>
    <row r="61" ht="16.8" spans="1:22">
      <c r="A61" s="32"/>
      <c r="B61" s="89" t="s">
        <v>81</v>
      </c>
      <c r="C61" s="89">
        <f t="shared" ref="C61:N61" si="27">SUM(C54,C60)</f>
        <v>10887153.8530195</v>
      </c>
      <c r="D61" s="89">
        <f t="shared" si="27"/>
        <v>12075187.5853279</v>
      </c>
      <c r="E61" s="89">
        <f t="shared" si="27"/>
        <v>11401787.9593721</v>
      </c>
      <c r="F61" s="89">
        <f t="shared" si="27"/>
        <v>9497846.5746207</v>
      </c>
      <c r="G61" s="89">
        <f t="shared" si="27"/>
        <v>23074563.3473755</v>
      </c>
      <c r="H61" s="89">
        <f t="shared" si="27"/>
        <v>17938865.0618095</v>
      </c>
      <c r="I61" s="89">
        <f t="shared" si="27"/>
        <v>9990965.03960864</v>
      </c>
      <c r="J61" s="89">
        <f t="shared" si="27"/>
        <v>14866975.3563633</v>
      </c>
      <c r="K61" s="89">
        <f t="shared" si="27"/>
        <v>10428936.0471923</v>
      </c>
      <c r="L61" s="89">
        <f t="shared" si="27"/>
        <v>21139237.902805</v>
      </c>
      <c r="M61" s="89">
        <f t="shared" si="27"/>
        <v>15868607.729057</v>
      </c>
      <c r="N61" s="89">
        <f t="shared" si="27"/>
        <v>13021043.6764058</v>
      </c>
      <c r="O61" s="89">
        <f t="shared" si="23"/>
        <v>170191170.132957</v>
      </c>
      <c r="P61" s="43">
        <f t="shared" si="24"/>
        <v>0.421239948121814</v>
      </c>
      <c r="Q61" s="32"/>
      <c r="R61" s="33"/>
      <c r="S61" s="33"/>
      <c r="T61" s="53">
        <f>O61-淘系!O59-淘系达播!O59-抖音!O59-抖音达播!O59-快手!O59-京东POP财经口径!O59-京东自营财经口径!O59-PDD!O59-得物!O59-'视频号+官网+小程序'!O59-唯品会!O59-'线下门店-直营'!O59-'线下门店-经销'!O59-线下渠道!O59</f>
        <v>0</v>
      </c>
      <c r="U61" s="33"/>
      <c r="V61" s="33"/>
    </row>
    <row r="62" ht="16.8" spans="1:22">
      <c r="A62" s="32"/>
      <c r="B62" s="89" t="s">
        <v>82</v>
      </c>
      <c r="C62" s="89">
        <f t="shared" ref="C62:N62" si="28">C22-C61</f>
        <v>2518214.83173195</v>
      </c>
      <c r="D62" s="89">
        <f t="shared" si="28"/>
        <v>1423837.32905999</v>
      </c>
      <c r="E62" s="89">
        <f t="shared" si="28"/>
        <v>-364449.222244209</v>
      </c>
      <c r="F62" s="89">
        <f t="shared" si="28"/>
        <v>87988.6857779063</v>
      </c>
      <c r="G62" s="89">
        <f t="shared" si="28"/>
        <v>-982261.364061132</v>
      </c>
      <c r="H62" s="89">
        <f t="shared" si="28"/>
        <v>1979342.43654657</v>
      </c>
      <c r="I62" s="89">
        <f t="shared" si="28"/>
        <v>4780281.23365675</v>
      </c>
      <c r="J62" s="89">
        <f t="shared" si="28"/>
        <v>5737516.57421019</v>
      </c>
      <c r="K62" s="89">
        <f t="shared" si="28"/>
        <v>4866512.60141215</v>
      </c>
      <c r="L62" s="89">
        <f t="shared" si="28"/>
        <v>6111013.21357709</v>
      </c>
      <c r="M62" s="89">
        <f t="shared" si="28"/>
        <v>10111147.9997144</v>
      </c>
      <c r="N62" s="89">
        <f t="shared" si="28"/>
        <v>8578812.42736265</v>
      </c>
      <c r="O62" s="89">
        <f t="shared" si="23"/>
        <v>44847956.7467443</v>
      </c>
      <c r="P62" s="43">
        <f t="shared" si="24"/>
        <v>0.111003120541502</v>
      </c>
      <c r="Q62" s="32" t="s">
        <v>97</v>
      </c>
      <c r="R62" s="34"/>
      <c r="S62" s="34"/>
      <c r="T62" s="53">
        <f>O62-淘系!O60-淘系达播!O60-抖音!O60-抖音达播!O60-快手!O60-京东POP财经口径!O60-京东自营财经口径!O60-PDD!O60-得物!O60-'视频号+官网+小程序'!O60-唯品会!O60-'线下门店-直营'!O60-'线下门店-经销'!O60-线下渠道!O60</f>
        <v>-40154.7056694105</v>
      </c>
      <c r="U62" s="34"/>
      <c r="V62" s="34"/>
    </row>
    <row r="63" spans="1:22">
      <c r="A63" s="6"/>
      <c r="B63" s="6"/>
      <c r="C63" s="90">
        <f t="shared" ref="C63:O63" si="29">C62/C16</f>
        <v>0.0911897060580107</v>
      </c>
      <c r="D63" s="90">
        <f t="shared" si="29"/>
        <v>0.0515544248455974</v>
      </c>
      <c r="E63" s="90">
        <f t="shared" si="29"/>
        <v>-0.0154470926381953</v>
      </c>
      <c r="F63" s="90">
        <f t="shared" si="29"/>
        <v>0.00430376878575299</v>
      </c>
      <c r="G63" s="90">
        <f t="shared" si="29"/>
        <v>-0.0229836205061722</v>
      </c>
      <c r="H63" s="90">
        <f t="shared" si="29"/>
        <v>0.0509226693722042</v>
      </c>
      <c r="I63" s="90">
        <f t="shared" si="29"/>
        <v>0.176101043709699</v>
      </c>
      <c r="J63" s="90">
        <f t="shared" si="29"/>
        <v>0.152676013648805</v>
      </c>
      <c r="K63" s="90">
        <f t="shared" si="29"/>
        <v>0.177059190996198</v>
      </c>
      <c r="L63" s="90">
        <f t="shared" si="29"/>
        <v>0.126308604089762</v>
      </c>
      <c r="M63" s="90">
        <f t="shared" si="29"/>
        <v>0.223280820449452</v>
      </c>
      <c r="N63" s="90">
        <f t="shared" si="29"/>
        <v>0.230180242652737</v>
      </c>
      <c r="O63" s="90">
        <f t="shared" si="29"/>
        <v>0.111003120541502</v>
      </c>
      <c r="P63" s="6"/>
      <c r="Q63" s="6"/>
      <c r="R63" s="6"/>
      <c r="S63" s="6"/>
      <c r="T63" s="6"/>
    </row>
    <row r="64" spans="1:22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70"/>
      <c r="V64" s="70"/>
    </row>
    <row r="65" ht="16.8" spans="1:20">
      <c r="A65" s="6"/>
      <c r="B65" s="91" t="s">
        <v>98</v>
      </c>
      <c r="C65" s="92">
        <f t="shared" ref="C65:N65" si="30">C66+C67</f>
        <v>4000000</v>
      </c>
      <c r="D65" s="92">
        <f t="shared" si="30"/>
        <v>4000000</v>
      </c>
      <c r="E65" s="92">
        <f t="shared" si="30"/>
        <v>3800000</v>
      </c>
      <c r="F65" s="92">
        <f t="shared" si="30"/>
        <v>3800000</v>
      </c>
      <c r="G65" s="92">
        <f t="shared" si="30"/>
        <v>3800000</v>
      </c>
      <c r="H65" s="92">
        <f t="shared" si="30"/>
        <v>2800000</v>
      </c>
      <c r="I65" s="92">
        <f t="shared" si="30"/>
        <v>2300000</v>
      </c>
      <c r="J65" s="92">
        <f t="shared" si="30"/>
        <v>2300000</v>
      </c>
      <c r="K65" s="92">
        <f t="shared" si="30"/>
        <v>2300000</v>
      </c>
      <c r="L65" s="92">
        <f t="shared" si="30"/>
        <v>2300000</v>
      </c>
      <c r="M65" s="92">
        <f t="shared" si="30"/>
        <v>2300000</v>
      </c>
      <c r="N65" s="92">
        <f t="shared" si="30"/>
        <v>2300000</v>
      </c>
      <c r="O65" s="93">
        <f>SUM(C65:N65)</f>
        <v>36000000</v>
      </c>
      <c r="P65" s="94">
        <f>O65/$O$16</f>
        <v>0.0891035540829665</v>
      </c>
      <c r="Q65" s="6"/>
      <c r="R65" s="6"/>
      <c r="S65" s="6"/>
      <c r="T65" s="6"/>
    </row>
    <row r="66" ht="16.8" spans="1:20">
      <c r="A66" s="6"/>
      <c r="B66" s="95" t="s">
        <v>99</v>
      </c>
      <c r="C66" s="96">
        <v>500000</v>
      </c>
      <c r="D66" s="97">
        <v>500000</v>
      </c>
      <c r="E66" s="97">
        <v>500000</v>
      </c>
      <c r="F66" s="97">
        <v>500000</v>
      </c>
      <c r="G66" s="97">
        <v>500000</v>
      </c>
      <c r="H66" s="97">
        <v>500000</v>
      </c>
      <c r="I66" s="97">
        <v>500000</v>
      </c>
      <c r="J66" s="97">
        <v>500000</v>
      </c>
      <c r="K66" s="97">
        <v>500000</v>
      </c>
      <c r="L66" s="97">
        <v>500000</v>
      </c>
      <c r="M66" s="97">
        <v>500000</v>
      </c>
      <c r="N66" s="97">
        <v>500000</v>
      </c>
      <c r="O66" s="98">
        <f>SUM(C66:N66)</f>
        <v>6000000</v>
      </c>
      <c r="P66" s="99">
        <f>O66/$O$16</f>
        <v>0.0148505923471611</v>
      </c>
      <c r="Q66" s="6"/>
      <c r="R66" s="6"/>
      <c r="S66" s="6"/>
      <c r="T66" s="6"/>
    </row>
    <row r="67" ht="16.8" spans="1:20">
      <c r="A67" s="6"/>
      <c r="B67" s="95" t="s">
        <v>100</v>
      </c>
      <c r="C67" s="96">
        <v>3500000</v>
      </c>
      <c r="D67" s="96">
        <v>3500000</v>
      </c>
      <c r="E67" s="96">
        <v>3300000</v>
      </c>
      <c r="F67" s="96">
        <v>3300000</v>
      </c>
      <c r="G67" s="96">
        <v>3300000</v>
      </c>
      <c r="H67" s="96">
        <v>2300000</v>
      </c>
      <c r="I67" s="96">
        <v>1800000</v>
      </c>
      <c r="J67" s="96">
        <v>1800000</v>
      </c>
      <c r="K67" s="96">
        <v>1800000</v>
      </c>
      <c r="L67" s="96">
        <v>1800000</v>
      </c>
      <c r="M67" s="96">
        <v>1800000</v>
      </c>
      <c r="N67" s="96">
        <v>1800000</v>
      </c>
      <c r="O67" s="98">
        <f>SUM(C67:N67)</f>
        <v>30000000</v>
      </c>
      <c r="P67" s="99">
        <f>O67/$O$16</f>
        <v>0.0742529617358054</v>
      </c>
      <c r="Q67" s="6"/>
      <c r="R67" s="6"/>
      <c r="S67" s="6"/>
      <c r="T67" s="6"/>
    </row>
    <row r="68" ht="16.8" spans="1:20">
      <c r="A68" s="6"/>
      <c r="B68" s="100" t="s">
        <v>101</v>
      </c>
      <c r="C68" s="101">
        <f t="shared" ref="C68:N68" si="31">C62-C65</f>
        <v>-1481785.16826805</v>
      </c>
      <c r="D68" s="101">
        <f t="shared" si="31"/>
        <v>-2576162.67094001</v>
      </c>
      <c r="E68" s="101">
        <f t="shared" si="31"/>
        <v>-4164449.22224421</v>
      </c>
      <c r="F68" s="101">
        <f t="shared" si="31"/>
        <v>-3712011.31422209</v>
      </c>
      <c r="G68" s="101">
        <f t="shared" si="31"/>
        <v>-4782261.36406113</v>
      </c>
      <c r="H68" s="101">
        <f t="shared" si="31"/>
        <v>-820657.563453428</v>
      </c>
      <c r="I68" s="101">
        <f t="shared" si="31"/>
        <v>2480281.23365675</v>
      </c>
      <c r="J68" s="101">
        <f t="shared" si="31"/>
        <v>3437516.57421019</v>
      </c>
      <c r="K68" s="101">
        <f t="shared" si="31"/>
        <v>2566512.60141215</v>
      </c>
      <c r="L68" s="101">
        <f t="shared" si="31"/>
        <v>3811013.21357709</v>
      </c>
      <c r="M68" s="101">
        <f t="shared" si="31"/>
        <v>7811147.99971439</v>
      </c>
      <c r="N68" s="101">
        <f t="shared" si="31"/>
        <v>6278812.42736265</v>
      </c>
      <c r="O68" s="102">
        <f>SUM(C68:N68)</f>
        <v>8847956.74674429</v>
      </c>
      <c r="P68" s="103">
        <f>O68/$O$16</f>
        <v>0.0218995664585355</v>
      </c>
      <c r="Q68" s="6"/>
      <c r="R68" s="6"/>
      <c r="S68" s="6"/>
      <c r="T68" s="6"/>
    </row>
    <row r="69" ht="16.8" spans="1:20">
      <c r="A69" s="6"/>
      <c r="B69" s="104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Q69" s="6"/>
      <c r="R69" s="6"/>
      <c r="S69" s="6"/>
      <c r="T69" s="6"/>
    </row>
    <row r="70" ht="16.8" spans="1:20">
      <c r="A70" s="6"/>
      <c r="B70" s="91" t="s">
        <v>102</v>
      </c>
      <c r="C70" s="92">
        <v>2800000</v>
      </c>
      <c r="D70" s="92">
        <v>2800000</v>
      </c>
      <c r="E70" s="92">
        <v>2800000</v>
      </c>
      <c r="F70" s="92">
        <v>2800000</v>
      </c>
      <c r="G70" s="92">
        <v>2800000</v>
      </c>
      <c r="H70" s="92">
        <v>2800000</v>
      </c>
      <c r="I70" s="92">
        <v>2800000</v>
      </c>
      <c r="J70" s="92">
        <v>2800000</v>
      </c>
      <c r="K70" s="92">
        <v>2800000</v>
      </c>
      <c r="L70" s="92">
        <v>2800000</v>
      </c>
      <c r="M70" s="92">
        <v>2800000</v>
      </c>
      <c r="N70" s="92">
        <v>2800000</v>
      </c>
      <c r="O70" s="93">
        <f>SUM(C70:N70)</f>
        <v>33600000</v>
      </c>
      <c r="P70" s="94">
        <f>O70/$O$16</f>
        <v>0.0831633171441021</v>
      </c>
      <c r="Q70" s="6"/>
      <c r="R70" s="6"/>
      <c r="S70" s="6"/>
      <c r="T70" s="6"/>
    </row>
    <row r="71" ht="16.8" spans="1:20">
      <c r="A71" s="6"/>
      <c r="B71" s="100" t="s">
        <v>103</v>
      </c>
      <c r="C71" s="106">
        <f t="shared" ref="C71:N71" si="32">C68-C70</f>
        <v>-4281785.16826805</v>
      </c>
      <c r="D71" s="106">
        <f t="shared" si="32"/>
        <v>-5376162.67094001</v>
      </c>
      <c r="E71" s="106">
        <f t="shared" si="32"/>
        <v>-6964449.22224421</v>
      </c>
      <c r="F71" s="106">
        <f t="shared" si="32"/>
        <v>-6512011.31422209</v>
      </c>
      <c r="G71" s="106">
        <f t="shared" si="32"/>
        <v>-7582261.36406113</v>
      </c>
      <c r="H71" s="106">
        <f t="shared" si="32"/>
        <v>-3620657.56345343</v>
      </c>
      <c r="I71" s="106">
        <f t="shared" si="32"/>
        <v>-319718.766343255</v>
      </c>
      <c r="J71" s="106">
        <f t="shared" si="32"/>
        <v>637516.574210191</v>
      </c>
      <c r="K71" s="106">
        <f t="shared" si="32"/>
        <v>-233487.398587851</v>
      </c>
      <c r="L71" s="106">
        <f t="shared" si="32"/>
        <v>1011013.21357709</v>
      </c>
      <c r="M71" s="106">
        <f t="shared" si="32"/>
        <v>5011147.99971439</v>
      </c>
      <c r="N71" s="106">
        <f t="shared" si="32"/>
        <v>3478812.42736265</v>
      </c>
      <c r="O71" s="102">
        <f>SUM(C71:N71)</f>
        <v>-24752043.2532557</v>
      </c>
      <c r="P71" s="103">
        <f>O71/$O$16</f>
        <v>-0.0612637506855666</v>
      </c>
      <c r="Q71" s="6"/>
      <c r="R71" s="6"/>
      <c r="S71" s="6"/>
      <c r="T71" s="6"/>
    </row>
    <row r="72" spans="1:20">
      <c r="A72" s="6"/>
      <c r="B72" s="107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Q72" s="6"/>
      <c r="R72" s="6"/>
      <c r="S72" s="6"/>
      <c r="T72" s="6"/>
    </row>
    <row r="73" ht="16.8" spans="1:20">
      <c r="A73" s="6"/>
      <c r="B73" s="108" t="s">
        <v>104</v>
      </c>
      <c r="C73" s="92">
        <v>1200000</v>
      </c>
      <c r="D73" s="92">
        <v>1200000</v>
      </c>
      <c r="E73" s="92">
        <v>1200000</v>
      </c>
      <c r="F73" s="92">
        <v>1200000</v>
      </c>
      <c r="G73" s="92">
        <v>1200000</v>
      </c>
      <c r="H73" s="92">
        <v>1200000</v>
      </c>
      <c r="I73" s="92">
        <v>1200000</v>
      </c>
      <c r="J73" s="92">
        <v>1200000</v>
      </c>
      <c r="K73" s="92">
        <v>1200000</v>
      </c>
      <c r="L73" s="92">
        <v>1200000</v>
      </c>
      <c r="M73" s="92">
        <v>1200000</v>
      </c>
      <c r="N73" s="92">
        <v>1200000</v>
      </c>
      <c r="O73" s="109">
        <f>SUM(C73:N73)</f>
        <v>14400000</v>
      </c>
      <c r="P73" s="94">
        <f>O73/$O$16</f>
        <v>0.0356414216331866</v>
      </c>
      <c r="Q73" s="6"/>
      <c r="R73" s="6"/>
      <c r="S73" s="6"/>
      <c r="T73" s="6"/>
    </row>
    <row r="74" spans="1:20">
      <c r="A74" s="6"/>
      <c r="B74" s="107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Q74" s="6"/>
      <c r="R74" s="6"/>
      <c r="S74" s="6"/>
      <c r="T74" s="6"/>
    </row>
    <row r="75" ht="16.8" spans="1:20">
      <c r="A75" s="6"/>
      <c r="B75" s="110" t="s">
        <v>105</v>
      </c>
      <c r="C75" s="106">
        <f t="shared" ref="C75:N75" si="33">C71-C73</f>
        <v>-5481785.16826805</v>
      </c>
      <c r="D75" s="106">
        <f t="shared" si="33"/>
        <v>-6576162.67094001</v>
      </c>
      <c r="E75" s="106">
        <f t="shared" si="33"/>
        <v>-8164449.22224421</v>
      </c>
      <c r="F75" s="106">
        <f t="shared" si="33"/>
        <v>-7712011.31422209</v>
      </c>
      <c r="G75" s="106">
        <f t="shared" si="33"/>
        <v>-8782261.36406113</v>
      </c>
      <c r="H75" s="106">
        <f t="shared" si="33"/>
        <v>-4820657.56345343</v>
      </c>
      <c r="I75" s="106">
        <f t="shared" si="33"/>
        <v>-1519718.76634325</v>
      </c>
      <c r="J75" s="106">
        <f t="shared" si="33"/>
        <v>-562483.425789809</v>
      </c>
      <c r="K75" s="106">
        <f t="shared" si="33"/>
        <v>-1433487.39858785</v>
      </c>
      <c r="L75" s="106">
        <f t="shared" si="33"/>
        <v>-188986.786422912</v>
      </c>
      <c r="M75" s="106">
        <f t="shared" si="33"/>
        <v>3811147.99971439</v>
      </c>
      <c r="N75" s="106">
        <f t="shared" si="33"/>
        <v>2278812.42736265</v>
      </c>
      <c r="O75" s="102">
        <f>SUM(C75:N75)</f>
        <v>-39152043.2532557</v>
      </c>
      <c r="P75" s="111">
        <f>O75/$O$16</f>
        <v>-0.0969051723187532</v>
      </c>
      <c r="Q75" s="6"/>
      <c r="R75" s="6"/>
      <c r="S75" s="6"/>
      <c r="T75" s="6"/>
    </row>
    <row r="76" ht="16.8" spans="1:20">
      <c r="A76" s="6"/>
      <c r="B76" s="112" t="s">
        <v>106</v>
      </c>
      <c r="C76" s="113">
        <f t="shared" ref="C76:N76" si="34">C75/C16</f>
        <v>-0.198506645210934</v>
      </c>
      <c r="D76" s="113">
        <f t="shared" si="34"/>
        <v>-0.238110265317476</v>
      </c>
      <c r="E76" s="113">
        <f t="shared" si="34"/>
        <v>-0.346048216811228</v>
      </c>
      <c r="F76" s="113">
        <f t="shared" si="34"/>
        <v>-0.377215698542199</v>
      </c>
      <c r="G76" s="113">
        <f t="shared" si="34"/>
        <v>-0.205493333813989</v>
      </c>
      <c r="H76" s="113">
        <f t="shared" si="34"/>
        <v>-0.124021365241203</v>
      </c>
      <c r="I76" s="113">
        <f t="shared" si="34"/>
        <v>-0.0559850033537755</v>
      </c>
      <c r="J76" s="113">
        <f t="shared" si="34"/>
        <v>-0.0149677523511003</v>
      </c>
      <c r="K76" s="113">
        <f t="shared" si="34"/>
        <v>-0.052154826235025</v>
      </c>
      <c r="L76" s="113">
        <f t="shared" si="34"/>
        <v>-0.00390617011454886</v>
      </c>
      <c r="M76" s="113">
        <f t="shared" si="34"/>
        <v>0.0841602014187265</v>
      </c>
      <c r="N76" s="113">
        <f t="shared" si="34"/>
        <v>0.0611433810835357</v>
      </c>
      <c r="O76" s="113"/>
      <c r="P76" s="114"/>
      <c r="Q76" s="6"/>
      <c r="R76" s="6"/>
      <c r="S76" s="6"/>
      <c r="T76" s="6"/>
    </row>
    <row r="77" spans="1:20">
      <c r="A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ht="16.8" spans="1:20">
      <c r="A78" s="6"/>
      <c r="B78" s="121" t="s">
        <v>107</v>
      </c>
      <c r="C78" s="121" t="s">
        <v>108</v>
      </c>
      <c r="D78" s="121" t="s">
        <v>30</v>
      </c>
      <c r="E78" s="122" t="s">
        <v>109</v>
      </c>
      <c r="F78" s="122" t="s">
        <v>110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ht="16.8" spans="1:20">
      <c r="A79" s="6"/>
      <c r="B79" s="117" t="s">
        <v>111</v>
      </c>
      <c r="C79" s="118">
        <f>O6</f>
        <v>571384044.536262</v>
      </c>
      <c r="D79" s="119">
        <f>O16</f>
        <v>404024288.037709</v>
      </c>
      <c r="E79" s="118">
        <f>O75</f>
        <v>-39152043.2532557</v>
      </c>
      <c r="F79" s="120">
        <f>E79/D79</f>
        <v>-0.0969051723187532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ht="16.8" spans="1:20">
      <c r="A80" s="6"/>
      <c r="B80" s="117" t="s">
        <v>112</v>
      </c>
      <c r="C80" s="118">
        <f>SUM(C6:H6)</f>
        <v>252868031.256319</v>
      </c>
      <c r="D80" s="119">
        <f>SUM(C16:H16)</f>
        <v>180878239.029834</v>
      </c>
      <c r="E80" s="118">
        <f>SUM(C75:H75)</f>
        <v>-41537327.3031889</v>
      </c>
      <c r="F80" s="120">
        <f>E80/D80</f>
        <v>-0.22964247952645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ht="16.8" spans="1:20">
      <c r="A81" s="6"/>
      <c r="B81" s="117" t="s">
        <v>113</v>
      </c>
      <c r="C81" s="118">
        <f>SUM(I6:N6)</f>
        <v>318516013.279943</v>
      </c>
      <c r="D81" s="119">
        <f>SUM(I16:N16)</f>
        <v>223146049.007875</v>
      </c>
      <c r="E81" s="118">
        <f>SUM(I75:N75)</f>
        <v>2385284.04993321</v>
      </c>
      <c r="F81" s="120">
        <f>E81/D81</f>
        <v>0.0106893402797781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>
      <c r="A84" s="6"/>
      <c r="B84" s="6"/>
      <c r="C84" s="53">
        <f t="shared" ref="C84:O84" si="35">C16-C18-C20-C26-C37-C44-C49-C60-C62</f>
        <v>0</v>
      </c>
      <c r="D84" s="35">
        <f t="shared" si="35"/>
        <v>-2.3283064365387e-9</v>
      </c>
      <c r="E84" s="35">
        <f t="shared" si="35"/>
        <v>9.31322574615479e-10</v>
      </c>
      <c r="F84" s="35">
        <f t="shared" si="35"/>
        <v>9.31322574615479e-10</v>
      </c>
      <c r="G84" s="35">
        <f t="shared" si="35"/>
        <v>0</v>
      </c>
      <c r="H84" s="35">
        <f t="shared" si="35"/>
        <v>0</v>
      </c>
      <c r="I84" s="35">
        <f t="shared" si="35"/>
        <v>0</v>
      </c>
      <c r="J84" s="35">
        <f t="shared" si="35"/>
        <v>0</v>
      </c>
      <c r="K84" s="35">
        <f t="shared" si="35"/>
        <v>0</v>
      </c>
      <c r="L84" s="35">
        <f t="shared" si="35"/>
        <v>0</v>
      </c>
      <c r="M84" s="35">
        <f t="shared" si="35"/>
        <v>0</v>
      </c>
      <c r="N84" s="35">
        <f t="shared" si="35"/>
        <v>0</v>
      </c>
      <c r="O84" s="35">
        <f t="shared" si="35"/>
        <v>0</v>
      </c>
      <c r="P84" s="6"/>
      <c r="Q84" s="6"/>
      <c r="R84" s="6"/>
      <c r="S84" s="6"/>
      <c r="T84" s="6"/>
    </row>
    <row r="85" spans="1:20">
      <c r="A85" s="6"/>
      <c r="B85" s="6"/>
      <c r="C85" s="53">
        <f t="shared" ref="C85:O85" si="36">C10-C11-C12-C13-C15</f>
        <v>-0.0377404578030109</v>
      </c>
      <c r="D85" s="53">
        <f t="shared" si="36"/>
        <v>-0.0261256098747253</v>
      </c>
      <c r="E85" s="53">
        <f t="shared" si="36"/>
        <v>0.0426073484122753</v>
      </c>
      <c r="F85" s="53">
        <f t="shared" si="36"/>
        <v>0.030115470290184</v>
      </c>
      <c r="G85" s="53">
        <f t="shared" si="36"/>
        <v>-0.0320731475949287</v>
      </c>
      <c r="H85" s="53">
        <f t="shared" si="36"/>
        <v>-0.0277193412184715</v>
      </c>
      <c r="I85" s="53">
        <f t="shared" si="36"/>
        <v>0.0322075895965099</v>
      </c>
      <c r="J85" s="53">
        <f t="shared" si="36"/>
        <v>0.0423351600766182</v>
      </c>
      <c r="K85" s="53">
        <f t="shared" si="36"/>
        <v>0.0394104905426502</v>
      </c>
      <c r="L85" s="53">
        <f t="shared" si="36"/>
        <v>-0.00141728669404984</v>
      </c>
      <c r="M85" s="53">
        <f t="shared" si="36"/>
        <v>-0.0334135517477989</v>
      </c>
      <c r="N85" s="53">
        <f t="shared" si="36"/>
        <v>-0.00890649110078812</v>
      </c>
      <c r="O85" s="53">
        <f t="shared" si="36"/>
        <v>0.0192801952362061</v>
      </c>
      <c r="P85" s="6"/>
      <c r="Q85" s="6"/>
      <c r="R85" s="6"/>
      <c r="S85" s="6"/>
      <c r="T85" s="6"/>
    </row>
    <row r="86" spans="1:20">
      <c r="A86" s="6"/>
      <c r="B86" s="35"/>
      <c r="C86" s="35">
        <f>C62-淘系!C60-淘系达播!C60-抖音!C60-抖音达播!C60-快手!C60-京东POP财经口径!C60-京东自营财经口径!C60-PDD!C60-得物!C60-'视频号+官网+小程序'!C60-唯品会!C60-'线下门店-直营'!C60-'线下门店-经销'!C60-线下渠道!C60</f>
        <v>-3212.37733851327</v>
      </c>
      <c r="D86" s="35">
        <f>D62-淘系!D60-淘系达播!D60-抖音!D60-抖音达播!D60-快手!D60-京东POP财经口径!D60-京东自营财经口径!D60-PDD!D60-得物!D60-'视频号+官网+小程序'!D60-唯品会!D60-'线下门店-直营'!D60-'线下门店-经销'!D60-线下渠道!D60</f>
        <v>-3425.38412971795</v>
      </c>
      <c r="E86" s="35">
        <f>E62-淘系!E60-淘系达播!E60-抖音!E60-抖音达播!E60-快手!E60-京东POP财经口径!E60-京东自营财经口径!E60-PDD!E60-得物!E60-'视频号+官网+小程序'!E60-唯品会!E60-'线下门店-直营'!E60-'线下门店-经销'!E60-线下渠道!E60</f>
        <v>-2786.36154370045</v>
      </c>
      <c r="F86" s="35">
        <f>F62-淘系!F60-淘系达播!F60-抖音!F60-抖音达播!F60-快手!F60-京东POP财经口径!F60-京东自营财经口径!F60-PDD!F60-得物!F60-'视频号+官网+小程序'!F60-唯品会!F60-'线下门店-直营'!F60-'线下门店-经销'!F60-线下渠道!F60</f>
        <v>-2573.35475249542</v>
      </c>
      <c r="G86" s="35">
        <f>G62-淘系!G60-淘系达播!G60-抖音!G60-抖音达播!G60-快手!G60-京东POP财经口径!G60-京东自营财经口径!G60-PDD!G60-得物!G60-'视频号+官网+小程序'!G60-唯品会!G60-'线下门店-直营'!G60-'线下门店-经销'!G60-线下渠道!G60</f>
        <v>-3474.3180661134</v>
      </c>
      <c r="H86" s="35">
        <f>H62-淘系!H60-淘系达播!H60-抖音!H60-抖音达播!H60-快手!H60-京东POP财经口径!H60-京东自营财经口径!H60-PDD!H60-得物!H60-'视频号+官网+小程序'!H60-唯品会!H60-'线下门店-直营'!H60-'线下门店-经销'!H60-线下渠道!H60</f>
        <v>-3449.85109790135</v>
      </c>
      <c r="I86" s="35">
        <f>I62-淘系!I60-淘系达播!I60-抖音!I60-抖音达播!I60-快手!I60-京东POP财经口径!I60-京东自营财经口径!I60-PDD!I60-得物!I60-'视频号+官网+小程序'!I60-唯品会!I60-'线下门店-直营'!I60-'线下门店-经销'!I60-线下渠道!I60</f>
        <v>-2597.82172069722</v>
      </c>
      <c r="J86" s="35">
        <f>J62-淘系!J60-淘系达播!J60-抖音!J60-抖音达播!J60-快手!J60-京东POP财经口径!J60-京东自营财经口径!J60-PDD!J60-得物!J60-'视频号+官网+小程序'!J60-唯品会!J60-'线下门店-直营'!J60-'线下门店-经销'!J60-线下渠道!J60</f>
        <v>-4556.62306778179</v>
      </c>
      <c r="K86" s="35">
        <f>K62-淘系!K60-淘系达播!K60-抖音!K60-抖音达播!K60-快手!K60-京东POP财经口径!K60-京东自营财经口径!K60-PDD!K60-得物!K60-'视频号+官网+小程序'!K60-唯品会!K60-'线下门店-直营'!K60-'线下门店-经销'!K60-线下渠道!K60</f>
        <v>-2786.36154370685</v>
      </c>
      <c r="L86" s="35">
        <f>L62-淘系!L60-淘系达播!L60-抖音!L60-抖音达播!L60-快手!L60-京东POP财经口径!L60-京东自营财经口径!L60-PDD!L60-得物!L60-'视频号+官网+小程序'!L60-唯品会!L60-'线下门店-直营'!L60-'线下门店-经销'!L60-线下渠道!L60</f>
        <v>-3851.39771212684</v>
      </c>
      <c r="M86" s="35">
        <f>M62-淘系!M60-淘系达播!M60-抖音!M60-抖音达播!M60-快手!M60-京东POP财经口径!M60-京东自营财经口径!M60-PDD!M60-得物!M60-'视频号+官网+小程序'!M60-唯品会!M60-'线下门店-直营'!M60-'线下门店-经销'!M60-线下渠道!M60</f>
        <v>-3449.85109790694</v>
      </c>
      <c r="N86" s="35">
        <f>N62-淘系!N60-淘系达播!N60-抖音!N60-抖音达播!N60-快手!N60-京东POP财经口径!N60-京东自营财经口径!N60-PDD!N60-得物!N60-'视频号+官网+小程序'!N60-唯品会!N60-'线下门店-直营'!N60-'线下门店-经销'!N60-线下渠道!N60</f>
        <v>-3991.00359874591</v>
      </c>
      <c r="O86" s="35">
        <f>O62-淘系!O60-淘系达播!O60-抖音!O60-抖音达播!O60-快手!O60-京东POP财经口径!O60-京东自营财经口径!O60-PDD!O60-得物!O60-'视频号+官网+小程序'!O60-唯品会!O60-'线下门店-直营'!O60-'线下门店-经销'!O60-线下渠道!O60</f>
        <v>-40154.7056694105</v>
      </c>
      <c r="P86" s="6"/>
      <c r="Q86" s="6"/>
      <c r="R86" s="6"/>
      <c r="S86" s="6"/>
      <c r="T86" s="6"/>
    </row>
    <row r="87" spans="1:20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ht="16.8" spans="1:20">
      <c r="A94" s="6"/>
      <c r="B94" s="86" t="s">
        <v>39</v>
      </c>
      <c r="C94" s="86">
        <v>590816.10619469</v>
      </c>
      <c r="D94" s="86">
        <v>1555478.57915438</v>
      </c>
      <c r="E94" s="86">
        <v>2581397.18879056</v>
      </c>
      <c r="F94" s="86">
        <v>1541409.81415929</v>
      </c>
      <c r="G94" s="86">
        <v>6001680.81858407</v>
      </c>
      <c r="H94" s="86">
        <v>3561493.46570796</v>
      </c>
      <c r="I94" s="86">
        <v>824897.703539823</v>
      </c>
      <c r="J94" s="86">
        <v>1275088.21681416</v>
      </c>
      <c r="K94" s="86">
        <v>1059422.33185841</v>
      </c>
      <c r="L94" s="86">
        <v>3244700.9707858</v>
      </c>
      <c r="M94" s="86">
        <v>1405007.97686321</v>
      </c>
      <c r="N94" s="86">
        <v>917198.160251626</v>
      </c>
      <c r="O94" s="86">
        <v>24558591.332704</v>
      </c>
      <c r="P94" s="38">
        <v>0.0615948703018541</v>
      </c>
      <c r="Q94" s="6"/>
      <c r="R94" s="6"/>
      <c r="S94" s="6"/>
      <c r="T94" s="6"/>
    </row>
    <row r="95" ht="16.8" spans="1:20">
      <c r="A95" s="6"/>
      <c r="B95" s="87" t="s">
        <v>40</v>
      </c>
      <c r="C95" s="87">
        <v>0</v>
      </c>
      <c r="D95" s="87">
        <v>0</v>
      </c>
      <c r="E95" s="87">
        <v>64814.267453294</v>
      </c>
      <c r="F95" s="87">
        <v>54155.0737463127</v>
      </c>
      <c r="G95" s="87">
        <v>115388.163716814</v>
      </c>
      <c r="H95" s="87">
        <v>101584.80199115</v>
      </c>
      <c r="I95" s="87">
        <v>65500.2876106195</v>
      </c>
      <c r="J95" s="87">
        <v>90329.9336283186</v>
      </c>
      <c r="K95" s="87">
        <v>72053.1637168141</v>
      </c>
      <c r="L95" s="87">
        <v>121420.238831432</v>
      </c>
      <c r="M95" s="87">
        <v>91985.613604862</v>
      </c>
      <c r="N95" s="87">
        <v>0</v>
      </c>
      <c r="O95" s="87">
        <v>777231.544299618</v>
      </c>
      <c r="P95" s="42">
        <v>0.00194935757988256</v>
      </c>
      <c r="Q95" s="6"/>
      <c r="R95" s="6"/>
      <c r="S95" s="6"/>
      <c r="T95" s="6"/>
    </row>
    <row r="96" ht="16.8" spans="1:20">
      <c r="A96" s="6"/>
      <c r="B96" s="87" t="s">
        <v>41</v>
      </c>
      <c r="C96" s="87">
        <v>209195</v>
      </c>
      <c r="D96" s="87">
        <v>209195</v>
      </c>
      <c r="E96" s="87">
        <v>209195</v>
      </c>
      <c r="F96" s="87">
        <v>274181.088495575</v>
      </c>
      <c r="G96" s="87">
        <v>901523.982300886</v>
      </c>
      <c r="H96" s="87">
        <v>534266.366371681</v>
      </c>
      <c r="I96" s="87">
        <v>209195</v>
      </c>
      <c r="J96" s="87">
        <v>317590.920353982</v>
      </c>
      <c r="K96" s="87">
        <v>439765.123893805</v>
      </c>
      <c r="L96" s="87">
        <v>354899.286597718</v>
      </c>
      <c r="M96" s="87">
        <v>319577.736325834</v>
      </c>
      <c r="N96" s="87">
        <v>209195</v>
      </c>
      <c r="O96" s="87">
        <v>4187779.50433948</v>
      </c>
      <c r="P96" s="42">
        <v>0.0105032789514704</v>
      </c>
      <c r="Q96" s="6"/>
      <c r="R96" s="6"/>
      <c r="S96" s="6"/>
      <c r="T96" s="6"/>
    </row>
    <row r="97" ht="16.8" spans="1:20">
      <c r="A97" s="6"/>
      <c r="B97" s="87" t="s">
        <v>42</v>
      </c>
      <c r="C97" s="87">
        <v>31801.7588495575</v>
      </c>
      <c r="D97" s="87">
        <v>25890.0688298918</v>
      </c>
      <c r="E97" s="87">
        <v>25925.7069813176</v>
      </c>
      <c r="F97" s="87">
        <v>108310.147492625</v>
      </c>
      <c r="G97" s="87">
        <v>692328.982300885</v>
      </c>
      <c r="H97" s="87">
        <v>446973.128761062</v>
      </c>
      <c r="I97" s="87">
        <v>0</v>
      </c>
      <c r="J97" s="87">
        <v>108395.920353982</v>
      </c>
      <c r="K97" s="87">
        <v>230570.123893805</v>
      </c>
      <c r="L97" s="87">
        <v>242840.477662864</v>
      </c>
      <c r="M97" s="87">
        <v>183971.227209724</v>
      </c>
      <c r="N97" s="87">
        <v>32181.9618296194</v>
      </c>
      <c r="O97" s="87">
        <v>2129189.50416533</v>
      </c>
      <c r="P97" s="42">
        <v>0.00534017401814443</v>
      </c>
      <c r="Q97" s="6"/>
      <c r="R97" s="6"/>
      <c r="S97" s="6"/>
      <c r="T97" s="6"/>
    </row>
    <row r="98" ht="16.8" spans="1:20">
      <c r="A98" s="6"/>
      <c r="B98" s="87" t="s">
        <v>43</v>
      </c>
      <c r="C98" s="87">
        <v>31801.7588495575</v>
      </c>
      <c r="D98" s="87">
        <v>25890.0688298918</v>
      </c>
      <c r="E98" s="87">
        <v>207405.655850541</v>
      </c>
      <c r="F98" s="87">
        <v>21662.0294985251</v>
      </c>
      <c r="G98" s="87">
        <v>138465.796460177</v>
      </c>
      <c r="H98" s="87">
        <v>40633.9207964602</v>
      </c>
      <c r="I98" s="87">
        <v>26200.1150442478</v>
      </c>
      <c r="J98" s="87">
        <v>36131.9734513274</v>
      </c>
      <c r="K98" s="87">
        <v>28821.2654867257</v>
      </c>
      <c r="L98" s="87">
        <v>97136.1910651456</v>
      </c>
      <c r="M98" s="87">
        <v>73588.4908838896</v>
      </c>
      <c r="N98" s="87">
        <v>32181.9618296194</v>
      </c>
      <c r="O98" s="87">
        <v>759919.228046108</v>
      </c>
      <c r="P98" s="42">
        <v>0.00190593693495169</v>
      </c>
      <c r="Q98" s="6"/>
      <c r="R98" s="6"/>
      <c r="S98" s="6"/>
      <c r="T98" s="6"/>
    </row>
    <row r="99" ht="16.8" spans="1:20">
      <c r="A99" s="6"/>
      <c r="B99" s="87" t="s">
        <v>44</v>
      </c>
      <c r="C99" s="87">
        <v>318017.588495575</v>
      </c>
      <c r="D99" s="87">
        <v>1294503.44149459</v>
      </c>
      <c r="E99" s="87">
        <v>2074056.55850541</v>
      </c>
      <c r="F99" s="87">
        <v>1083101.47492625</v>
      </c>
      <c r="G99" s="87">
        <v>4153973.89380531</v>
      </c>
      <c r="H99" s="87">
        <v>2438035.24778761</v>
      </c>
      <c r="I99" s="87">
        <v>524002.300884956</v>
      </c>
      <c r="J99" s="87">
        <v>722639.469026548</v>
      </c>
      <c r="K99" s="87">
        <v>288212.654867257</v>
      </c>
      <c r="L99" s="87">
        <v>2428404.77662864</v>
      </c>
      <c r="M99" s="87">
        <v>735884.908838896</v>
      </c>
      <c r="N99" s="87">
        <v>643639.236592387</v>
      </c>
      <c r="O99" s="87">
        <v>16704471.5518534</v>
      </c>
      <c r="P99" s="42">
        <v>0.041896122817405</v>
      </c>
      <c r="Q99" s="6"/>
      <c r="R99" s="6"/>
      <c r="S99" s="6"/>
      <c r="T99" s="6"/>
    </row>
    <row r="100" spans="1:2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</sheetData>
  <pageMargins left="0.75" right="0.75" top="1" bottom="1" header="0.5" footer="0.5"/>
  <headerFooter/>
  <legacy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201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4.4"/>
  <cols>
    <col min="1" max="1" width="4" customWidth="1"/>
    <col min="2" max="2" width="20" customWidth="1"/>
    <col min="3" max="17" width="16" customWidth="1"/>
    <col min="18" max="18" width="14" customWidth="1"/>
    <col min="19" max="23" width="11" customWidth="1"/>
  </cols>
  <sheetData>
    <row r="1" ht="17" spans="1:23">
      <c r="A1" s="6"/>
      <c r="B1" s="1" t="s">
        <v>0</v>
      </c>
      <c r="C1" s="2" t="s">
        <v>1</v>
      </c>
      <c r="D1" s="2"/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3" t="s">
        <v>15</v>
      </c>
      <c r="S1" s="6"/>
      <c r="T1" s="6"/>
      <c r="U1" s="6"/>
    </row>
    <row r="2" ht="16.8" spans="1:23">
      <c r="A2" s="6"/>
      <c r="B2" s="4" t="s">
        <v>16</v>
      </c>
      <c r="C2" s="8">
        <f>淘系!C2+抖音!C2+PDD!C2+得物!C2+京东自营财经口径!C2+京东POP财经口径!C2+'视频号+官网+小程序'!C2+快手!C2+唯品会!C2+'线下门店-直营'!C2+'线下门店-经销'!C2+线下渠道!C2+淘系达播!C2+抖音达播!C2</f>
        <v>90463.684158025</v>
      </c>
      <c r="D2" s="8"/>
      <c r="E2" s="8">
        <f>淘系!D2+抖音!D2+PDD!D2+得物!D2+京东自营财经口径!D2+京东POP财经口径!D2+'视频号+官网+小程序'!D2+快手!D2+唯品会!D2+'线下门店-直营'!D2+'线下门店-经销'!D2+线下渠道!D2+淘系达播!D2+抖音达播!D2</f>
        <v>81993.6885098585</v>
      </c>
      <c r="F2" s="8">
        <f>淘系!E2+抖音!E2+PDD!E2+得物!E2+京东自营财经口径!E2+京东POP财经口径!E2+'视频号+官网+小程序'!E2+快手!E2+唯品会!E2+'线下门店-直营'!E2+'线下门店-经销'!E2+线下渠道!E2+淘系达播!E2+抖音达播!E2</f>
        <v>95977.292005261</v>
      </c>
      <c r="G2" s="8">
        <f>淘系!F2+抖音!F2+PDD!F2+得物!F2+京东自营财经口径!F2+京东POP财经口径!F2+'视频号+官网+小程序'!F2+快手!F2+唯品会!F2+'线下门店-直营'!F2+'线下门店-经销'!F2+线下渠道!F2+淘系达播!F2+抖音达播!F2</f>
        <v>80112.9641072792</v>
      </c>
      <c r="H2" s="8">
        <f>淘系!G2+抖音!G2+PDD!G2+得物!G2+京东自营财经口径!G2+京东POP财经口径!G2+'视频号+官网+小程序'!G2+快手!G2+唯品会!G2+'线下门店-直营'!G2+'线下门店-经销'!G2+线下渠道!G2+淘系达播!G2+抖音达播!G2</f>
        <v>138286.2974816</v>
      </c>
      <c r="I2" s="8">
        <f>淘系!H2+抖音!H2+PDD!H2+得物!H2+京东自营财经口径!H2+京东POP财经口径!H2+'视频号+官网+小程序'!H2+快手!H2+唯品会!H2+'线下门店-直营'!H2+'线下门店-经销'!H2+线下渠道!H2+淘系达播!H2+抖音达播!H2</f>
        <v>121225.558906529</v>
      </c>
      <c r="J2" s="8">
        <f>淘系!I2+抖音!I2+PDD!I2+得物!I2+京东自营财经口径!I2+京东POP财经口径!I2+'视频号+官网+小程序'!I2+快手!I2+唯品会!I2+'线下门店-直营'!I2+'线下门店-经销'!I2+线下渠道!I2+淘系达播!I2+抖音达播!I2</f>
        <v>80120.128594272</v>
      </c>
      <c r="K2" s="8">
        <f>淘系!J2+抖音!J2+PDD!J2+得物!J2+京东自营财经口径!J2+京东POP财经口径!J2+'视频号+官网+小程序'!J2+快手!J2+唯品会!J2+'线下门店-直营'!J2+'线下门店-经销'!J2+线下渠道!J2+淘系达播!J2+抖音达播!J2</f>
        <v>99963.4887388583</v>
      </c>
      <c r="L2" s="8">
        <f>淘系!K2+抖音!K2+PDD!K2+得物!K2+京东自营财经口径!K2+京东POP财经口径!K2+'视频号+官网+小程序'!K2+快手!K2+唯品会!K2+'线下门店-直营'!K2+'线下门店-经销'!K2+线下渠道!K2+淘系达播!K2+抖音达播!K2</f>
        <v>109614.029486567</v>
      </c>
      <c r="M2" s="8">
        <f>淘系!L2+抖音!L2+PDD!L2+得物!L2+京东自营财经口径!L2+京东POP财经口径!L2+'视频号+官网+小程序'!L2+快手!L2+唯品会!L2+'线下门店-直营'!L2+'线下门店-经销'!L2+线下渠道!L2+淘系达播!L2+抖音达播!L2</f>
        <v>146214.464369274</v>
      </c>
      <c r="N2" s="8">
        <f>淘系!M2+抖音!M2+PDD!M2+得物!M2+京东自营财经口径!M2+京东POP财经口径!M2+'视频号+官网+小程序'!M2+快手!M2+唯品会!M2+'线下门店-直营'!M2+'线下门店-经销'!M2+线下渠道!M2+淘系达播!M2+抖音达播!M2</f>
        <v>115677.003998625</v>
      </c>
      <c r="O2" s="8">
        <f>淘系!N2+抖音!N2+PDD!N2+得物!N2+京东自营财经口径!N2+京东POP财经口径!N2+'视频号+官网+小程序'!N2+快手!N2+唯品会!N2+'线下门店-直营'!N2+'线下门店-经销'!N2+线下渠道!N2+淘系达播!N2+抖音达播!N2</f>
        <v>104902.5116157</v>
      </c>
      <c r="P2" s="36">
        <f>SUM(C2:O2)</f>
        <v>1264551.11197185</v>
      </c>
      <c r="Q2" s="36"/>
      <c r="R2" s="6"/>
      <c r="U2" s="67"/>
      <c r="V2" s="67"/>
    </row>
    <row r="3" ht="16.8" spans="1:23">
      <c r="A3" s="32"/>
      <c r="B3" s="8" t="s">
        <v>17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>
        <f>SUM(C3:O3)</f>
        <v>0</v>
      </c>
      <c r="Q3" s="8"/>
      <c r="R3" s="10" t="s">
        <v>83</v>
      </c>
      <c r="S3" s="6"/>
      <c r="T3" s="6"/>
      <c r="U3" s="6"/>
    </row>
    <row r="4" ht="20" customHeight="1" spans="1:23">
      <c r="A4" s="32"/>
      <c r="B4" s="8" t="s">
        <v>84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>
        <f>SUM(C4:O4)</f>
        <v>0</v>
      </c>
      <c r="Q4" s="8"/>
      <c r="R4" s="10" t="s">
        <v>83</v>
      </c>
      <c r="S4" s="6"/>
      <c r="T4" s="6"/>
      <c r="U4" s="83"/>
      <c r="V4" s="84"/>
      <c r="W4" s="84"/>
    </row>
    <row r="5" ht="16.8" spans="1:23">
      <c r="A5" s="32"/>
      <c r="B5" s="8" t="s">
        <v>18</v>
      </c>
      <c r="C5" s="8">
        <f>淘系!C5+抖音!C5+PDD!C5+得物!C5+京东自营财经口径!C5+京东POP财经口径!C5+'视频号+官网+小程序'!C5+快手!C5+唯品会!C5+'线下门店-直营'!C5+'线下门店-经销'!C5+线下渠道!C5+淘系达播!C5+抖音达播!C5</f>
        <v>4607684.72303077</v>
      </c>
      <c r="D5" s="8"/>
      <c r="E5" s="8">
        <f>淘系!D5+抖音!D5+PDD!D5+得物!D5+京东自营财经口径!D5+京东POP财经口径!D5+'视频号+官网+小程序'!D5+快手!D5+唯品会!D5+'线下门店-直营'!D5+'线下门店-经销'!D5+线下渠道!D5+淘系达播!D5+抖音达播!D5</f>
        <v>4599816.62608853</v>
      </c>
      <c r="F5" s="8">
        <f>淘系!E5+抖音!E5+PDD!E5+得物!E5+京东自营财经口径!E5+京东POP财经口径!E5+'视频号+官网+小程序'!E5+快手!E5+唯品会!E5+'线下门店-直营'!E5+'线下门店-经销'!E5+线下渠道!E5+淘系达播!E5+抖音达播!E5</f>
        <v>3914048.66162927</v>
      </c>
      <c r="G5" s="8">
        <f>淘系!F5+抖音!F5+PDD!F5+得物!F5+京东自营财经口径!F5+京东POP财经口径!F5+'视频号+官网+小程序'!F5+快手!F5+唯品会!F5+'线下门店-直营'!F5+'线下门店-经销'!F5+线下渠道!F5+淘系达播!F5+抖音达播!F5</f>
        <v>3349087.77735999</v>
      </c>
      <c r="H5" s="8">
        <f>淘系!G5+抖音!G5+PDD!G5+得物!G5+京东自营财经口径!G5+京东POP财经口径!G5+'视频号+官网+小程序'!G5+快手!G5+唯品会!G5+'线下门店-直营'!G5+'线下门店-经销'!G5+线下渠道!G5+淘系达播!G5+抖音达播!G5</f>
        <v>7313638.22761134</v>
      </c>
      <c r="I5" s="8">
        <f>淘系!H5+抖音!H5+PDD!H5+得物!H5+京东自营财经口径!H5+京东POP财经口径!H5+'视频号+官网+小程序'!H5+快手!H5+唯品会!H5+'线下门店-直营'!H5+'线下门店-经销'!H5+线下渠道!H5+淘系达播!H5+抖音达播!H5</f>
        <v>6508325.22974283</v>
      </c>
      <c r="J5" s="8">
        <f>淘系!I5+抖音!I5+PDD!I5+得物!I5+京东自营财经口径!I5+京东POP财经口径!I5+'视频号+官网+小程序'!I5+快手!I5+唯品会!I5+'线下门店-直营'!I5+'线下门店-经销'!I5+线下渠道!I5+淘系达播!I5+抖音达播!I5</f>
        <v>4346063.51245904</v>
      </c>
      <c r="K5" s="8">
        <f>淘系!J5+抖音!J5+PDD!J5+得物!J5+京东自营财经口径!J5+京东POP财经口径!J5+'视频号+官网+小程序'!J5+快手!J5+唯品会!J5+'线下门店-直营'!J5+'线下门店-经销'!J5+线下渠道!J5+淘系达播!J5+抖音达播!J5</f>
        <v>6197224.02358069</v>
      </c>
      <c r="L5" s="8">
        <f>淘系!K5+抖音!K5+PDD!K5+得物!K5+京东自营财经口径!K5+京东POP财经口径!K5+'视频号+官网+小程序'!K5+快手!K5+唯品会!K5+'线下门店-直营'!K5+'线下门店-经销'!K5+线下渠道!K5+淘系达播!K5+抖音达播!K5</f>
        <v>4425098.68990727</v>
      </c>
      <c r="M5" s="8">
        <f>淘系!L5+抖音!L5+PDD!L5+得物!L5+京东自营财经口径!L5+京东POP财经口径!L5+'视频号+官网+小程序'!L5+快手!L5+唯品会!L5+'线下门店-直营'!L5+'线下门店-经销'!L5+线下渠道!L5+淘系达播!L5+抖音达播!L5</f>
        <v>8078731.43720458</v>
      </c>
      <c r="N5" s="8">
        <f>淘系!M5+抖音!M5+PDD!M5+得物!M5+京东自营财经口径!M5+京东POP财经口径!M5+'视频号+官网+小程序'!M5+快手!M5+唯品会!M5+'线下门店-直营'!M5+'线下门店-经销'!M5+线下渠道!M5+淘系达播!M5+抖音达播!M5</f>
        <v>7264882.58120579</v>
      </c>
      <c r="O5" s="8">
        <f>淘系!N5+抖音!N5+PDD!N5+得物!N5+京东自营财经口径!N5+京东POP财经口径!N5+'视频号+官网+小程序'!N5+快手!N5+唯品会!N5+'线下门店-直营'!N5+'线下门店-经销'!N5+线下渠道!N5+淘系达播!N5+抖音达播!N5</f>
        <v>5803843.48503029</v>
      </c>
      <c r="P5" s="8">
        <f>SUM(C5:O5)</f>
        <v>66408444.9748504</v>
      </c>
      <c r="Q5" s="8"/>
      <c r="R5" s="10" t="s">
        <v>83</v>
      </c>
      <c r="S5" s="6"/>
      <c r="T5" s="6"/>
      <c r="U5" s="83"/>
      <c r="V5" s="84"/>
      <c r="W5" s="84"/>
    </row>
    <row r="6" ht="16.8" spans="1:23">
      <c r="A6" s="32"/>
      <c r="B6" s="12" t="s">
        <v>85</v>
      </c>
      <c r="C6" s="12">
        <f>淘系!C6+抖音!C6+PDD!C6+得物!C6+京东自营财经口径!C6+京东POP财经口径!C6+'视频号+官网+小程序'!C6+快手!C6+唯品会!C6+'线下门店-直营'!C6++'线下门店-经销'!C6+线下渠道!C6+淘系达播!C6+抖音达播!C6</f>
        <v>38655631.2642235</v>
      </c>
      <c r="D6" s="12"/>
      <c r="E6" s="12">
        <f>淘系!D6+抖音!D6+PDD!D6+得物!D6+京东自营财经口径!D6+京东POP财经口径!D6+'视频号+官网+小程序'!D6+快手!D6+唯品会!D6+'线下门店-直营'!D6++'线下门店-经销'!D6+线下渠道!D6+淘系达播!D6+抖音达播!D6</f>
        <v>38582248.0925782</v>
      </c>
      <c r="F6" s="12">
        <f>淘系!E6+抖音!E6+PDD!E6+得物!E6+京东自营财经口径!E6+京东POP财经口径!E6+'视频号+官网+小程序'!E6+快手!E6+唯品会!E6+'线下门店-直营'!E6++'线下门店-经销'!E6+线下渠道!E6+淘系达播!E6+抖音达播!E6</f>
        <v>32900883.2757075</v>
      </c>
      <c r="G6" s="12">
        <f>淘系!F6+抖音!F6+PDD!F6+得物!F6+京东自营财经口径!F6+京东POP财经口径!F6+'视频号+官网+小程序'!F6+快手!F6+唯品会!F6+'线下门店-直营'!F6++'线下门店-经销'!F6+线下渠道!F6+淘系达播!F6+抖音达播!F6</f>
        <v>27774427.3102051</v>
      </c>
      <c r="H6" s="12">
        <f>淘系!G6+抖音!G6+PDD!G6+得物!G6+京东自营财经口径!G6+京东POP财经口径!G6+'视频号+官网+小程序'!G6+快手!G6+唯品会!G6+'线下门店-直营'!G6++'线下门店-经销'!G6+线下渠道!G6+淘系达播!G6+抖音达播!G6</f>
        <v>60823575.384849</v>
      </c>
      <c r="I6" s="12">
        <f>淘系!H6+抖音!H6+PDD!H6+得物!H6+京东自营财经口径!H6+京东POP财经口径!H6+'视频号+官网+小程序'!H6+快手!H6+唯品会!H6+'线下门店-直营'!H6++'线下门店-经销'!H6+线下渠道!H6+淘系达播!H6+抖音达播!H6</f>
        <v>54131265.9287559</v>
      </c>
      <c r="J6" s="12">
        <f>淘系!I6+抖音!I6+PDD!I6+得物!I6+京东自营财经口径!I6+京东POP财经口径!I6+'视频号+官网+小程序'!I6+快手!I6+唯品会!I6+'线下门店-直营'!I6++'线下门店-经销'!I6+线下渠道!I6+淘系达播!I6+抖音达播!I6</f>
        <v>37710758.9486412</v>
      </c>
      <c r="K6" s="12">
        <f>淘系!J6+抖音!J6+PDD!J6+得物!J6+京东自营财经口径!J6+京东POP财经口径!J6+'视频号+官网+小程序'!J6+快手!J6+唯品会!J6+'线下门店-直营'!J6++'线下门店-经销'!J6+线下渠道!J6+淘系达播!J6+抖音达播!J6</f>
        <v>53940593.3114689</v>
      </c>
      <c r="L6" s="12">
        <f>淘系!K6+抖音!K6+PDD!K6+得物!K6+京东自营财经口径!K6+京东POP财经口径!K6+'视频号+官网+小程序'!K6+快手!K6+唯品会!K6+'线下门店-直营'!K6++'线下门店-经销'!K6+线下渠道!K6+淘系达播!K6+抖音达播!K6</f>
        <v>40234860.1056449</v>
      </c>
      <c r="M6" s="12">
        <f>淘系!L6+抖音!L6+PDD!L6+得物!L6+京东自营财经口径!L6+京东POP财经口径!L6+'视频号+官网+小程序'!L6+快手!L6+唯品会!L6+'线下门店-直营'!L6++'线下门店-经销'!L6+线下渠道!L6+淘系达播!L6+抖音达播!L6</f>
        <v>70231540.1023581</v>
      </c>
      <c r="N6" s="12">
        <f>淘系!M6+抖音!M6+PDD!M6+得物!M6+京东自营财经口径!M6+京东POP财经口径!M6+'视频号+官网+小程序'!M6+快手!M6+唯品会!M6+'线下门店-直营'!M6++'线下门店-经销'!M6+线下渠道!M6+淘系达播!M6+抖音达播!M6</f>
        <v>64811039.2845482</v>
      </c>
      <c r="O6" s="12">
        <f>淘系!N6+抖音!N6+PDD!N6+得物!N6+京东自营财经口径!N6+京东POP财经口径!N6+'视频号+官网+小程序'!N6+快手!N6+唯品会!N6+'线下门店-直营'!N6++'线下门店-经销'!N6+线下渠道!N6+淘系达播!N6+抖音达播!N6</f>
        <v>51587221.5272814</v>
      </c>
      <c r="P6" s="12">
        <f>SUM(C6:O6)</f>
        <v>571384044.536262</v>
      </c>
      <c r="Q6" s="12"/>
      <c r="R6" s="10" t="s">
        <v>83</v>
      </c>
      <c r="S6" s="6"/>
      <c r="T6" s="6"/>
      <c r="U6" s="83"/>
      <c r="V6" s="84"/>
      <c r="W6" s="84"/>
    </row>
    <row r="7" ht="16.8" spans="1:23">
      <c r="A7" s="32"/>
      <c r="B7" s="14" t="s">
        <v>20</v>
      </c>
      <c r="C7" s="14">
        <f>1-C8/C6</f>
        <v>0.192741483847773</v>
      </c>
      <c r="D7" s="14"/>
      <c r="E7" s="14">
        <f t="shared" ref="E7:P7" si="0">1-E8/E6</f>
        <v>0.191117680394679</v>
      </c>
      <c r="F7" s="14">
        <f t="shared" si="0"/>
        <v>0.189671408516317</v>
      </c>
      <c r="G7" s="14">
        <f t="shared" si="0"/>
        <v>0.168214720357901</v>
      </c>
      <c r="H7" s="14">
        <f t="shared" si="0"/>
        <v>0.206009844688899</v>
      </c>
      <c r="I7" s="14">
        <f t="shared" si="0"/>
        <v>0.188590600547958</v>
      </c>
      <c r="J7" s="14">
        <f t="shared" si="0"/>
        <v>0.186599025381718</v>
      </c>
      <c r="K7" s="14">
        <f t="shared" si="0"/>
        <v>0.212744206312118</v>
      </c>
      <c r="L7" s="14">
        <f t="shared" si="0"/>
        <v>0.228074612335543</v>
      </c>
      <c r="M7" s="14">
        <f t="shared" si="0"/>
        <v>0.221557500233799</v>
      </c>
      <c r="N7" s="14">
        <f t="shared" si="0"/>
        <v>0.210452058084144</v>
      </c>
      <c r="O7" s="14">
        <f t="shared" si="0"/>
        <v>0.183614214038195</v>
      </c>
      <c r="P7" s="14">
        <f t="shared" si="0"/>
        <v>0.200979709097151</v>
      </c>
      <c r="Q7" s="14"/>
      <c r="R7" s="6" t="s">
        <v>83</v>
      </c>
      <c r="S7" s="6"/>
      <c r="T7" s="6"/>
      <c r="U7" s="83"/>
      <c r="V7" s="84"/>
      <c r="W7" s="84"/>
    </row>
    <row r="8" ht="16.8" spans="1:23">
      <c r="A8" s="32"/>
      <c r="B8" s="12" t="s">
        <v>86</v>
      </c>
      <c r="C8" s="12">
        <f>淘系!C8+抖音!C8+PDD!C8+得物!C8+京东自营财经口径!C8+京东POP财经口径!C8+'视频号+官网+小程序'!C8+快手!C8+唯品会!C8+'线下门店-直营'!C8++'线下门店-经销'!C8+线下渠道!C8+淘系达播!C8+抖音达播!C8</f>
        <v>31205087.5352847</v>
      </c>
      <c r="D8" s="12"/>
      <c r="E8" s="12">
        <f>淘系!D8+抖音!D8+PDD!D8+得物!D8+京东自营财经口径!D8+京东POP财经口径!D8+'视频号+官网+小程序'!D8+快手!D8+唯品会!D8+'线下门店-直营'!D8++'线下门店-经销'!D8+线下渠道!D8+淘系达播!D8+抖音达播!D8</f>
        <v>31208498.3327126</v>
      </c>
      <c r="F8" s="12">
        <f>淘系!E8+抖音!E8+PDD!E8+得物!E8+京东自营财经口径!E8+京东POP财经口径!E8+'视频号+官网+小程序'!E8+快手!E8+唯品会!E8+'线下门店-直营'!E8++'线下门店-经销'!E8+线下渠道!E8+淘系达播!E8+抖音达播!E8</f>
        <v>26660526.4033732</v>
      </c>
      <c r="G8" s="12">
        <f>淘系!F8+抖音!F8+PDD!F8+得物!F8+京东自营财经口径!F8+京东POP财经口径!F8+'视频号+官网+小程序'!F8+快手!F8+唯品会!F8+'线下门店-直营'!F8++'线下门店-经销'!F8+线下渠道!F8+淘系达播!F8+抖音达播!F8</f>
        <v>23102359.7871181</v>
      </c>
      <c r="H8" s="12">
        <f>淘系!G8+抖音!G8+PDD!G8+得物!G8+京东自营财经口径!G8+京东POP财经口径!G8+'视频号+官网+小程序'!G8+快手!G8+唯品会!G8+'线下门店-直营'!G8++'线下门店-经销'!G8+线下渠道!G8+淘系达播!G8+抖音达播!G8</f>
        <v>48293320.0663927</v>
      </c>
      <c r="I8" s="12">
        <f>淘系!H8+抖音!H8+PDD!H8+得物!H8+京东自营财经口径!H8+京东POP财经口径!H8+'视频号+官网+小程序'!H8+快手!H8+唯品会!H8+'线下门店-直营'!H8++'线下门店-经销'!H8+线下渠道!H8+淘系达播!H8+抖音达播!H8</f>
        <v>43922617.9788307</v>
      </c>
      <c r="J8" s="12">
        <f>淘系!I8+抖音!I8+PDD!I8+得物!I8+京东自营财经口径!I8+京东POP财经口径!I8+'视频号+官网+小程序'!I8+快手!I8+唯品会!I8+'线下门店-直营'!I8++'线下门店-经销'!I8+线下渠道!I8+淘系达播!I8+抖音达播!I8</f>
        <v>30673968.0824199</v>
      </c>
      <c r="K8" s="12">
        <f>淘系!J8+抖音!J8+PDD!J8+得物!J8+京东自营财经口径!J8+京东POP财经口径!J8+'视频号+官网+小程序'!J8+快手!J8+唯品会!J8+'线下门店-直营'!J8++'线下门店-经销'!J8+线下渠道!J8+淘系达播!J8+抖音达播!J8</f>
        <v>42465044.5994157</v>
      </c>
      <c r="L8" s="12">
        <f>淘系!K8+抖音!K8+PDD!K8+得物!K8+京东自营财经口径!K8+京东POP财经口径!K8+'视频号+官网+小程序'!K8+快手!K8+唯品会!K8+'线下门店-直营'!K8++'线下门店-经销'!K8+线下渠道!K8+淘系达播!K8+抖音达播!K8</f>
        <v>31058309.9846751</v>
      </c>
      <c r="M8" s="12">
        <f>淘系!L8+抖音!L8+PDD!L8+得物!L8+京东自营财经口径!L8+京东POP财经口径!L8+'视频号+官网+小程序'!L8+快手!L8+唯品会!L8+'线下门店-直营'!L8++'线下门店-经销'!L8+线下渠道!L8+淘系达播!L8+抖音达播!L8</f>
        <v>54671215.6397098</v>
      </c>
      <c r="N8" s="12">
        <f>淘系!M8+抖音!M8+PDD!M8+得物!M8+京东自营财经口径!M8+京东POP财经口径!M8+'视频号+官网+小程序'!M8+快手!M8+唯品会!M8+'线下门店-直营'!M8++'线下门店-经销'!M8+线下渠道!M8+淘系达播!M8+抖音达播!M8</f>
        <v>51171422.6805427</v>
      </c>
      <c r="O8" s="12">
        <f>淘系!N8+抖音!N8+PDD!N8+得物!N8+京东自营财经口径!N8+京东POP财经口径!N8+'视频号+官网+小程序'!N8+快手!N8+唯品会!N8+'线下门店-直营'!N8++'线下门店-经销'!N8+线下渠道!N8+淘系达播!N8+抖音达播!N8</f>
        <v>42115074.3921354</v>
      </c>
      <c r="P8" s="12">
        <f>SUM(C8:O8)</f>
        <v>456547445.482611</v>
      </c>
      <c r="Q8" s="12"/>
      <c r="R8" s="6" t="s">
        <v>83</v>
      </c>
      <c r="S8" s="6"/>
      <c r="T8" s="6"/>
      <c r="U8" s="83"/>
      <c r="V8" s="84"/>
      <c r="W8" s="84"/>
    </row>
    <row r="9" ht="16.8" spans="1:23">
      <c r="A9" s="6"/>
      <c r="B9" s="4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6"/>
      <c r="S9" s="6"/>
      <c r="T9" s="6"/>
      <c r="U9" s="83"/>
      <c r="V9" s="84"/>
      <c r="W9" s="84"/>
    </row>
    <row r="10" ht="16.8" spans="1:23">
      <c r="A10" s="32"/>
      <c r="B10" s="12" t="s">
        <v>22</v>
      </c>
      <c r="C10" s="12">
        <f>淘系!C10+抖音!C10+PDD!C10+得物!C10+京东自营财经口径!C10+京东POP财经口径!C10+'视频号+官网+小程序'!C10+快手!C10+唯品会!C10+'线下门店-直营'!C10++'线下门店-经销'!C10+线下渠道!C10+淘系达播!C10+抖音达播!C10</f>
        <v>43169030.0996109</v>
      </c>
      <c r="D10" s="12"/>
      <c r="E10" s="12">
        <f>淘系!D10+抖音!D10+PDD!D10+得物!D10+京东自营财经口径!D10+京东POP财经口径!D10+'视频号+官网+小程序'!D10+快手!D10+唯品会!D10+'线下门店-直营'!D10++'线下门店-经销'!D10+线下渠道!D10+淘系达播!D10+抖音达播!D10</f>
        <v>41319764.6276027</v>
      </c>
      <c r="F10" s="12">
        <f>淘系!E10+抖音!E10+PDD!E10+得物!E10+京东自营财经口径!E10+京东POP财经口径!E10+'视频号+官网+小程序'!E10+快手!E10+唯品会!E10+'线下门店-直营'!E10++'线下门店-经销'!E10+线下渠道!E10+淘系达播!E10+抖音达播!E10</f>
        <v>34649173.0179444</v>
      </c>
      <c r="G10" s="12">
        <f>淘系!F10+抖音!F10+PDD!F10+得物!F10+京东自营财经口径!F10+京东POP财经口径!F10+'视频号+官网+小程序'!F10+快手!F10+唯品会!F10+'线下门店-直营'!F10++'线下门店-经销'!F10+线下渠道!F10+淘系达播!F10+抖音达播!F10</f>
        <v>30349389.17141</v>
      </c>
      <c r="H10" s="12">
        <f>淘系!G10+抖音!G10+PDD!G10+得物!G10+京东自营财经口径!G10+京东POP财经口径!G10+'视频号+官网+小程序'!G10+快手!G10+唯品会!G10+'线下门店-直营'!G10++'线下门店-经销'!G10+线下渠道!G10+淘系达播!G10+抖音达播!G10</f>
        <v>62773132.0743423</v>
      </c>
      <c r="I10" s="12">
        <f>淘系!H10+抖音!H10+PDD!H10+得物!H10+京东自营财经口径!H10+京东POP财经口径!H10+'视频号+官网+小程序'!H10+快手!H10+唯品会!H10+'线下门店-直营'!H10++'线下门店-经销'!H10+线下渠道!H10+淘系达播!H10+抖音达播!H10</f>
        <v>57311535.5914867</v>
      </c>
      <c r="J10" s="12">
        <f>淘系!I10+抖音!I10+PDD!I10+得物!I10+京东自营财经口径!I10+京东POP财经口径!I10+'视频号+官网+小程序'!I10+快手!I10+唯品会!I10+'线下门店-直营'!I10++'线下门店-经销'!I10+线下渠道!I10+淘系达播!I10+抖音达播!I10</f>
        <v>40240744.0502943</v>
      </c>
      <c r="K10" s="12">
        <f>淘系!J10+抖音!J10+PDD!J10+得物!J10+京东自营财经口径!J10+京东POP财经口径!J10+'视频号+官网+小程序'!J10+快手!J10+唯品会!J10+'线下门店-直营'!J10++'线下门店-经销'!J10+线下渠道!J10+淘系达播!J10+抖音达播!J10</f>
        <v>55453829.5212764</v>
      </c>
      <c r="L10" s="12">
        <f>淘系!K10+抖音!K10+PDD!K10+得物!K10+京东自营财经口径!K10+京东POP财经口径!K10+'视频号+官网+小程序'!K10+快手!K10+唯品会!K10+'线下门店-直营'!K10++'线下门店-经销'!K10+线下渠道!K10+淘系达播!K10+抖音达播!K10</f>
        <v>40718428.5380385</v>
      </c>
      <c r="M10" s="12">
        <f>淘系!L10+抖音!L10+PDD!L10+得物!L10+京东自营财经口径!L10+京东POP财经口径!L10+'视频号+官网+小程序'!L10+快手!L10+唯品会!L10+'线下门店-直营'!L10++'线下门店-经销'!L10+线下渠道!L10+淘系达播!L10+抖音达播!L10</f>
        <v>71230328.9325347</v>
      </c>
      <c r="N10" s="12">
        <f>淘系!M10+抖音!M10+PDD!M10+得物!M10+京东自营财经口径!M10+京东POP财经口径!M10+'视频号+官网+小程序'!M10+快手!M10+唯品会!M10+'线下门店-直营'!M10++'线下门店-经销'!M10+线下渠道!M10+淘系达播!M10+抖音达播!M10</f>
        <v>66850933.4310996</v>
      </c>
      <c r="O10" s="12">
        <f>淘系!N10+抖音!N10+PDD!N10+得物!N10+京东自营财经口径!N10+京东POP财经口径!N10+'视频号+官网+小程序'!N10+快手!N10+唯品会!N10+'线下门店-直营'!N10++'线下门店-经销'!N10+线下渠道!N10+淘系达播!N10+抖音达播!N10</f>
        <v>55451704.9549411</v>
      </c>
      <c r="P10" s="12">
        <f t="shared" ref="P10:P16" si="1">SUM(C10:O10)</f>
        <v>599517994.010582</v>
      </c>
      <c r="Q10" s="12"/>
      <c r="R10" s="11" t="s">
        <v>87</v>
      </c>
      <c r="S10" s="6"/>
      <c r="T10" s="6"/>
      <c r="U10" s="83"/>
      <c r="V10" s="84"/>
      <c r="W10" s="84"/>
    </row>
    <row r="11" ht="16.8" spans="1:23">
      <c r="A11" s="6"/>
      <c r="B11" s="17" t="s">
        <v>23</v>
      </c>
      <c r="C11" s="85">
        <f>淘系!C11+抖音!C11+PDD!C11+得物!C11+京东自营财经口径!C11+京东POP财经口径!C11+'视频号+官网+小程序'!C11+快手!C11+唯品会!C11+'线下门店-直营'!C11+'线下门店-经销'!C11+线下渠道!C11+淘系达播!C11+抖音达播!C11</f>
        <v>1195159.19073273</v>
      </c>
      <c r="D11" s="85"/>
      <c r="E11" s="85">
        <f>淘系!D11+抖音!D11+PDD!D11+得物!D11+京东自营财经口径!D11+京东POP财经口径!D11+'视频号+官网+小程序'!D11+快手!D11+唯品会!D11+'线下门店-直营'!D11+'线下门店-经销'!D11+线下渠道!D11+淘系达播!D11+抖音达播!D11</f>
        <v>1300782.15391634</v>
      </c>
      <c r="F11" s="85">
        <f>淘系!E11+抖音!E11+PDD!E11+得物!E11+京东自营财经口径!E11+京东POP财经口径!E11+'视频号+官网+小程序'!E11+快手!E11+唯品会!E11+'线下门店-直营'!E11+'线下门店-经销'!E11+线下渠道!E11+淘系达播!E11+抖音达播!E11</f>
        <v>1017203.86867448</v>
      </c>
      <c r="G11" s="85">
        <f>淘系!F11+抖音!F11+PDD!F11+得物!F11+京东自营财经口径!F11+京东POP财经口径!F11+'视频号+官网+小程序'!F11+快手!F11+唯品会!F11+'线下门店-直营'!F11+'线下门店-经销'!F11+线下渠道!F11+淘系达播!F11+抖音达播!F11</f>
        <v>947622.992288241</v>
      </c>
      <c r="H11" s="85">
        <f>淘系!G11+抖音!G11+PDD!G11+得物!G11+京东自营财经口径!G11+京东POP财经口径!G11+'视频号+官网+小程序'!G11+快手!G11+唯品会!G11+'线下门店-直营'!G11+'线下门店-经销'!G11+线下渠道!G11+淘系达播!G11+抖音达播!G11</f>
        <v>1706368.40320392</v>
      </c>
      <c r="I11" s="85">
        <f>淘系!H11+抖音!H11+PDD!H11+得物!H11+京东自营财经口径!H11+京东POP财经口径!H11+'视频号+官网+小程序'!H11+快手!H11+唯品会!H11+'线下门店-直营'!H11+'线下门店-经销'!H11+线下渠道!H11+淘系达播!H11+抖音达播!H11</f>
        <v>1674116.62119616</v>
      </c>
      <c r="J11" s="85">
        <f>淘系!I11+抖音!I11+PDD!I11+得物!I11+京东自营财经口径!I11+京东POP财经口径!I11+'视频号+官网+小程序'!I11+快手!I11+唯品会!I11+'线下门店-直营'!I11+'线下门店-经销'!I11+线下渠道!I11+淘系达播!I11+抖音达播!I11</f>
        <v>1317289.19089376</v>
      </c>
      <c r="K11" s="85">
        <f>淘系!J11+抖音!J11+PDD!J11+得物!J11+京东自营财经口径!J11+京东POP财经口径!J11+'视频号+官网+小程序'!J11+快手!J11+唯品会!J11+'线下门店-直营'!J11+'线下门店-经销'!J11+线下渠道!J11+淘系达播!J11+抖音达播!J11</f>
        <v>1660136.2184492</v>
      </c>
      <c r="L11" s="85">
        <f>淘系!K11+抖音!K11+PDD!K11+得物!K11+京东自营财经口径!K11+京东POP财经口径!K11+'视频号+官网+小程序'!K11+快手!K11+唯品会!K11+'线下门店-直营'!K11+'线下门店-经销'!K11+线下渠道!K11+淘系达播!K11+抖音达播!K11</f>
        <v>1299971.76377208</v>
      </c>
      <c r="M11" s="85">
        <f>淘系!L11+抖音!L11+PDD!L11+得物!L11+京东自营财经口径!L11+京东POP财经口径!L11+'视频号+官网+小程序'!L11+快手!L11+唯品会!L11+'线下门店-直营'!L11+'线下门店-经销'!L11+线下渠道!L11+淘系达播!L11+抖音达播!L11</f>
        <v>1951796.21061715</v>
      </c>
      <c r="N11" s="85">
        <f>淘系!M11+抖音!M11+PDD!M11+得物!M11+京东自营财经口径!M11+京东POP财经口径!M11+'视频号+官网+小程序'!M11+快手!M11+唯品会!M11+'线下门店-直营'!M11+'线下门店-经销'!M11+线下渠道!M11+淘系达播!M11+抖音达播!M11</f>
        <v>2192450.10546958</v>
      </c>
      <c r="O11" s="85">
        <f>淘系!N11+抖音!N11+PDD!N11+得物!N11+京东自营财经口径!N11+京东POP财经口径!N11+'视频号+官网+小程序'!N11+快手!N11+唯品会!N11+'线下门店-直营'!N11+'线下门店-经销'!N11+线下渠道!N11+淘系达播!N11+抖音达播!N11</f>
        <v>2086010.28026412</v>
      </c>
      <c r="P11" s="37">
        <f t="shared" si="1"/>
        <v>18348906.9994777</v>
      </c>
      <c r="Q11" s="38">
        <f>P11/P8</f>
        <v>0.0401905808060789</v>
      </c>
      <c r="R11" s="6" t="s">
        <v>88</v>
      </c>
      <c r="S11" s="20">
        <f>P11/$P$10</f>
        <v>0.0306060988707436</v>
      </c>
      <c r="T11" s="6"/>
      <c r="U11" s="83"/>
      <c r="V11" s="84"/>
      <c r="W11" s="84"/>
    </row>
    <row r="12" ht="16.8" spans="1:23">
      <c r="A12" s="6"/>
      <c r="B12" s="17" t="s">
        <v>25</v>
      </c>
      <c r="C12" s="85">
        <f>淘系!C12+抖音!C12+PDD!C12+得物!C12+京东自营财经口径!C12+京东POP财经口径!C12+'视频号+官网+小程序'!C12+快手!C12+唯品会!C12+'线下门店-直营'!C12+'线下门店-经销'!C12+线下渠道!C12+淘系达播!C12+抖音达播!C12</f>
        <v>3374204.7287499</v>
      </c>
      <c r="D12" s="85"/>
      <c r="E12" s="85">
        <f>淘系!D12+抖音!D12+PDD!D12+得物!D12+京东自营财经口径!D12+京东POP财经口径!D12+'视频号+官网+小程序'!D12+快手!D12+唯品会!D12+'线下门店-直营'!D12+'线下门店-经销'!D12+线下渠道!D12+淘系达播!D12+抖音达播!D12</f>
        <v>3225504.02840925</v>
      </c>
      <c r="F12" s="85">
        <f>淘系!E12+抖音!E12+PDD!E12+得物!E12+京东自营财经口径!E12+京东POP财经口径!E12+'视频号+官网+小程序'!E12+快手!E12+唯品会!E12+'线下门店-直营'!E12+'线下门店-经销'!E12+线下渠道!E12+淘系达播!E12+抖音达播!E12</f>
        <v>2793045.82634499</v>
      </c>
      <c r="G12" s="85">
        <f>淘系!F12+抖音!F12+PDD!F12+得物!F12+京东自营财经口径!F12+京东POP财经口径!F12+'视频号+官网+小程序'!F12+快手!F12+唯品会!F12+'线下门店-直营'!F12+'线下门店-经销'!F12+线下渠道!F12+淘系达播!F12+抖音达播!F12</f>
        <v>2421445.07753509</v>
      </c>
      <c r="H12" s="85">
        <f>淘系!G12+抖音!G12+PDD!G12+得物!G12+京东自营财经口径!G12+京东POP财经口径!G12+'视频号+官网+小程序'!G12+快手!G12+唯品会!G12+'线下门店-直营'!G12+'线下门店-经销'!G12+线下渠道!G12+淘系达播!G12+抖音达播!G12</f>
        <v>5483400.14133421</v>
      </c>
      <c r="I12" s="85">
        <f>淘系!H12+抖音!H12+PDD!H12+得物!H12+京东自营财经口径!H12+京东POP财经口径!H12+'视频号+官网+小程序'!H12+快手!H12+唯品会!H12+'线下门店-直营'!H12+'线下门店-经销'!H12+线下渠道!H12+淘系达播!H12+抖音达播!H12</f>
        <v>4885124.80702923</v>
      </c>
      <c r="J12" s="85">
        <f>淘系!I12+抖音!I12+PDD!I12+得物!I12+京东自营财经口径!I12+京东POP财经口径!I12+'视频号+官网+小程序'!I12+快手!I12+唯品会!I12+'线下门店-直营'!I12+'线下门店-经销'!I12+线下渠道!I12+淘系达播!I12+抖音达播!I12</f>
        <v>3103718.76294483</v>
      </c>
      <c r="K12" s="85">
        <f>淘系!J12+抖音!J12+PDD!J12+得物!J12+京东自营财经口径!J12+京东POP财经口径!J12+'视频号+官网+小程序'!J12+快手!J12+唯品会!J12+'线下门店-直营'!J12+'线下门店-经销'!J12+线下渠道!J12+淘系达播!J12+抖音达播!J12</f>
        <v>4576920.76573863</v>
      </c>
      <c r="L12" s="85">
        <f>淘系!K12+抖音!K12+PDD!K12+得物!K12+京东自营财经口径!K12+京东POP财经口径!K12+'视频号+官网+小程序'!K12+快手!K12+唯品会!K12+'线下门店-直营'!K12+'线下门店-经销'!K12+线下渠道!K12+淘系达播!K12+抖音达播!K12</f>
        <v>3197466.28135588</v>
      </c>
      <c r="M12" s="85">
        <f>淘系!L12+抖音!L12+PDD!L12+得物!L12+京东自营财经口径!L12+京东POP财经口径!L12+'视频号+官网+小程序'!L12+快手!L12+唯品会!L12+'线下门店-直营'!L12+'线下门店-经销'!L12+线下渠道!L12+淘系达播!L12+抖音达播!L12</f>
        <v>6268013.48070518</v>
      </c>
      <c r="N12" s="85">
        <f>淘系!M12+抖音!M12+PDD!M12+得物!M12+京东自营财经口径!M12+京东POP财经口径!M12+'视频号+官网+小程序'!M12+快手!M12+唯品会!M12+'线下门店-直营'!M12+'线下门店-经销'!M12+线下渠道!M12+淘系达播!M12+抖音达播!M12</f>
        <v>5236290.43051779</v>
      </c>
      <c r="O12" s="85">
        <f>淘系!N12+抖音!N12+PDD!N12+得物!N12+京东自营财经口径!N12+京东POP财经口径!N12+'视频号+官网+小程序'!N12+快手!N12+唯品会!N12+'线下门店-直营'!N12+'线下门店-经销'!N12+线下渠道!N12+淘系达播!N12+抖音达播!N12</f>
        <v>4234950.42955383</v>
      </c>
      <c r="P12" s="37">
        <f t="shared" si="1"/>
        <v>48800084.7602188</v>
      </c>
      <c r="Q12" s="38">
        <f>P12/P8</f>
        <v>0.10688940490869</v>
      </c>
      <c r="R12" s="6" t="s">
        <v>83</v>
      </c>
      <c r="S12" s="20">
        <f>P12/$P$10</f>
        <v>0.0813988658351387</v>
      </c>
      <c r="T12" s="6"/>
      <c r="U12" s="83"/>
      <c r="V12" s="84"/>
      <c r="W12" s="84"/>
    </row>
    <row r="13" ht="16.8" spans="1:23">
      <c r="A13" s="6"/>
      <c r="B13" s="17" t="s">
        <v>27</v>
      </c>
      <c r="C13" s="85">
        <f>淘系!C13+抖音!C13+PDD!C13+得物!C13+京东自营财经口径!C13+京东POP财经口径!C13+'视频号+官网+小程序'!C13+快手!C13+唯品会!C13+'线下门店-直营'!C13+'线下门店-经销'!C13+线下渠道!C13+淘系达播!C13+抖音达播!C13</f>
        <v>7394578.68258404</v>
      </c>
      <c r="D13" s="85"/>
      <c r="E13" s="85">
        <f>淘系!D13+抖音!D13+PDD!D13+得物!D13+京东自营财经口径!D13+京东POP财经口径!D13+'视频号+官网+小程序'!D13+快手!D13+唯品会!D13+'线下门店-直营'!D13+'线下门店-经销'!D13+线下渠道!D13+淘系达播!D13+抖音达播!D13</f>
        <v>5584980.13869014</v>
      </c>
      <c r="F13" s="85">
        <f>淘系!E13+抖音!E13+PDD!E13+得物!E13+京东自营财经口径!E13+京东POP财经口径!E13+'视频号+官网+小程序'!E13+快手!E13+唯品会!E13+'线下门店-直营'!E13+'线下门店-经销'!E13+线下渠道!E13+淘系达播!E13+抖音达播!E13</f>
        <v>4178396.8769444</v>
      </c>
      <c r="G13" s="85">
        <f>淘系!F13+抖音!F13+PDD!F13+得物!F13+京东自营财经口径!F13+京东POP财经口径!F13+'视频号+官网+小程序'!F13+快手!F13+唯品会!F13+'线下门店-直营'!F13+'线下门店-经销'!F13+线下渠道!F13+淘系达播!F13+抖音达播!F13</f>
        <v>3877961.28435304</v>
      </c>
      <c r="H13" s="85">
        <f>淘系!G13+抖音!G13+PDD!G13+得物!G13+京东自营财经口径!G13+京东POP财经口径!G13+'视频号+官网+小程序'!G13+快手!G13+唯品会!G13+'线下门店-直营'!G13+'线下门店-经销'!G13+线下渠道!G13+淘系达播!G13+抖音达播!G13</f>
        <v>7290043.4954846</v>
      </c>
      <c r="I13" s="85">
        <f>淘系!H13+抖音!H13+PDD!H13+得物!H13+京东自营财经口径!H13+京东POP财经口径!H13+'视频号+官网+小程序'!H13+快手!H13+唯品会!H13+'线下门店-直营'!H13+'线下门店-经销'!H13+线下渠道!H13+淘系达播!H13+抖音达播!H13</f>
        <v>6829676.21215004</v>
      </c>
      <c r="J13" s="85">
        <f>淘系!I13+抖音!I13+PDD!I13+得物!I13+京东自营财经口径!I13+京东POP财经口径!I13+'视频号+官网+小程序'!I13+快手!I13+唯品会!I13+'线下门店-直营'!I13+'线下门店-经销'!I13+线下渠道!I13+淘系达播!I13+抖音达播!I13</f>
        <v>5145767.98182824</v>
      </c>
      <c r="K13" s="85">
        <f>淘系!J13+抖音!J13+PDD!J13+得物!J13+京东自营财经口径!J13+京东POP财经口径!J13+'视频号+官网+小程序'!J13+快手!J13+唯品会!J13+'线下门店-直营'!J13+'线下门店-经销'!J13+线下渠道!J13+淘系达播!J13+抖音达播!J13</f>
        <v>6751727.89533766</v>
      </c>
      <c r="L13" s="85">
        <f>淘系!K13+抖音!K13+PDD!K13+得物!K13+京东自营财经口径!K13+京东POP财经口径!K13+'视频号+官网+小程序'!K13+快手!K13+唯品会!K13+'线下门店-直营'!K13+'线下门店-经销'!K13+线下渠道!K13+淘系达播!K13+抖音达播!K13</f>
        <v>5162680.46882492</v>
      </c>
      <c r="M13" s="85">
        <f>淘系!L13+抖音!L13+PDD!L13+得物!L13+京东自营财经口径!L13+京东POP财经口径!L13+'视频号+官网+小程序'!L13+快手!L13+唯品会!L13+'线下门店-直营'!L13+'线下门店-经销'!L13+线下渠道!L13+淘系达播!L13+抖音达播!L13</f>
        <v>8339303.60291982</v>
      </c>
      <c r="N13" s="85">
        <f>淘系!M13+抖音!M13+PDD!M13+得物!M13+京东自营财经口径!M13+京东POP财经口径!M13+'视频号+官网+小程序'!M13+快手!M13+唯品会!M13+'线下门店-直营'!M13+'线下门店-经销'!M13+线下渠道!M13+淘系达播!M13+抖音达播!M13</f>
        <v>8250770.24798306</v>
      </c>
      <c r="O13" s="85">
        <f>淘系!N13+抖音!N13+PDD!N13+得物!N13+京东自营财经口径!N13+京东POP财经口径!N13+'视频号+官网+小程序'!N13+快手!N13+唯品会!N13+'线下门店-直营'!N13+'线下门店-经销'!N13+线下渠道!N13+淘系达播!N13+抖音达播!N13</f>
        <v>7015669.86189429</v>
      </c>
      <c r="P13" s="37">
        <f t="shared" si="1"/>
        <v>75821556.7489942</v>
      </c>
      <c r="Q13" s="38">
        <f>P13/P8</f>
        <v>0.166075963186793</v>
      </c>
      <c r="R13" s="11" t="s">
        <v>83</v>
      </c>
      <c r="S13" s="20">
        <f>P13/$P$10</f>
        <v>0.126470860768953</v>
      </c>
      <c r="T13" s="6"/>
      <c r="U13" s="83"/>
      <c r="V13" s="84"/>
      <c r="W13" s="84"/>
    </row>
    <row r="14" ht="16.8" spans="1:23">
      <c r="A14" s="6"/>
      <c r="B14" s="21" t="s">
        <v>28</v>
      </c>
      <c r="C14" s="40">
        <f>SUM(C11:C13)</f>
        <v>11963942.6020667</v>
      </c>
      <c r="D14" s="40"/>
      <c r="E14" s="40">
        <f t="shared" ref="E14:O14" si="2">SUM(E11:E13)</f>
        <v>10111266.3210157</v>
      </c>
      <c r="F14" s="40">
        <f t="shared" si="2"/>
        <v>7988646.57196387</v>
      </c>
      <c r="G14" s="40">
        <f t="shared" si="2"/>
        <v>7247029.35417637</v>
      </c>
      <c r="H14" s="40">
        <f t="shared" si="2"/>
        <v>14479812.0400227</v>
      </c>
      <c r="I14" s="40">
        <f t="shared" si="2"/>
        <v>13388917.6403754</v>
      </c>
      <c r="J14" s="40">
        <f t="shared" si="2"/>
        <v>9566775.93566682</v>
      </c>
      <c r="K14" s="40">
        <f t="shared" si="2"/>
        <v>12988784.8795255</v>
      </c>
      <c r="L14" s="40">
        <f t="shared" si="2"/>
        <v>9660118.51395288</v>
      </c>
      <c r="M14" s="40">
        <f t="shared" si="2"/>
        <v>16559113.2942421</v>
      </c>
      <c r="N14" s="40">
        <f t="shared" si="2"/>
        <v>15679510.7839704</v>
      </c>
      <c r="O14" s="40">
        <f t="shared" si="2"/>
        <v>13336630.5717122</v>
      </c>
      <c r="P14" s="40">
        <f t="shared" si="1"/>
        <v>142970548.508691</v>
      </c>
      <c r="Q14" s="41">
        <f>P14/P8</f>
        <v>0.313155948901561</v>
      </c>
      <c r="R14" s="6"/>
      <c r="S14" s="20">
        <f>P14/$P$10</f>
        <v>0.238475825474835</v>
      </c>
      <c r="T14" s="6"/>
      <c r="U14" s="83"/>
      <c r="V14" s="84"/>
      <c r="W14" s="84"/>
    </row>
    <row r="15" ht="16.8" spans="1:23">
      <c r="A15" s="32"/>
      <c r="B15" s="12" t="s">
        <v>29</v>
      </c>
      <c r="C15" s="12">
        <f>C8</f>
        <v>31205087.5352847</v>
      </c>
      <c r="D15" s="12"/>
      <c r="E15" s="12">
        <f t="shared" ref="E15:O15" si="3">E8</f>
        <v>31208498.3327126</v>
      </c>
      <c r="F15" s="12">
        <f t="shared" si="3"/>
        <v>26660526.4033732</v>
      </c>
      <c r="G15" s="12">
        <f t="shared" si="3"/>
        <v>23102359.7871181</v>
      </c>
      <c r="H15" s="12">
        <f t="shared" si="3"/>
        <v>48293320.0663927</v>
      </c>
      <c r="I15" s="12">
        <f t="shared" si="3"/>
        <v>43922617.9788307</v>
      </c>
      <c r="J15" s="12">
        <f t="shared" si="3"/>
        <v>30673968.0824199</v>
      </c>
      <c r="K15" s="12">
        <f t="shared" si="3"/>
        <v>42465044.5994157</v>
      </c>
      <c r="L15" s="12">
        <f t="shared" si="3"/>
        <v>31058309.9846751</v>
      </c>
      <c r="M15" s="12">
        <f t="shared" si="3"/>
        <v>54671215.6397098</v>
      </c>
      <c r="N15" s="12">
        <f t="shared" si="3"/>
        <v>51171422.6805427</v>
      </c>
      <c r="O15" s="12">
        <f t="shared" si="3"/>
        <v>42115074.3921354</v>
      </c>
      <c r="P15" s="12">
        <f t="shared" si="1"/>
        <v>456547445.482611</v>
      </c>
      <c r="Q15" s="12"/>
      <c r="R15" s="6"/>
      <c r="S15" s="6"/>
      <c r="T15" s="6"/>
      <c r="U15" s="83"/>
      <c r="V15" s="84"/>
      <c r="W15" s="84"/>
    </row>
    <row r="16" ht="16.8" spans="1:23">
      <c r="A16" s="32"/>
      <c r="B16" s="12" t="s">
        <v>30</v>
      </c>
      <c r="C16" s="12">
        <f>+C8/1.13</f>
        <v>27615121.7126413</v>
      </c>
      <c r="D16" s="12"/>
      <c r="E16" s="12">
        <f t="shared" ref="E16:O16" si="4">+E8/1.13</f>
        <v>27618140.1174448</v>
      </c>
      <c r="F16" s="12">
        <f t="shared" si="4"/>
        <v>23593386.1976754</v>
      </c>
      <c r="G16" s="12">
        <f t="shared" si="4"/>
        <v>20444566.1832904</v>
      </c>
      <c r="H16" s="12">
        <f t="shared" si="4"/>
        <v>42737451.3861883</v>
      </c>
      <c r="I16" s="12">
        <f t="shared" si="4"/>
        <v>38869573.4325935</v>
      </c>
      <c r="J16" s="12">
        <f t="shared" si="4"/>
        <v>27145104.4977167</v>
      </c>
      <c r="K16" s="12">
        <f t="shared" si="4"/>
        <v>37579685.4862086</v>
      </c>
      <c r="L16" s="12">
        <f t="shared" si="4"/>
        <v>27485230.0749337</v>
      </c>
      <c r="M16" s="12">
        <f t="shared" si="4"/>
        <v>48381606.7608052</v>
      </c>
      <c r="N16" s="12">
        <f t="shared" si="4"/>
        <v>45284444.8500378</v>
      </c>
      <c r="O16" s="12">
        <f t="shared" si="4"/>
        <v>37269977.3381729</v>
      </c>
      <c r="P16" s="12">
        <f t="shared" si="1"/>
        <v>404024288.037709</v>
      </c>
      <c r="Q16" s="12"/>
      <c r="R16" s="6"/>
      <c r="S16" s="6"/>
      <c r="T16" s="6"/>
      <c r="U16" s="53">
        <f>P16-淘系!O16-淘系达播!O16-抖音!O16-抖音达播!O16-快手!O16-京东POP财经口径!O16-京东自营财经口径!O16-PDD!O16-得物!O16-'视频号+官网+小程序'!O16-唯品会!O16-'线下门店-直营'!O16-'线下门店-经销'!O16-线下渠道!O16</f>
        <v>0</v>
      </c>
      <c r="V16" s="84"/>
      <c r="W16" s="84"/>
    </row>
    <row r="17" spans="1:23">
      <c r="A17" s="6"/>
      <c r="B17" s="6"/>
      <c r="C17" s="52">
        <f>C14/C15</f>
        <v>0.383397181262145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53">
        <f>P17-淘系!O17-淘系达播!O17-抖音!O17-抖音达播!O17-快手!O17-京东POP财经口径!O17-京东自营财经口径!O17-PDD!O17-得物!O17-'视频号+官网+小程序'!O17-唯品会!O17-'线下门店-直营'!O17-'线下门店-经销'!O17-线下渠道!O17</f>
        <v>0</v>
      </c>
      <c r="V17" s="84"/>
      <c r="W17" s="84"/>
    </row>
    <row r="18" ht="16.8" spans="1:23">
      <c r="A18" s="6"/>
      <c r="B18" s="17" t="s">
        <v>31</v>
      </c>
      <c r="C18" s="37">
        <f>淘系!C18+抖音!C18+PDD!C18+得物!C18+京东自营财经口径!C18+京东POP财经口径!C18+'视频号+官网+小程序'!C18+快手!C18+唯品会!C18+'线下门店-直营'!C18+'线下门店-经销'!C18+线下渠道!C18+淘系达播!C18+抖音达播!C18</f>
        <v>13519374.9850739</v>
      </c>
      <c r="D18" s="37"/>
      <c r="E18" s="37">
        <f>淘系!D18+抖音!D18+PDD!D18+得物!D18+京东自营财经口径!D18+京东POP财经口径!D18+'视频号+官网+小程序'!D18+快手!D18+唯品会!D18+'线下门店-直营'!D18+'线下门店-经销'!D18+线下渠道!D18+淘系达播!D18+抖音达播!D18</f>
        <v>13428661.7001208</v>
      </c>
      <c r="F18" s="37">
        <f>淘系!E18+抖音!E18+PDD!E18+得物!E18+京东自营财经口径!E18+京东POP财经口径!E18+'视频号+官网+小程序'!E18+快手!E18+唯品会!E18+'线下门店-直营'!E18+'线下门店-经销'!E18+线下渠道!E18+淘系达播!E18+抖音达播!E18</f>
        <v>11966212.8056056</v>
      </c>
      <c r="G18" s="37">
        <f>淘系!F18+抖音!F18+PDD!F18+得物!F18+京东自营财经口径!F18+京东POP财经口径!F18+'视频号+官网+小程序'!F18+快手!F18+唯品会!F18+'线下门店-直营'!F18+'线下门店-经销'!F18+线下渠道!F18+淘系达播!F18+抖音达播!F18</f>
        <v>10347616.7683095</v>
      </c>
      <c r="H18" s="37">
        <f>淘系!G18+抖音!G18+PDD!G18+得物!G18+京东自营财经口径!G18+京东POP财经口径!G18+'视频号+官网+小程序'!G18+快手!G18+唯品会!G18+'线下门店-直营'!G18+'线下门店-经销'!G18+线下渠道!G18+淘系达播!G18+抖音达播!G18</f>
        <v>19576713.1182192</v>
      </c>
      <c r="I18" s="37">
        <f>淘系!H18+抖音!H18+PDD!H18+得物!H18+京东自营财经口径!H18+京东POP财经口径!H18+'视频号+官网+小程序'!H18+快手!H18+唯品会!H18+'线下门店-直营'!H18+'线下门店-经销'!H18+线下渠道!H18+淘系达播!H18+抖音达播!H18</f>
        <v>17979626.5984226</v>
      </c>
      <c r="J18" s="37">
        <f>淘系!I18+抖音!I18+PDD!I18+得物!I18+京东自营财经口径!I18+京东POP财经口径!I18+'视频号+官网+小程序'!I18+快手!I18+唯品会!I18+'线下门店-直营'!I18+'线下门店-经销'!I18+线下渠道!I18+淘系达播!I18+抖音达播!I18</f>
        <v>11695230.6120084</v>
      </c>
      <c r="K18" s="37">
        <f>淘系!J18+抖音!J18+PDD!J18+得物!J18+京东自营财经口径!J18+京东POP财经口径!J18+'视频号+官网+小程序'!J18+快手!J18+唯品会!J18+'线下门店-直营'!J18+'线下门店-经销'!J18+线下渠道!J18+淘系达播!J18+抖音达播!J18</f>
        <v>16035701.4184799</v>
      </c>
      <c r="L18" s="37">
        <f>淘系!K18+抖音!K18+PDD!K18+得物!K18+京东自营财经口径!K18+京东POP财经口径!K18+'视频号+官网+小程序'!K18+快手!K18+唯品会!K18+'线下门店-直营'!K18+'线下门店-经销'!K18+线下渠道!K18+淘系达播!K18+抖音达播!K18</f>
        <v>11502650.674456</v>
      </c>
      <c r="M18" s="37">
        <f>淘系!L18+抖音!L18+PDD!L18+得物!L18+京东自营财经口径!L18+京东POP财经口径!L18+'视频号+官网+小程序'!L18+快手!L18+唯品会!L18+'线下门店-直营'!L18+'线下门店-经销'!L18+线下渠道!L18+淘系达播!L18+抖音达播!L18</f>
        <v>19921815.475403</v>
      </c>
      <c r="N18" s="37">
        <f>淘系!M18+抖音!M18+PDD!M18+得物!M18+京东自营财经口径!M18+京东POP财经口径!M18+'视频号+官网+小程序'!M18+快手!M18+唯品会!M18+'线下门店-直营'!M18+'线下门店-经销'!M18+线下渠道!M18+淘系达播!M18+抖音达播!M18</f>
        <v>18172578.0000154</v>
      </c>
      <c r="O18" s="37">
        <f>淘系!N18+抖音!N18+PDD!N18+得物!N18+京东自营财经口径!N18+京东POP财经口径!N18+'视频号+官网+小程序'!N18+快手!N18+唯品会!N18+'线下门店-直营'!N18+'线下门店-经销'!N18+线下渠道!N18+淘系达播!N18+抖音达播!N18</f>
        <v>14738371.8009501</v>
      </c>
      <c r="P18" s="37">
        <f>SUM(C18:O18)</f>
        <v>178884553.957064</v>
      </c>
      <c r="Q18" s="38">
        <f>P18/P16</f>
        <v>0.442756931336684</v>
      </c>
      <c r="R18" s="6"/>
      <c r="S18" s="6" t="s">
        <v>89</v>
      </c>
      <c r="T18" s="6"/>
      <c r="U18" s="53">
        <f>P18-淘系!O18-淘系达播!O18-抖音!O18-抖音达播!O18-快手!O18-京东POP财经口径!O18-京东自营财经口径!O18-PDD!O18-得物!O18-'视频号+官网+小程序'!O18-唯品会!O18-'线下门店-直营'!O18-'线下门店-经销'!O18-线下渠道!O18</f>
        <v>0</v>
      </c>
      <c r="V18" s="84"/>
      <c r="W18" s="84"/>
    </row>
    <row r="19" ht="16.8" spans="1:23">
      <c r="A19" s="6"/>
      <c r="B19" s="21" t="s">
        <v>32</v>
      </c>
      <c r="C19" s="40">
        <f>C16-C18</f>
        <v>14095746.7275675</v>
      </c>
      <c r="D19" s="40"/>
      <c r="E19" s="40">
        <f t="shared" ref="E19:O19" si="5">E16-E18</f>
        <v>14189478.417324</v>
      </c>
      <c r="F19" s="40">
        <f t="shared" si="5"/>
        <v>11627173.3920698</v>
      </c>
      <c r="G19" s="40">
        <f t="shared" si="5"/>
        <v>10096949.4149809</v>
      </c>
      <c r="H19" s="40">
        <f t="shared" si="5"/>
        <v>23160738.2679691</v>
      </c>
      <c r="I19" s="40">
        <f t="shared" si="5"/>
        <v>20889946.8341709</v>
      </c>
      <c r="J19" s="40">
        <f t="shared" si="5"/>
        <v>15449873.8857083</v>
      </c>
      <c r="K19" s="40">
        <f t="shared" si="5"/>
        <v>21543984.0677287</v>
      </c>
      <c r="L19" s="40">
        <f t="shared" si="5"/>
        <v>15982579.4004778</v>
      </c>
      <c r="M19" s="40">
        <f t="shared" si="5"/>
        <v>28459791.2854022</v>
      </c>
      <c r="N19" s="40">
        <f t="shared" si="5"/>
        <v>27111866.8500224</v>
      </c>
      <c r="O19" s="40">
        <f t="shared" si="5"/>
        <v>22531605.5372227</v>
      </c>
      <c r="P19" s="40">
        <f>SUM(C19:O19)</f>
        <v>225139734.080644</v>
      </c>
      <c r="Q19" s="41">
        <f>P19/$P$16</f>
        <v>0.557243068663316</v>
      </c>
      <c r="R19" s="6"/>
      <c r="S19" s="35">
        <f>P16*0.12</f>
        <v>48482914.564525</v>
      </c>
      <c r="T19" s="6"/>
      <c r="U19" s="53">
        <f>P19-淘系!O19-淘系达播!O19-抖音!O19-抖音达播!O19-快手!O19-京东POP财经口径!O19-京东自营财经口径!O19-PDD!O19-得物!O19-'视频号+官网+小程序'!O19-唯品会!O19-'线下门店-直营'!O19-'线下门店-经销'!O19-线下渠道!O19</f>
        <v>0</v>
      </c>
      <c r="V19" s="84"/>
      <c r="W19" s="84"/>
    </row>
    <row r="20" ht="16.8" spans="1:23">
      <c r="A20" s="36"/>
      <c r="B20" s="4" t="s">
        <v>33</v>
      </c>
      <c r="C20" s="36">
        <f>C16*2.5%</f>
        <v>690378.042816034</v>
      </c>
      <c r="D20" s="36"/>
      <c r="E20" s="36">
        <f t="shared" ref="E20:O20" si="6">E16*2.5%</f>
        <v>690453.50293612</v>
      </c>
      <c r="F20" s="36">
        <f t="shared" si="6"/>
        <v>589834.654941884</v>
      </c>
      <c r="G20" s="36">
        <f t="shared" si="6"/>
        <v>511114.15458226</v>
      </c>
      <c r="H20" s="36">
        <f t="shared" si="6"/>
        <v>1068436.28465471</v>
      </c>
      <c r="I20" s="36">
        <f t="shared" si="6"/>
        <v>971739.335814838</v>
      </c>
      <c r="J20" s="36">
        <f t="shared" si="6"/>
        <v>678627.612442918</v>
      </c>
      <c r="K20" s="36">
        <f t="shared" si="6"/>
        <v>939492.137155215</v>
      </c>
      <c r="L20" s="36">
        <f t="shared" si="6"/>
        <v>687130.751873343</v>
      </c>
      <c r="M20" s="36">
        <f t="shared" si="6"/>
        <v>1209540.16902013</v>
      </c>
      <c r="N20" s="36">
        <f t="shared" si="6"/>
        <v>1132111.12125094</v>
      </c>
      <c r="O20" s="36">
        <f t="shared" si="6"/>
        <v>931749.433454322</v>
      </c>
      <c r="P20" s="36">
        <f>SUM(C20:O20)</f>
        <v>10100607.2009427</v>
      </c>
      <c r="Q20" s="42">
        <v>0.025</v>
      </c>
      <c r="R20" s="6"/>
      <c r="S20" s="35"/>
      <c r="T20" s="6"/>
      <c r="U20" s="53">
        <f>P20-淘系!O20-淘系达播!O20-抖音!O20-抖音达播!O20-快手!O20-京东POP财经口径!O20-京东自营财经口径!O20-PDD!O20-得物!O20-'视频号+官网+小程序'!O20-唯品会!O20-'线下门店-直营'!O20-'线下门店-经销'!O20-线下渠道!O20</f>
        <v>40154.7056694266</v>
      </c>
      <c r="V20" s="84"/>
      <c r="W20" s="84"/>
    </row>
    <row r="21" ht="16.8" spans="1:23">
      <c r="A21" s="6"/>
      <c r="B21" s="21" t="s">
        <v>35</v>
      </c>
      <c r="C21" s="40">
        <f>SUM(C18,C20)</f>
        <v>14209753.0278899</v>
      </c>
      <c r="D21" s="40"/>
      <c r="E21" s="40">
        <f t="shared" ref="E21:O21" si="7">SUM(E18,E20)</f>
        <v>14119115.2030569</v>
      </c>
      <c r="F21" s="40">
        <f t="shared" si="7"/>
        <v>12556047.4605475</v>
      </c>
      <c r="G21" s="40">
        <f t="shared" si="7"/>
        <v>10858730.9228918</v>
      </c>
      <c r="H21" s="40">
        <f t="shared" si="7"/>
        <v>20645149.4028739</v>
      </c>
      <c r="I21" s="40">
        <f t="shared" si="7"/>
        <v>18951365.9342374</v>
      </c>
      <c r="J21" s="40">
        <f t="shared" si="7"/>
        <v>12373858.2244513</v>
      </c>
      <c r="K21" s="40">
        <f t="shared" si="7"/>
        <v>16975193.5556351</v>
      </c>
      <c r="L21" s="40">
        <f t="shared" si="7"/>
        <v>12189781.4263293</v>
      </c>
      <c r="M21" s="40">
        <f t="shared" si="7"/>
        <v>21131355.6444231</v>
      </c>
      <c r="N21" s="40">
        <f t="shared" si="7"/>
        <v>19304689.1212664</v>
      </c>
      <c r="O21" s="40">
        <f t="shared" si="7"/>
        <v>15670121.2344045</v>
      </c>
      <c r="P21" s="40">
        <f>SUM(C21:O21)</f>
        <v>188985161.158007</v>
      </c>
      <c r="Q21" s="41">
        <f>P21/$P$16</f>
        <v>0.467756931336684</v>
      </c>
      <c r="R21" s="6"/>
      <c r="S21" s="35"/>
      <c r="T21" s="6"/>
      <c r="U21" s="53">
        <f>P21-淘系!O21-淘系达播!O21-抖音!O21-抖音达播!O21-快手!O21-京东POP财经口径!O21-京东自营财经口径!O21-PDD!O21-得物!O21-'视频号+官网+小程序'!O21-唯品会!O21-'线下门店-直营'!O21-'线下门店-经销'!O21-线下渠道!O21</f>
        <v>40154.7056694888</v>
      </c>
      <c r="V21" s="84"/>
      <c r="W21" s="84"/>
    </row>
    <row r="22" ht="16.8" spans="1:23">
      <c r="A22" s="32"/>
      <c r="B22" s="12" t="s">
        <v>36</v>
      </c>
      <c r="C22" s="12">
        <f>C16-C21</f>
        <v>13405368.6847514</v>
      </c>
      <c r="D22" s="12"/>
      <c r="E22" s="12">
        <f t="shared" ref="E22:O22" si="8">E16-E21</f>
        <v>13499024.9143879</v>
      </c>
      <c r="F22" s="12">
        <f t="shared" si="8"/>
        <v>11037338.7371279</v>
      </c>
      <c r="G22" s="12">
        <f t="shared" si="8"/>
        <v>9585835.26039861</v>
      </c>
      <c r="H22" s="12">
        <f t="shared" si="8"/>
        <v>22092301.9833144</v>
      </c>
      <c r="I22" s="12">
        <f t="shared" si="8"/>
        <v>19918207.4983561</v>
      </c>
      <c r="J22" s="12">
        <f t="shared" si="8"/>
        <v>14771246.2732654</v>
      </c>
      <c r="K22" s="12">
        <f t="shared" si="8"/>
        <v>20604491.9305735</v>
      </c>
      <c r="L22" s="12">
        <f t="shared" si="8"/>
        <v>15295448.6486044</v>
      </c>
      <c r="M22" s="12">
        <f t="shared" si="8"/>
        <v>27250251.116382</v>
      </c>
      <c r="N22" s="12">
        <f t="shared" si="8"/>
        <v>25979755.7287714</v>
      </c>
      <c r="O22" s="12">
        <f t="shared" si="8"/>
        <v>21599856.1037684</v>
      </c>
      <c r="P22" s="12">
        <f>SUM(C22:O22)</f>
        <v>215039126.879701</v>
      </c>
      <c r="Q22" s="43">
        <f>P22/$P$16</f>
        <v>0.532243068663316</v>
      </c>
      <c r="R22" s="6"/>
      <c r="S22" s="6"/>
      <c r="T22" s="6"/>
      <c r="U22" s="53">
        <f>P22-淘系!O22-淘系达播!O22-抖音!O22-抖音达播!O22-快手!O22-京东POP财经口径!O22-京东自营财经口径!O22-PDD!O22-得物!O22-'视频号+官网+小程序'!O22-唯品会!O22-'线下门店-直营'!O22-'线下门店-经销'!O22-线下渠道!O22</f>
        <v>-40154.7056694292</v>
      </c>
      <c r="V22" s="84"/>
      <c r="W22" s="84"/>
    </row>
    <row r="23" ht="16.8" spans="1:23">
      <c r="A23" s="6"/>
      <c r="B23" s="14" t="s">
        <v>37</v>
      </c>
      <c r="C23" s="44">
        <f>C19/C16</f>
        <v>0.510435799423433</v>
      </c>
      <c r="D23" s="44"/>
      <c r="E23" s="44">
        <f t="shared" ref="E23:P23" si="9">E19/E16</f>
        <v>0.513773858666222</v>
      </c>
      <c r="F23" s="44">
        <f t="shared" si="9"/>
        <v>0.492814947996544</v>
      </c>
      <c r="G23" s="44">
        <f t="shared" si="9"/>
        <v>0.493869584928304</v>
      </c>
      <c r="H23" s="44">
        <f t="shared" si="9"/>
        <v>0.541930730933901</v>
      </c>
      <c r="I23" s="44">
        <f t="shared" si="9"/>
        <v>0.537436997357269</v>
      </c>
      <c r="J23" s="44">
        <f t="shared" si="9"/>
        <v>0.569158755200514</v>
      </c>
      <c r="K23" s="44">
        <f t="shared" si="9"/>
        <v>0.573288035516826</v>
      </c>
      <c r="L23" s="44">
        <f t="shared" si="9"/>
        <v>0.581497020650874</v>
      </c>
      <c r="M23" s="44">
        <f t="shared" si="9"/>
        <v>0.588235761290549</v>
      </c>
      <c r="N23" s="44">
        <f t="shared" si="9"/>
        <v>0.598701539564081</v>
      </c>
      <c r="O23" s="44">
        <f t="shared" si="9"/>
        <v>0.604551093036091</v>
      </c>
      <c r="P23" s="44">
        <f t="shared" si="9"/>
        <v>0.557243068663316</v>
      </c>
      <c r="Q23" s="42"/>
      <c r="R23" s="6"/>
      <c r="S23" s="6" t="s">
        <v>90</v>
      </c>
      <c r="T23" s="6"/>
      <c r="U23" s="53">
        <f>P23-淘系!O23-淘系达播!O23-抖音!O23-抖音达播!O23-快手!O23-京东POP财经口径!O23-京东自营财经口径!O23-PDD!O23-得物!O23-'视频号+官网+小程序'!O23-唯品会!O23-'线下门店-直营'!O23-'线下门店-经销'!O23-线下渠道!O23</f>
        <v>-7.28106215213068</v>
      </c>
      <c r="V23" s="84"/>
      <c r="W23" s="84"/>
    </row>
    <row r="24" ht="16.8" spans="1:23">
      <c r="A24" s="6"/>
      <c r="B24" s="14" t="s">
        <v>38</v>
      </c>
      <c r="C24" s="44">
        <f>IFERROR(1-C21/C16,0)</f>
        <v>0.485435799423433</v>
      </c>
      <c r="D24" s="44"/>
      <c r="E24" s="44">
        <f t="shared" ref="E24:P24" si="10">IFERROR(1-E21/E16,0)</f>
        <v>0.488773858666222</v>
      </c>
      <c r="F24" s="44">
        <f t="shared" si="10"/>
        <v>0.467814947996544</v>
      </c>
      <c r="G24" s="44">
        <f t="shared" si="10"/>
        <v>0.468869584928304</v>
      </c>
      <c r="H24" s="44">
        <f t="shared" si="10"/>
        <v>0.516930730933901</v>
      </c>
      <c r="I24" s="44">
        <f t="shared" si="10"/>
        <v>0.512436997357269</v>
      </c>
      <c r="J24" s="44">
        <f t="shared" si="10"/>
        <v>0.544158755200514</v>
      </c>
      <c r="K24" s="44">
        <f t="shared" si="10"/>
        <v>0.548288035516826</v>
      </c>
      <c r="L24" s="44">
        <f t="shared" si="10"/>
        <v>0.556497020650874</v>
      </c>
      <c r="M24" s="44">
        <f t="shared" si="10"/>
        <v>0.563235761290549</v>
      </c>
      <c r="N24" s="44">
        <f t="shared" si="10"/>
        <v>0.573701539564081</v>
      </c>
      <c r="O24" s="44">
        <f t="shared" si="10"/>
        <v>0.579551093036091</v>
      </c>
      <c r="P24" s="44">
        <f t="shared" si="10"/>
        <v>0.532243068663316</v>
      </c>
      <c r="Q24" s="42"/>
      <c r="R24" s="6"/>
      <c r="S24" s="6"/>
      <c r="T24" s="6"/>
      <c r="U24" s="53">
        <f>P24-淘系!O24-淘系达播!O24-抖音!O24-抖音达播!O24-快手!O24-京东POP财经口径!O24-京东自营财经口径!O24-PDD!O24-得物!O24-'视频号+官网+小程序'!O24-唯品会!O24-'线下门店-直营'!O24-'线下门店-经销'!O24-线下渠道!O24</f>
        <v>-6.98906215213068</v>
      </c>
      <c r="V24" s="84"/>
      <c r="W24" s="84"/>
    </row>
    <row r="25" ht="16.8" spans="1:23">
      <c r="A25" s="6"/>
      <c r="B25" s="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42"/>
      <c r="R25" s="6"/>
      <c r="S25" s="6"/>
      <c r="T25" s="6"/>
      <c r="U25" s="53">
        <f>P25-淘系!O25-淘系达播!O25-抖音!O25-抖音达播!O25-快手!O25-京东POP财经口径!O25-京东自营财经口径!O25-PDD!O25-得物!O25-'视频号+官网+小程序'!O25-唯品会!O25-'线下门店-直营'!O25-'线下门店-经销'!O25-线下渠道!O25</f>
        <v>0</v>
      </c>
      <c r="V25" s="84"/>
      <c r="W25" s="84"/>
    </row>
    <row r="26" ht="16.8" spans="1:23">
      <c r="A26" s="6"/>
      <c r="B26" s="86" t="s">
        <v>39</v>
      </c>
      <c r="C26" s="86">
        <f>SUM(C27:C31)</f>
        <v>751638.837830772</v>
      </c>
      <c r="D26" s="38">
        <f>C26/C$16</f>
        <v>0.0272183785989505</v>
      </c>
      <c r="E26" s="86">
        <f t="shared" ref="E26:O26" si="11">SUM(E27:E31)</f>
        <v>2209499.70498667</v>
      </c>
      <c r="F26" s="86">
        <f t="shared" si="11"/>
        <v>3628334.43256354</v>
      </c>
      <c r="G26" s="86">
        <f t="shared" si="11"/>
        <v>2088171.00907326</v>
      </c>
      <c r="H26" s="86">
        <f t="shared" si="11"/>
        <v>8100807.38938975</v>
      </c>
      <c r="I26" s="86">
        <f t="shared" si="11"/>
        <v>4791643.23931378</v>
      </c>
      <c r="J26" s="86">
        <f t="shared" si="11"/>
        <v>1089143.16083901</v>
      </c>
      <c r="K26" s="86">
        <f t="shared" si="11"/>
        <v>1639717.66245094</v>
      </c>
      <c r="L26" s="86">
        <f t="shared" si="11"/>
        <v>1204886.04676431</v>
      </c>
      <c r="M26" s="86">
        <f t="shared" si="11"/>
        <v>4469590.76461686</v>
      </c>
      <c r="N26" s="86">
        <f t="shared" si="11"/>
        <v>1775881.64771413</v>
      </c>
      <c r="O26" s="86">
        <f t="shared" si="11"/>
        <v>1241819.83352515</v>
      </c>
      <c r="P26" s="86">
        <f t="shared" ref="P26:P31" si="12">SUM(C26:O26)</f>
        <v>32991133.7562865</v>
      </c>
      <c r="Q26" s="38">
        <f t="shared" ref="Q26:Q31" si="13">P26/$P$16</f>
        <v>0.0816563130808794</v>
      </c>
      <c r="R26" s="6"/>
      <c r="S26" s="6"/>
      <c r="T26" s="6"/>
      <c r="U26" s="53">
        <f>P26-淘系!O26-淘系达播!O26-抖音!O26-抖音达播!O26-快手!O26-京东POP财经口径!O26-京东自营财经口径!O26-PDD!O26-得物!O26-'视频号+官网+小程序'!O26-唯品会!O26-'线下门店-直营'!O26-'线下门店-经销'!O26-线下渠道!O26</f>
        <v>0.027218378148973</v>
      </c>
    </row>
    <row r="27" ht="16.8" spans="1:23">
      <c r="A27" s="36"/>
      <c r="B27" s="87" t="s">
        <v>40</v>
      </c>
      <c r="C27" s="87">
        <f>淘系!C27+抖音!C27+PDD!C27+得物!C27+京东自营财经口径!C27+京东POP财经口径!C27+'视频号+官网+小程序'!C27+快手!C27+唯品会!C27+'线下门店-直营'!C27+'线下门店-经销'!C27+线下渠道!C27+淘系达播!C27+抖音达播!C27</f>
        <v>0</v>
      </c>
      <c r="D27" s="87"/>
      <c r="E27" s="87">
        <f>淘系!D27+抖音!D27+PDD!D27+得物!D27+京东自营财经口径!D27+京东POP财经口径!D27+'视频号+官网+小程序'!D27+快手!D27+唯品会!D27+'线下门店-直营'!D27+'线下门店-经销'!D27+线下渠道!D27+淘系达播!D27+抖音达播!D27</f>
        <v>0</v>
      </c>
      <c r="F27" s="87">
        <f>淘系!E27+抖音!E27+PDD!E27+得物!E27+京东自营财经口径!E27+京东POP财经口径!E27+'视频号+官网+小程序'!E27+快手!E27+唯品会!E27+'线下门店-直营'!E27+'线下门店-经销'!E27+线下渠道!E27+淘系达播!E27+抖音达播!E27</f>
        <v>64814.267453294</v>
      </c>
      <c r="G27" s="87">
        <f>淘系!F27+抖音!F27+PDD!F27+得物!F27+京东自营财经口径!F27+京东POP财经口径!F27+'视频号+官网+小程序'!F27+快手!F27+唯品会!F27+'线下门店-直营'!F27+'线下门店-经销'!F27+线下渠道!F27+淘系达播!F27+抖音达播!F27</f>
        <v>54155.0737463127</v>
      </c>
      <c r="H27" s="87">
        <f>淘系!G27+抖音!G27+PDD!G27+得物!G27+京东自营财经口径!G27+京东POP财经口径!G27+'视频号+官网+小程序'!G27+快手!G27+唯品会!G27+'线下门店-直营'!G27+'线下门店-经销'!G27+线下渠道!G27+淘系达播!G27+抖音达播!G27</f>
        <v>115388.163716814</v>
      </c>
      <c r="I27" s="87">
        <f>淘系!H27+抖音!H27+PDD!H27+得物!H27+京东自营财经口径!H27+京东POP财经口径!H27+'视频号+官网+小程序'!H27+快手!H27+唯品会!H27+'线下门店-直营'!H27+'线下门店-经销'!H27+线下渠道!H27+淘系达播!H27+抖音达播!H27</f>
        <v>101584.80199115</v>
      </c>
      <c r="J27" s="87">
        <f>淘系!I27+抖音!I27+PDD!I27+得物!I27+京东自营财经口径!I27+京东POP财经口径!I27+'视频号+官网+小程序'!I27+快手!I27+唯品会!I27+'线下门店-直营'!I27+'线下门店-经销'!I27+线下渠道!I27+淘系达播!I27+抖音达播!I27</f>
        <v>65500.2876106195</v>
      </c>
      <c r="K27" s="87">
        <f>淘系!J27+抖音!J27+PDD!J27+得物!J27+京东自营财经口径!J27+京东POP财经口径!J27+'视频号+官网+小程序'!J27+快手!J27+唯品会!J27+'线下门店-直营'!J27+'线下门店-经销'!J27+线下渠道!J27+淘系达播!J27+抖音达播!J27</f>
        <v>90329.9336283186</v>
      </c>
      <c r="L27" s="87">
        <f>淘系!K27+抖音!K27+PDD!K27+得物!K27+京东自营财经口径!K27+京东POP财经口径!K27+'视频号+官网+小程序'!K27+快手!K27+唯品会!K27+'线下门店-直营'!K27+'线下门店-经销'!K27+线下渠道!K27+淘系达播!K27+抖音达播!K27</f>
        <v>72053.1637168142</v>
      </c>
      <c r="M27" s="87">
        <f>淘系!L27+抖音!L27+PDD!L27+得物!L27+京东自营财经口径!L27+京东POP财经口径!L27+'视频号+官网+小程序'!L27+快手!L27+唯品会!L27+'线下门店-直营'!L27+'线下门店-经销'!L27+线下渠道!L27+淘系达播!L27+抖音达播!L27</f>
        <v>121420.238831432</v>
      </c>
      <c r="N27" s="87">
        <f>淘系!M27+抖音!M27+PDD!M27+得物!M27+京东自营财经口径!M27+京东POP财经口径!M27+'视频号+官网+小程序'!M27+快手!M27+唯品会!M27+'线下门店-直营'!M27+'线下门店-经销'!M27+线下渠道!M27+淘系达播!M27+抖音达播!M27</f>
        <v>91985.613604862</v>
      </c>
      <c r="O27" s="87">
        <f>淘系!N27+抖音!N27+PDD!N27+得物!N27+京东自营财经口径!N27+京东POP财经口径!N27+'视频号+官网+小程序'!N27+快手!N27+唯品会!N27+'线下门店-直营'!N27+'线下门店-经销'!N27+线下渠道!N27+淘系达播!N27+抖音达播!N27</f>
        <v>0</v>
      </c>
      <c r="P27" s="87">
        <f t="shared" si="12"/>
        <v>777231.544299617</v>
      </c>
      <c r="Q27" s="42">
        <f t="shared" si="13"/>
        <v>0.00192372480395802</v>
      </c>
      <c r="R27" s="4"/>
      <c r="S27" s="6"/>
      <c r="T27" s="6"/>
      <c r="U27" s="53">
        <f>P27-淘系!O27-淘系达播!O27-抖音!O27-抖音达播!O27-快手!O27-京东POP财经口径!O27-京东自营财经口径!O27-PDD!O27-得物!O27-'视频号+官网+小程序'!O27-唯品会!O27-'线下门店-直营'!O27-'线下门店-经销'!O27-线下渠道!O27</f>
        <v>-1.60071067512035e-10</v>
      </c>
    </row>
    <row r="28" ht="16.8" spans="1:23">
      <c r="A28" s="36"/>
      <c r="B28" s="87" t="s">
        <v>41</v>
      </c>
      <c r="C28" s="87">
        <f>淘系!C28+抖音!C28+PDD!C28+得物!C28+京东自营财经口径!C28+京东POP财经口径!C28+'视频号+官网+小程序'!C28+快手!C28+唯品会!C28+'线下门店-直营'!C28+'线下门店-经销'!C28+线下渠道!C28+淘系达播!C28+抖音达播!C28</f>
        <v>209195</v>
      </c>
      <c r="D28" s="87"/>
      <c r="E28" s="87">
        <f>淘系!D28+抖音!D28+PDD!D28+得物!D28+京东自营财经口径!D28+京东POP财经口径!D28+'视频号+官网+小程序'!D28+快手!D28+唯品会!D28+'线下门店-直营'!D28+'线下门店-经销'!D28+线下渠道!D28+淘系达播!D28+抖音达播!D28</f>
        <v>209195</v>
      </c>
      <c r="F28" s="87">
        <f>淘系!E28+抖音!E28+PDD!E28+得物!E28+京东自营财经口径!E28+京东POP财经口径!E28+'视频号+官网+小程序'!E28+快手!E28+唯品会!E28+'线下门店-直营'!E28+'线下门店-经销'!E28+线下渠道!E28+淘系达播!E28+抖音达播!E28</f>
        <v>209195</v>
      </c>
      <c r="G28" s="87">
        <f>淘系!F28+抖音!F28+PDD!F28+得物!F28+京东自营财经口径!F28+京东POP财经口径!F28+'视频号+官网+小程序'!F28+快手!F28+唯品会!F28+'线下门店-直营'!F28+'线下门店-经销'!F28+线下渠道!F28+淘系达播!F28+抖音达播!F28</f>
        <v>274181.088495575</v>
      </c>
      <c r="H28" s="87">
        <f>淘系!G28+抖音!G28+PDD!G28+得物!G28+京东自营财经口径!G28+京东POP财经口径!G28+'视频号+官网+小程序'!G28+快手!G28+唯品会!G28+'线下门店-直营'!G28+'线下门店-经销'!G28+线下渠道!G28+淘系达播!G28+抖音达播!G28</f>
        <v>901523.982300886</v>
      </c>
      <c r="I28" s="87">
        <f>淘系!H28+抖音!H28+PDD!H28+得物!H28+京东自营财经口径!H28+京东POP财经口径!H28+'视频号+官网+小程序'!H28+快手!H28+唯品会!H28+'线下门店-直营'!H28+'线下门店-经销'!H28+线下渠道!H28+淘系达播!H28+抖音达播!H28</f>
        <v>534266.366371681</v>
      </c>
      <c r="J28" s="87">
        <f>淘系!I28+抖音!I28+PDD!I28+得物!I28+京东自营财经口径!I28+京东POP财经口径!I28+'视频号+官网+小程序'!I28+快手!I28+唯品会!I28+'线下门店-直营'!I28+'线下门店-经销'!I28+线下渠道!I28+淘系达播!I28+抖音达播!I28</f>
        <v>209195</v>
      </c>
      <c r="K28" s="87">
        <f>淘系!J28+抖音!J28+PDD!J28+得物!J28+京东自营财经口径!J28+京东POP财经口径!J28+'视频号+官网+小程序'!J28+快手!J28+唯品会!J28+'线下门店-直营'!J28+'线下门店-经销'!J28+线下渠道!J28+淘系达播!J28+抖音达播!J28</f>
        <v>317590.920353982</v>
      </c>
      <c r="L28" s="87">
        <f>淘系!K28+抖音!K28+PDD!K28+得物!K28+京东自营财经口径!K28+京东POP财经口径!K28+'视频号+官网+小程序'!K28+快手!K28+唯品会!K28+'线下门店-直营'!K28+'线下门店-经销'!K28+线下渠道!K28+淘系达播!K28+抖音达播!K28</f>
        <v>439765.123893805</v>
      </c>
      <c r="M28" s="87">
        <f>淘系!L28+抖音!L28+PDD!L28+得物!L28+京东自营财经口径!L28+京东POP财经口径!L28+'视频号+官网+小程序'!L28+快手!L28+唯品会!L28+'线下门店-直营'!L28+'线下门店-经销'!L28+线下渠道!L28+淘系达播!L28+抖音达播!L28</f>
        <v>354899.286597718</v>
      </c>
      <c r="N28" s="87">
        <f>淘系!M28+抖音!M28+PDD!M28+得物!M28+京东自营财经口径!M28+京东POP财经口径!M28+'视频号+官网+小程序'!M28+快手!M28+唯品会!M28+'线下门店-直营'!M28+'线下门店-经销'!M28+线下渠道!M28+淘系达播!M28+抖音达播!M28</f>
        <v>319577.736325834</v>
      </c>
      <c r="O28" s="87">
        <f>淘系!N28+抖音!N28+PDD!N28+得物!N28+京东自营财经口径!N28+京东POP财经口径!N28+'视频号+官网+小程序'!N28+快手!N28+唯品会!N28+'线下门店-直营'!N28+'线下门店-经销'!N28+线下渠道!N28+淘系达播!N28+抖音达播!N28</f>
        <v>209195</v>
      </c>
      <c r="P28" s="87">
        <f t="shared" si="12"/>
        <v>4187779.50433948</v>
      </c>
      <c r="Q28" s="42">
        <f t="shared" si="13"/>
        <v>0.0103651677097903</v>
      </c>
      <c r="R28" s="4"/>
      <c r="S28" s="6"/>
      <c r="T28" s="6"/>
      <c r="U28" s="53">
        <f>P28-淘系!O28-淘系达播!O28-抖音!O28-抖音达播!O28-快手!O28-京东POP财经口径!O28-京东自营财经口径!O28-PDD!O28-得物!O28-'视频号+官网+小程序'!O28-唯品会!O28-'线下门店-直营'!O28-'线下门店-经销'!O28-线下渠道!O28</f>
        <v>5.5297277867794e-10</v>
      </c>
    </row>
    <row r="29" ht="16.8" spans="1:23">
      <c r="A29" s="36"/>
      <c r="B29" s="87" t="s">
        <v>42</v>
      </c>
      <c r="C29" s="87">
        <f>淘系!C29+抖音!C29+PDD!C29+得物!C29+京东自营财经口径!C29+京东POP财经口径!C29+'视频号+官网+小程序'!C29+快手!C29+唯品会!C29+'线下门店-直营'!C29+'线下门店-经销'!C29+线下渠道!C29+淘系达播!C29+抖音达播!C29</f>
        <v>31801.7588495575</v>
      </c>
      <c r="D29" s="87"/>
      <c r="E29" s="87">
        <f>淘系!D29+抖音!D29+PDD!D29+得物!D29+京东自营财经口径!D29+京东POP财经口径!D29+'视频号+官网+小程序'!D29+快手!D29+唯品会!D29+'线下门店-直营'!D29+'线下门店-经销'!D29+线下渠道!D29+淘系达播!D29+抖音达播!D29</f>
        <v>25890.0688298918</v>
      </c>
      <c r="F29" s="87">
        <f>淘系!E29+抖音!E29+PDD!E29+得物!E29+京东自营财经口径!E29+京东POP财经口径!E29+'视频号+官网+小程序'!E29+快手!E29+唯品会!E29+'线下门店-直营'!E29+'线下门店-经销'!E29+线下渠道!E29+淘系达播!E29+抖音达播!E29</f>
        <v>25925.7069813176</v>
      </c>
      <c r="G29" s="87">
        <f>淘系!F29+抖音!F29+PDD!F29+得物!F29+京东自营财经口径!F29+京东POP财经口径!F29+'视频号+官网+小程序'!F29+快手!F29+唯品会!F29+'线下门店-直营'!F29+'线下门店-经销'!F29+线下渠道!F29+淘系达播!F29+抖音达播!F29</f>
        <v>108310.147492625</v>
      </c>
      <c r="H29" s="87">
        <f>淘系!G29+抖音!G29+PDD!G29+得物!G29+京东自营财经口径!G29+京东POP财经口径!G29+'视频号+官网+小程序'!G29+快手!G29+唯品会!G29+'线下门店-直营'!G29+'线下门店-经销'!G29+线下渠道!G29+淘系达播!G29+抖音达播!G29</f>
        <v>692328.982300885</v>
      </c>
      <c r="I29" s="87">
        <f>淘系!H29+抖音!H29+PDD!H29+得物!H29+京东自营财经口径!H29+京东POP财经口径!H29+'视频号+官网+小程序'!H29+快手!H29+唯品会!H29+'线下门店-直营'!H29+'线下门店-经销'!H29+线下渠道!H29+淘系达播!H29+抖音达播!H29</f>
        <v>446973.128761062</v>
      </c>
      <c r="J29" s="87">
        <f>淘系!I29+抖音!I29+PDD!I29+得物!I29+京东自营财经口径!I29+京东POP财经口径!I29+'视频号+官网+小程序'!I29+快手!I29+唯品会!I29+'线下门店-直营'!I29+'线下门店-经销'!I29+线下渠道!I29+淘系达播!I29+抖音达播!I29</f>
        <v>0</v>
      </c>
      <c r="K29" s="87">
        <f>淘系!J29+抖音!J29+PDD!J29+得物!J29+京东自营财经口径!J29+京东POP财经口径!J29+'视频号+官网+小程序'!J29+快手!J29+唯品会!J29+'线下门店-直营'!J29+'线下门店-经销'!J29+线下渠道!J29+淘系达播!J29+抖音达播!J29</f>
        <v>108395.920353982</v>
      </c>
      <c r="L29" s="87">
        <f>淘系!K29+抖音!K29+PDD!K29+得物!K29+京东自营财经口径!K29+京东POP财经口径!K29+'视频号+官网+小程序'!K29+快手!K29+唯品会!K29+'线下门店-直营'!K29+'线下门店-经销'!K29+线下渠道!K29+淘系达播!K29+抖音达播!K29</f>
        <v>230570.123893805</v>
      </c>
      <c r="M29" s="87">
        <f>淘系!L29+抖音!L29+PDD!L29+得物!L29+京东自营财经口径!L29+京东POP财经口径!L29+'视频号+官网+小程序'!L29+快手!L29+唯品会!L29+'线下门店-直营'!L29+'线下门店-经销'!L29+线下渠道!L29+淘系达播!L29+抖音达播!L29</f>
        <v>242840.477662864</v>
      </c>
      <c r="N29" s="87">
        <f>淘系!M29+抖音!M29+PDD!M29+得物!M29+京东自营财经口径!M29+京东POP财经口径!M29+'视频号+官网+小程序'!M29+快手!M29+唯品会!M29+'线下门店-直营'!M29+'线下门店-经销'!M29+线下渠道!M29+淘系达播!M29+抖音达播!M29</f>
        <v>183971.227209724</v>
      </c>
      <c r="O29" s="87">
        <f>淘系!N29+抖音!N29+PDD!N29+得物!N29+京东自营财经口径!N29+京东POP财经口径!N29+'视频号+官网+小程序'!N29+快手!N29+唯品会!N29+'线下门店-直营'!N29+'线下门店-经销'!N29+线下渠道!N29+淘系达播!N29+抖音达播!N29</f>
        <v>32181.9618296194</v>
      </c>
      <c r="P29" s="87">
        <f t="shared" si="12"/>
        <v>2129189.50416533</v>
      </c>
      <c r="Q29" s="42">
        <f t="shared" si="13"/>
        <v>0.00526995422603557</v>
      </c>
      <c r="R29" s="6"/>
      <c r="S29" s="6"/>
      <c r="T29" s="6"/>
      <c r="U29" s="53">
        <f>P29-淘系!O29-淘系达播!O29-抖音!O29-抖音达播!O29-快手!O29-京东POP财经口径!O29-京东自营财经口径!O29-PDD!O29-得物!O29-'视频号+官网+小程序'!O29-唯品会!O29-'线下门店-直营'!O29-'线下门店-经销'!O29-线下渠道!O29</f>
        <v>0</v>
      </c>
    </row>
    <row r="30" ht="16.8" spans="1:23">
      <c r="A30" s="36"/>
      <c r="B30" s="87" t="s">
        <v>43</v>
      </c>
      <c r="C30" s="87">
        <f>淘系!C30+抖音!C30+PDD!C30+得物!C30+京东自营财经口径!C30+京东POP财经口径!C30+'视频号+官网+小程序'!C30+快手!C30+唯品会!C30+'线下门店-直营'!C30+'线下门店-经销'!C30+线下渠道!C30+淘系达播!C30+抖音达播!C30</f>
        <v>31801.7588495575</v>
      </c>
      <c r="D30" s="87"/>
      <c r="E30" s="87">
        <f>淘系!D30+抖音!D30+PDD!D30+得物!D30+京东自营财经口径!D30+京东POP财经口径!D30+'视频号+官网+小程序'!D30+快手!D30+唯品会!D30+'线下门店-直营'!D30+'线下门店-经销'!D30+线下渠道!D30+淘系达播!D30+抖音达播!D30</f>
        <v>25890.0688298918</v>
      </c>
      <c r="F30" s="87">
        <f>淘系!E30+抖音!E30+PDD!E30+得物!E30+京东自营财经口径!E30+京东POP财经口径!E30+'视频号+官网+小程序'!E30+快手!E30+唯品会!E30+'线下门店-直营'!E30+'线下门店-经销'!E30+线下渠道!E30+淘系达播!E30+抖音达播!E30</f>
        <v>207405.655850541</v>
      </c>
      <c r="G30" s="87">
        <f>淘系!F30+抖音!F30+PDD!F30+得物!F30+京东自营财经口径!F30+京东POP财经口径!F30+'视频号+官网+小程序'!F30+快手!F30+唯品会!F30+'线下门店-直营'!F30+'线下门店-经销'!F30+线下渠道!F30+淘系达播!F30+抖音达播!F30</f>
        <v>21662.0294985251</v>
      </c>
      <c r="H30" s="87">
        <f>淘系!G30+抖音!G30+PDD!G30+得物!G30+京东自营财经口径!G30+京东POP财经口径!G30+'视频号+官网+小程序'!G30+快手!G30+唯品会!G30+'线下门店-直营'!G30+'线下门店-经销'!G30+线下渠道!G30+淘系达播!G30+抖音达播!G30</f>
        <v>138465.796460177</v>
      </c>
      <c r="I30" s="87">
        <f>淘系!H30+抖音!H30+PDD!H30+得物!H30+京东自营财经口径!H30+京东POP财经口径!H30+'视频号+官网+小程序'!H30+快手!H30+唯品会!H30+'线下门店-直营'!H30+'线下门店-经销'!H30+线下渠道!H30+淘系达播!H30+抖音达播!H30</f>
        <v>40633.9207964602</v>
      </c>
      <c r="J30" s="87">
        <f>淘系!I30+抖音!I30+PDD!I30+得物!I30+京东自营财经口径!I30+京东POP财经口径!I30+'视频号+官网+小程序'!I30+快手!I30+唯品会!I30+'线下门店-直营'!I30+'线下门店-经销'!I30+线下渠道!I30+淘系达播!I30+抖音达播!I30</f>
        <v>26200.1150442478</v>
      </c>
      <c r="K30" s="87">
        <f>淘系!J30+抖音!J30+PDD!J30+得物!J30+京东自营财经口径!J30+京东POP财经口径!J30+'视频号+官网+小程序'!J30+快手!J30+唯品会!J30+'线下门店-直营'!J30+'线下门店-经销'!J30+线下渠道!J30+淘系达播!J30+抖音达播!J30</f>
        <v>36131.9734513274</v>
      </c>
      <c r="L30" s="87">
        <f>淘系!K30+抖音!K30+PDD!K30+得物!K30+京东自营财经口径!K30+京东POP财经口径!K30+'视频号+官网+小程序'!K30+快手!K30+唯品会!K30+'线下门店-直营'!K30+'线下门店-经销'!K30+线下渠道!K30+淘系达播!K30+抖音达播!K30</f>
        <v>28821.2654867257</v>
      </c>
      <c r="M30" s="87">
        <f>淘系!L30+抖音!L30+PDD!L30+得物!L30+京东自营财经口径!L30+京东POP财经口径!L30+'视频号+官网+小程序'!L30+快手!L30+唯品会!L30+'线下门店-直营'!L30+'线下门店-经销'!L30+线下渠道!L30+淘系达播!L30+抖音达播!L30</f>
        <v>97136.1910651456</v>
      </c>
      <c r="N30" s="87">
        <f>淘系!M30+抖音!M30+PDD!M30+得物!M30+京东自营财经口径!M30+京东POP财经口径!M30+'视频号+官网+小程序'!M30+快手!M30+唯品会!M30+'线下门店-直营'!M30+'线下门店-经销'!M30+线下渠道!M30+淘系达播!M30+抖音达播!M30</f>
        <v>73588.4908838896</v>
      </c>
      <c r="O30" s="87">
        <f>淘系!N30+抖音!N30+PDD!N30+得物!N30+京东自营财经口径!N30+京东POP财经口径!N30+'视频号+官网+小程序'!N30+快手!N30+唯品会!N30+'线下门店-直营'!N30+'线下门店-经销'!N30+线下渠道!N30+淘系达播!N30+抖音达播!N30</f>
        <v>32181.9618296194</v>
      </c>
      <c r="P30" s="87">
        <f t="shared" si="12"/>
        <v>759919.228046108</v>
      </c>
      <c r="Q30" s="42">
        <f t="shared" si="13"/>
        <v>0.00188087511208035</v>
      </c>
      <c r="R30" s="6"/>
      <c r="S30" s="6"/>
      <c r="T30" s="6"/>
      <c r="U30" s="53">
        <f>P30-淘系!O30-淘系达播!O30-抖音!O30-抖音达播!O30-快手!O30-京东POP财经口径!O30-京东自营财经口径!O30-PDD!O30-得物!O30-'视频号+官网+小程序'!O30-唯品会!O30-'线下门店-直营'!O30-'线下门店-经销'!O30-线下渠道!O30</f>
        <v>0</v>
      </c>
    </row>
    <row r="31" ht="16.8" collapsed="1" spans="1:23">
      <c r="A31" s="36"/>
      <c r="B31" s="87" t="s">
        <v>44</v>
      </c>
      <c r="C31" s="87">
        <f>淘系!C31+抖音!C31+PDD!C31+得物!C31+京东自营财经口径!C31+京东POP财经口径!C31+'视频号+官网+小程序'!C31+快手!C31+唯品会!C31+'线下门店-直营'!C31+'线下门店-经销'!C31+线下渠道!C31+淘系达播!C31+抖音达播!C31</f>
        <v>478840.320131657</v>
      </c>
      <c r="D31" s="87"/>
      <c r="E31" s="87">
        <f>淘系!D31+抖音!D31+PDD!D31+得物!D31+京东自营财经口径!D31+京东POP财经口径!D31+'视频号+官网+小程序'!D31+快手!D31+唯品会!D31+'线下门店-直营'!D31+'线下门店-经销'!D31+线下渠道!D31+淘系达播!D31+抖音达播!D31</f>
        <v>1948524.56732689</v>
      </c>
      <c r="F31" s="87">
        <f>淘系!E31+抖音!E31+PDD!E31+得物!E31+京东自营财经口径!E31+京东POP财经口径!E31+'视频号+官网+小程序'!E31+快手!E31+唯品会!E31+'线下门店-直营'!E31+'线下门店-经销'!E31+线下渠道!E31+淘系达播!E31+抖音达播!E31</f>
        <v>3120993.80227839</v>
      </c>
      <c r="G31" s="87">
        <f>淘系!F31+抖音!F31+PDD!F31+得物!F31+京东自营财经口径!F31+京东POP财经口径!F31+'视频号+官网+小程序'!F31+快手!F31+唯品会!F31+'线下门店-直营'!F31+'线下门店-经销'!F31+线下渠道!F31+淘系达播!F31+抖音达播!F31</f>
        <v>1629862.66984022</v>
      </c>
      <c r="H31" s="87">
        <f>淘系!G31+抖音!G31+PDD!G31+得物!G31+京东自营财经口径!G31+京东POP财经口径!G31+'视频号+官网+小程序'!G31+快手!G31+唯品会!G31+'线下门店-直营'!G31+'线下门店-经销'!G31+线下渠道!G31+淘系达播!G31+抖音达播!G31</f>
        <v>6253100.46461099</v>
      </c>
      <c r="I31" s="87">
        <f>淘系!H31+抖音!H31+PDD!H31+得物!H31+京东自营财经口径!H31+京东POP财经口径!H31+'视频号+官网+小程序'!H31+快手!H31+唯品会!H31+'线下门店-直营'!H31+'线下门店-经销'!H31+线下渠道!H31+淘系达播!H31+抖音达播!H31</f>
        <v>3668185.02139343</v>
      </c>
      <c r="J31" s="87">
        <f>淘系!I31+抖音!I31+PDD!I31+得物!I31+京东自营财经口径!I31+京东POP财经口径!I31+'视频号+官网+小程序'!I31+快手!I31+唯品会!I31+'线下门店-直营'!I31+'线下门店-经销'!I31+线下渠道!I31+淘系达播!I31+抖音达播!I31</f>
        <v>788247.758184143</v>
      </c>
      <c r="K31" s="87">
        <f>淘系!J31+抖音!J31+PDD!J31+得物!J31+京东自营财经口径!J31+京东POP财经口径!J31+'视频号+官网+小程序'!J31+快手!J31+唯品会!J31+'线下门店-直营'!J31+'线下门店-经销'!J31+线下渠道!J31+淘系达播!J31+抖音达播!J31</f>
        <v>1087268.91466333</v>
      </c>
      <c r="L31" s="87">
        <f>淘系!K31+抖音!K31+PDD!K31+得物!K31+京东自营财经口径!K31+京东POP财经口径!K31+'视频号+官网+小程序'!K31+快手!K31+唯品会!K31+'线下门店-直营'!K31+'线下门店-经销'!K31+线下渠道!K31+淘系达播!K31+抖音达播!K31</f>
        <v>433676.369773156</v>
      </c>
      <c r="M31" s="87">
        <f>淘系!L31+抖音!L31+PDD!L31+得物!L31+京东自营财经口径!L31+京东POP财经口径!L31+'视频号+官网+小程序'!L31+快手!L31+唯品会!L31+'线下门店-直营'!L31+'线下门店-经销'!L31+线下渠道!L31+淘系达播!L31+抖音达播!L31</f>
        <v>3653294.5704597</v>
      </c>
      <c r="N31" s="87">
        <f>淘系!M31+抖音!M31+PDD!M31+得物!M31+京东自营财经口径!M31+京东POP财经口径!M31+'视频号+官网+小程序'!M31+快手!M31+唯品会!M31+'线下门店-直营'!M31+'线下门店-经销'!M31+线下渠道!M31+淘系达播!M31+抖音达播!M31</f>
        <v>1106758.57968982</v>
      </c>
      <c r="O31" s="87">
        <f>淘系!N31+抖音!N31+PDD!N31+得物!N31+京东自营财经口径!N31+京东POP财经口径!N31+'视频号+官网+小程序'!N31+快手!N31+唯品会!N31+'线下门店-直营'!N31+'线下门店-经销'!N31+线下渠道!N31+淘系达播!N31+抖音达播!N31</f>
        <v>968260.909865913</v>
      </c>
      <c r="P31" s="87">
        <f t="shared" si="12"/>
        <v>25137013.9482176</v>
      </c>
      <c r="Q31" s="42">
        <f t="shared" si="13"/>
        <v>0.062216591161647</v>
      </c>
      <c r="R31" s="6"/>
      <c r="S31" s="6"/>
      <c r="T31" s="6"/>
      <c r="U31" s="53">
        <f>P31-淘系!O31-淘系达播!O31-抖音!O31-抖音达播!O31-快手!O31-京东POP财经口径!O31-京东自营财经口径!O31-PDD!O31-得物!O31-'视频号+官网+小程序'!O31-唯品会!O31-'线下门店-直营'!O31-'线下门店-经销'!O31-线下渠道!O31</f>
        <v>0</v>
      </c>
    </row>
    <row r="32" ht="16.8" hidden="1" outlineLevel="1" spans="1:23">
      <c r="A32" s="36"/>
      <c r="B32" s="87" t="s">
        <v>45</v>
      </c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42"/>
      <c r="R32" s="6"/>
      <c r="S32" s="6"/>
      <c r="T32" s="6"/>
      <c r="U32" s="53">
        <f>P32-淘系!O32-淘系达播!O32-抖音!O32-抖音达播!O32-快手!O32-京东POP财经口径!O32-京东自营财经口径!O32-PDD!O32-得物!O32-'视频号+官网+小程序'!O32-唯品会!O32-'线下门店-直营'!O32-'线下门店-经销'!O32-线下渠道!O32</f>
        <v>0</v>
      </c>
    </row>
    <row r="33" ht="16.8" hidden="1" outlineLevel="1" spans="1:23">
      <c r="A33" s="36"/>
      <c r="B33" s="87" t="s">
        <v>46</v>
      </c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42"/>
      <c r="R33" s="6"/>
      <c r="S33" s="6"/>
      <c r="T33" s="6"/>
      <c r="U33" s="53">
        <f>P33-淘系!O33-淘系达播!O33-抖音!O33-抖音达播!O33-快手!O33-京东POP财经口径!O33-京东自营财经口径!O33-PDD!O33-得物!O33-'视频号+官网+小程序'!O33-唯品会!O33-'线下门店-直营'!O33-'线下门店-经销'!O33-线下渠道!O33</f>
        <v>0</v>
      </c>
    </row>
    <row r="34" ht="16.8" hidden="1" outlineLevel="1" spans="1:23">
      <c r="A34" s="36"/>
      <c r="B34" s="87" t="s">
        <v>47</v>
      </c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42"/>
      <c r="R34" s="6"/>
      <c r="U34" s="53">
        <f>P34-淘系!O34-淘系达播!O34-抖音!O34-抖音达播!O34-快手!O34-京东POP财经口径!O34-京东自营财经口径!O34-PDD!O34-得物!O34-'视频号+官网+小程序'!O34-唯品会!O34-'线下门店-直营'!O34-'线下门店-经销'!O34-线下渠道!O34</f>
        <v>0</v>
      </c>
    </row>
    <row r="35" ht="16.8" hidden="1" outlineLevel="1" spans="1:23">
      <c r="A35" s="36"/>
      <c r="B35" s="87" t="s">
        <v>48</v>
      </c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42"/>
      <c r="R35" s="6"/>
      <c r="U35" s="53">
        <f>P35-淘系!O35-淘系达播!O35-抖音!O35-抖音达播!O35-快手!O35-京东POP财经口径!O35-京东自营财经口径!O35-PDD!O35-得物!O35-'视频号+官网+小程序'!O35-唯品会!O35-'线下门店-直营'!O35-'线下门店-经销'!O35-线下渠道!O35</f>
        <v>0</v>
      </c>
    </row>
    <row r="36" ht="16.8" hidden="1" outlineLevel="1" spans="1:23">
      <c r="A36" s="36"/>
      <c r="B36" s="87" t="s">
        <v>49</v>
      </c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42"/>
      <c r="R36" s="6"/>
      <c r="U36" s="53">
        <f>P36-淘系!O36-淘系达播!O36-抖音!O36-抖音达播!O36-快手!O36-京东POP财经口径!O36-京东自营财经口径!O36-PDD!O36-得物!O36-'视频号+官网+小程序'!O36-唯品会!O36-'线下门店-直营'!O36-'线下门店-经销'!O36-线下渠道!O36</f>
        <v>0</v>
      </c>
    </row>
    <row r="37" ht="16.8" spans="1:23">
      <c r="A37" s="6"/>
      <c r="B37" s="86" t="s">
        <v>50</v>
      </c>
      <c r="C37" s="86">
        <f>SUM(C38:C40)</f>
        <v>5289161.06036241</v>
      </c>
      <c r="D37" s="38">
        <f>C37/C$16</f>
        <v>0.191531332557596</v>
      </c>
      <c r="E37" s="86">
        <f t="shared" ref="E37:O37" si="14">SUM(E38:E40)</f>
        <v>6011795.26225013</v>
      </c>
      <c r="F37" s="86">
        <f t="shared" si="14"/>
        <v>4469411.69885126</v>
      </c>
      <c r="G37" s="86">
        <f t="shared" si="14"/>
        <v>3799706.23403942</v>
      </c>
      <c r="H37" s="86">
        <f t="shared" si="14"/>
        <v>9797097.20364332</v>
      </c>
      <c r="I37" s="86">
        <f t="shared" si="14"/>
        <v>8746822.96721701</v>
      </c>
      <c r="J37" s="86">
        <f t="shared" si="14"/>
        <v>4912801.7229974</v>
      </c>
      <c r="K37" s="86">
        <f t="shared" si="14"/>
        <v>8629549.865097</v>
      </c>
      <c r="L37" s="86">
        <f t="shared" si="14"/>
        <v>5128807.85392751</v>
      </c>
      <c r="M37" s="86">
        <f t="shared" si="14"/>
        <v>10396130.7919437</v>
      </c>
      <c r="N37" s="86">
        <f t="shared" si="14"/>
        <v>8977635.30427918</v>
      </c>
      <c r="O37" s="86">
        <f t="shared" si="14"/>
        <v>6666059.04176329</v>
      </c>
      <c r="P37" s="86">
        <f>SUM(C37:O37)</f>
        <v>82824979.197903</v>
      </c>
      <c r="Q37" s="38">
        <f>P37/$P$16</f>
        <v>0.205000000371692</v>
      </c>
      <c r="R37" s="6"/>
      <c r="S37" s="84">
        <f>P16*20.5%</f>
        <v>82824979.0477302</v>
      </c>
      <c r="T37" s="67"/>
      <c r="U37" s="53">
        <f>P37-淘系!O37-淘系达播!O37-抖音!O37-抖音达播!O37-快手!O37-京东POP财经口径!O37-京东自营财经口径!O37-PDD!O37-得物!O37-'视频号+官网+小程序'!O37-唯品会!O37-'线下门店-直营'!O37-'线下门店-经销'!O37-线下渠道!O37</f>
        <v>0.191531330114231</v>
      </c>
      <c r="V37" s="84"/>
      <c r="W37" s="84"/>
    </row>
    <row r="38" ht="16.8" spans="1:23">
      <c r="A38" s="36"/>
      <c r="B38" s="87" t="s">
        <v>51</v>
      </c>
      <c r="C38" s="87">
        <f>淘系!C38+抖音!C38+PDD!C38+得物!C38+京东自营财经口径!C38+京东POP财经口径!C38+'视频号+官网+小程序'!C38+快手!C38+唯品会!C38+'线下门店-直营'!C38+'线下门店-经销'!C38+线下渠道!C38+淘系达播!C38+抖音达播!C38</f>
        <v>2292019.75051535</v>
      </c>
      <c r="D38" s="87"/>
      <c r="E38" s="87">
        <f>淘系!D38+抖音!D38+PDD!D38+得物!D38+京东自营财经口径!D38+京东POP财经口径!D38+'视频号+官网+小程序'!D38+快手!D38+唯品会!D38+'线下门店-直营'!D38+'线下门店-经销'!D38+线下渠道!D38+淘系达播!D38+抖音达播!D38</f>
        <v>2749177.43198473</v>
      </c>
      <c r="F38" s="87">
        <f>淘系!E38+抖音!E38+PDD!E38+得物!E38+京东自营财经口径!E38+京东POP财经口径!E38+'视频号+官网+小程序'!E38+快手!E38+唯品会!E38+'线下门店-直营'!E38+'线下门店-经销'!E38+线下渠道!E38+淘系达播!E38+抖音达播!E38</f>
        <v>2219902.56234978</v>
      </c>
      <c r="G38" s="87">
        <f>淘系!F38+抖音!F38+PDD!F38+得物!F38+京东自营财经口径!F38+京东POP财经口径!F38+'视频号+官网+小程序'!F38+快手!F38+唯品会!F38+'线下门店-直营'!F38+'线下门店-经销'!F38+线下渠道!F38+淘系达播!F38+抖音达播!F38</f>
        <v>1900621.98868592</v>
      </c>
      <c r="H38" s="87">
        <f>淘系!G38+抖音!G38+PDD!G38+得物!G38+京东自营财经口径!G38+京东POP财经口径!G38+'视频号+官网+小程序'!G38+快手!G38+唯品会!G38+'线下门店-直营'!G38+'线下门店-经销'!G38+线下渠道!G38+淘系达播!G38+抖音达播!G38</f>
        <v>4748153.49034533</v>
      </c>
      <c r="I38" s="87">
        <f>淘系!H38+抖音!H38+PDD!H38+得物!H38+京东自营财经口径!H38+京东POP财经口径!H38+'视频号+官网+小程序'!H38+快手!H38+唯品会!H38+'线下门店-直营'!H38+'线下门店-经销'!H38+线下渠道!H38+淘系达播!H38+抖音达播!H38</f>
        <v>4563874.82963346</v>
      </c>
      <c r="J38" s="87">
        <f>淘系!I38+抖音!I38+PDD!I38+得物!I38+京东自营财经口径!I38+京东POP财经口径!I38+'视频号+官网+小程序'!I38+快手!I38+唯品会!I38+'线下门店-直营'!I38+'线下门店-经销'!I38+线下渠道!I38+淘系达播!I38+抖音达播!I38</f>
        <v>2576178.91809479</v>
      </c>
      <c r="K38" s="87">
        <f>淘系!J38+抖音!J38+PDD!J38+得物!J38+京东自营财经口径!J38+京东POP财经口径!J38+'视频号+官网+小程序'!J38+快手!J38+唯品会!J38+'线下门店-直营'!J38+'线下门店-经销'!J38+线下渠道!J38+淘系达播!J38+抖音达播!J38</f>
        <v>4648298.75713734</v>
      </c>
      <c r="L38" s="87">
        <f>淘系!K38+抖音!K38+PDD!K38+得物!K38+京东自营财经口径!K38+京东POP财经口径!K38+'视频号+官网+小程序'!K38+快手!K38+唯品会!K38+'线下门店-直营'!K38+'线下门店-经销'!K38+线下渠道!K38+淘系达播!K38+抖音达播!K38</f>
        <v>2731039.37716828</v>
      </c>
      <c r="M38" s="87">
        <f>淘系!L38+抖音!L38+PDD!L38+得物!L38+京东自营财经口径!L38+京东POP财经口径!L38+'视频号+官网+小程序'!L38+快手!L38+唯品会!L38+'线下门店-直营'!L38+'线下门店-经销'!L38+线下渠道!L38+淘系达播!L38+抖音达播!L38</f>
        <v>5541694.53167599</v>
      </c>
      <c r="N38" s="87">
        <f>淘系!M38+抖音!M38+PDD!M38+得物!M38+京东自营财经口径!M38+京东POP财经口径!M38+'视频号+官网+小程序'!M38+快手!M38+唯品会!M38+'线下门店-直营'!M38+'线下门店-经销'!M38+线下渠道!M38+淘系达播!M38+抖音达播!M38</f>
        <v>4773752.36634482</v>
      </c>
      <c r="O38" s="87">
        <f>淘系!N38+抖音!N38+PDD!N38+得物!N38+京东自营财经口径!N38+京东POP财经口径!N38+'视频号+官网+小程序'!N38+快手!N38+唯品会!N38+'线下门店-直营'!N38+'线下门店-经销'!N38+线下渠道!N38+淘系达播!N38+抖音达播!N38</f>
        <v>3186379.58890018</v>
      </c>
      <c r="P38" s="87">
        <f>SUM(C38:O38)</f>
        <v>41931093.592836</v>
      </c>
      <c r="Q38" s="42">
        <f>P38/$P$16</f>
        <v>0.103783596269644</v>
      </c>
      <c r="R38" s="6" t="s">
        <v>91</v>
      </c>
      <c r="S38">
        <f>P37-S37</f>
        <v>0.150172770023346</v>
      </c>
      <c r="T38" s="67"/>
      <c r="U38" s="53">
        <f>P38-淘系!O38-淘系达播!O38-抖音!O38-抖音达播!O38-快手!O38-京东POP财经口径!O38-京东自营财经口径!O38-PDD!O38-得物!O38-'视频号+官网+小程序'!O38-唯品会!O38-'线下门店-直营'!O38-'线下门店-经销'!O38-线下渠道!O38</f>
        <v>-1.32713466882706e-8</v>
      </c>
      <c r="V38" s="84"/>
      <c r="W38" s="84"/>
    </row>
    <row r="39" ht="16.8" spans="1:23">
      <c r="A39" s="36"/>
      <c r="B39" s="87" t="s">
        <v>53</v>
      </c>
      <c r="C39" s="87">
        <f>淘系!C39+抖音!C39+PDD!C39+得物!C39+京东自营财经口径!C39+京东POP财经口径!C39+'视频号+官网+小程序'!C39+快手!C39+唯品会!C39+'线下门店-直营'!C39+'线下门店-经销'!C39+线下渠道!C39+淘系达播!C39+抖音达播!C39</f>
        <v>2298503.00864808</v>
      </c>
      <c r="D39" s="87"/>
      <c r="E39" s="87">
        <f>淘系!D39+抖音!D39+PDD!D39+得物!D39+京东自营财经口径!D39+京东POP财经口径!D39+'视频号+官网+小程序'!D39+快手!D39+唯品会!D39+'线下门店-直营'!D39+'线下门店-经销'!D39+线下渠道!D39+淘系达播!D39+抖音达播!D39</f>
        <v>2468200.77653974</v>
      </c>
      <c r="F39" s="87">
        <f>淘系!E39+抖音!E39+PDD!E39+得物!E39+京东自营财经口径!E39+京东POP财经口径!E39+'视频号+官网+小程序'!E39+快手!E39+唯品会!E39+'线下门店-直营'!E39+'线下门店-经销'!E39+线下渠道!E39+淘系达播!E39+抖音达播!E39</f>
        <v>1582066.5670413</v>
      </c>
      <c r="G39" s="87">
        <f>淘系!F39+抖音!F39+PDD!F39+得物!F39+京东自营财经口径!F39+京东POP财经口径!F39+'视频号+官网+小程序'!F39+快手!F39+唯品会!F39+'线下门店-直营'!F39+'线下门店-经销'!F39+线下渠道!F39+淘系达播!F39+抖音达播!F39</f>
        <v>1336204.87081191</v>
      </c>
      <c r="H39" s="87">
        <f>淘系!G39+抖音!G39+PDD!G39+得物!G39+京东自营财经口径!G39+京东POP财经口径!G39+'视频号+官网+小程序'!G39+快手!G39+唯品会!G39+'线下门店-直营'!G39+'线下门店-经销'!G39+线下渠道!G39+淘系达播!G39+抖音达播!G39</f>
        <v>3070752.37989253</v>
      </c>
      <c r="I39" s="87">
        <f>淘系!H39+抖音!H39+PDD!H39+得物!H39+京东自营财经口径!H39+京东POP财经口径!H39+'视频号+官网+小程序'!H39+快手!H39+唯品会!H39+'线下门店-直营'!H39+'线下门店-经销'!H39+线下渠道!H39+淘系达播!H39+抖音达播!H39</f>
        <v>2791593.07262957</v>
      </c>
      <c r="J39" s="87">
        <f>淘系!I39+抖音!I39+PDD!I39+得物!I39+京东自营财经口径!I39+京东POP财经口径!I39+'视频号+官网+小程序'!I39+快手!I39+唯品会!I39+'线下门店-直营'!I39+'线下门店-经销'!I39+线下渠道!I39+淘系达播!I39+抖音达播!I39</f>
        <v>1603445.84497429</v>
      </c>
      <c r="K39" s="87">
        <f>淘系!J39+抖音!J39+PDD!J39+得物!J39+京东自营财经口径!J39+京东POP财经口径!J39+'视频号+官网+小程序'!J39+快手!J39+唯品会!J39+'线下门店-直营'!J39+'线下门店-经销'!J39+线下渠道!J39+淘系达播!J39+抖音达播!J39</f>
        <v>2583206.54748962</v>
      </c>
      <c r="L39" s="87">
        <f>淘系!K39+抖音!K39+PDD!K39+得物!K39+京东自营财经口径!K39+京东POP财经口径!K39+'视频号+官网+小程序'!K39+快手!K39+唯品会!K39+'线下门店-直营'!K39+'线下门店-经销'!K39+线下渠道!K39+淘系达播!K39+抖音达播!K39</f>
        <v>1594158.1573787</v>
      </c>
      <c r="M39" s="87">
        <f>淘系!L39+抖音!L39+PDD!L39+得物!L39+京东自营财经口径!L39+京东POP财经口径!L39+'视频号+官网+小程序'!L39+快手!L39+唯品会!L39+'线下门店-直营'!L39+'线下门店-经销'!L39+线下渠道!L39+淘系达播!L39+抖音达播!L39</f>
        <v>3070752.37989253</v>
      </c>
      <c r="N39" s="87">
        <f>淘系!M39+抖音!M39+PDD!M39+得物!M39+京东自营财经口径!M39+京东POP财经口径!M39+'视频号+官网+小程序'!M39+快手!M39+唯品会!M39+'线下门店-直营'!M39+'线下门店-经销'!M39+线下渠道!M39+淘系达播!M39+抖音达播!M39</f>
        <v>2780534.82542285</v>
      </c>
      <c r="O39" s="87">
        <f>淘系!N39+抖音!N39+PDD!N39+得物!N39+京东自营财经口径!N39+京东POP财经口径!N39+'视频号+官网+小程序'!N39+快手!N39+唯品会!N39+'线下门店-直营'!N39+'线下门店-经销'!N39+线下渠道!N39+淘系达播!N39+抖音达播!N39</f>
        <v>2571042.47556223</v>
      </c>
      <c r="P39" s="87">
        <f>SUM(C39:O39)</f>
        <v>27750460.9062833</v>
      </c>
      <c r="Q39" s="42">
        <f>P39/$P$16</f>
        <v>0.0686851303941741</v>
      </c>
      <c r="R39" s="6" t="s">
        <v>91</v>
      </c>
      <c r="S39">
        <f>淘系!O31+抖音!O31+京东自营财经口径!O31</f>
        <v>20683454.2887816</v>
      </c>
      <c r="T39" s="67"/>
      <c r="U39" s="53">
        <f>P39-淘系!O39-淘系达播!O39-抖音!O39-抖音达播!O39-快手!O39-京东POP财经口径!O39-京东自营财经口径!O39-PDD!O39-得物!O39-'视频号+官网+小程序'!O39-唯品会!O39-'线下门店-直营'!O39-'线下门店-经销'!O39-线下渠道!O39</f>
        <v>0</v>
      </c>
      <c r="V39" s="84"/>
      <c r="W39" s="84"/>
    </row>
    <row r="40" ht="16.8" spans="1:23">
      <c r="A40" s="36"/>
      <c r="B40" s="87" t="s">
        <v>55</v>
      </c>
      <c r="C40" s="87">
        <f>淘系!C40+抖音!C40+PDD!C40+得物!C40+京东自营财经口径!C40+京东POP财经口径!C40+'视频号+官网+小程序'!C40+快手!C40+唯品会!C40+'线下门店-直营'!C40+'线下门店-经销'!C40+线下渠道!C40+淘系达播!C40+抖音达播!C40</f>
        <v>698638.301198982</v>
      </c>
      <c r="D40" s="87"/>
      <c r="E40" s="87">
        <f>淘系!D40+抖音!D40+PDD!D40+得物!D40+京东自营财经口径!D40+京东POP财经口径!D40+'视频号+官网+小程序'!D40+快手!D40+唯品会!D40+'线下门店-直营'!D40+'线下门店-经销'!D40+线下渠道!D40+淘系达播!D40+抖音达播!D40</f>
        <v>794417.053725664</v>
      </c>
      <c r="F40" s="87">
        <f>淘系!E40+抖音!E40+PDD!E40+得物!E40+京东自营财经口径!E40+京东POP财经口径!E40+'视频号+官网+小程序'!E40+快手!E40+唯品会!E40+'线下门店-直营'!E40+'线下门店-经销'!E40+线下渠道!E40+淘系达播!E40+抖音达播!E40</f>
        <v>667442.569460177</v>
      </c>
      <c r="G40" s="87">
        <f>淘系!F40+抖音!F40+PDD!F40+得物!F40+京东自营财经口径!F40+京东POP财经口径!F40+'视频号+官网+小程序'!F40+快手!F40+唯品会!F40+'线下门店-直营'!F40+'线下门店-经销'!F40+线下渠道!F40+淘系达播!F40+抖音达播!F40</f>
        <v>562879.374541593</v>
      </c>
      <c r="H40" s="87">
        <f>淘系!G40+抖音!G40+PDD!G40+得物!G40+京东自营财经口径!G40+京东POP财经口径!G40+'视频号+官网+小程序'!G40+快手!G40+唯品会!G40+'线下门店-直营'!G40+'线下门店-经销'!G40+线下渠道!G40+淘系达播!G40+抖音达播!G40</f>
        <v>1978191.33340547</v>
      </c>
      <c r="I40" s="87">
        <f>淘系!H40+抖音!H40+PDD!H40+得物!H40+京东自营财经口径!H40+京东POP财经口径!H40+'视频号+官网+小程序'!H40+快手!H40+唯品会!H40+'线下门店-直营'!H40+'线下门店-经销'!H40+线下渠道!H40+淘系达播!H40+抖音达播!H40</f>
        <v>1391355.06495398</v>
      </c>
      <c r="J40" s="87">
        <f>淘系!I40+抖音!I40+PDD!I40+得物!I40+京东自营财经口径!I40+京东POP财经口径!I40+'视频号+官网+小程序'!I40+快手!I40+唯品会!I40+'线下门店-直营'!I40+'线下门店-经销'!I40+线下渠道!I40+淘系达播!I40+抖音达播!I40</f>
        <v>733176.959928319</v>
      </c>
      <c r="K40" s="87">
        <f>淘系!J40+抖音!J40+PDD!J40+得物!J40+京东自营财经口径!J40+京东POP财经口径!J40+'视频号+官网+小程序'!J40+快手!J40+唯品会!J40+'线下门店-直营'!J40+'线下门店-经销'!J40+线下渠道!J40+淘系达播!J40+抖音达播!J40</f>
        <v>1398044.56047005</v>
      </c>
      <c r="L40" s="87">
        <f>淘系!K40+抖音!K40+PDD!K40+得物!K40+京东自营财经口径!K40+京东POP财经口径!K40+'视频号+官网+小程序'!K40+快手!K40+唯品会!K40+'线下门店-直营'!K40+'线下门店-经销'!K40+线下渠道!K40+淘系达播!K40+抖音达播!K40</f>
        <v>803610.319380531</v>
      </c>
      <c r="M40" s="87">
        <f>淘系!L40+抖音!L40+PDD!L40+得物!L40+京东自营财经口径!L40+京东POP财经口径!L40+'视频号+官网+小程序'!L40+快手!L40+唯品会!L40+'线下门店-直营'!L40+'线下门店-经销'!L40+线下渠道!L40+淘系达播!L40+抖音达播!L40</f>
        <v>1783683.88037522</v>
      </c>
      <c r="N40" s="87">
        <f>淘系!M40+抖音!M40+PDD!M40+得物!M40+京东自营财经口径!M40+京东POP财经口径!M40+'视频号+官网+小程序'!M40+快手!M40+唯品会!M40+'线下门店-直营'!M40+'线下门店-经销'!M40+线下渠道!M40+淘系达播!M40+抖音达播!M40</f>
        <v>1423348.1125115</v>
      </c>
      <c r="O40" s="87">
        <f>淘系!N40+抖音!N40+PDD!N40+得物!N40+京东自营财经口径!N40+京东POP财经口径!N40+'视频号+官网+小程序'!N40+快手!N40+唯品会!N40+'线下门店-直营'!N40+'线下门店-经销'!N40+线下渠道!N40+淘系达播!N40+抖音达播!N40</f>
        <v>908636.977300885</v>
      </c>
      <c r="P40" s="87">
        <f>SUM(C40:O40)</f>
        <v>13143424.5072524</v>
      </c>
      <c r="Q40" s="42">
        <f>P40/$P$16</f>
        <v>0.0325312732338153</v>
      </c>
      <c r="R40" s="6" t="s">
        <v>91</v>
      </c>
      <c r="S40">
        <f>淘系!O31</f>
        <v>9080973.66010454</v>
      </c>
      <c r="T40">
        <f t="shared" ref="T40:T45" si="15">S40/$S$39</f>
        <v>0.439045312901623</v>
      </c>
      <c r="U40" s="53">
        <f>P40-淘系!O40-淘系达播!O40-抖音!O40-抖音达播!O40-快手!O40-京东POP财经口径!O40-京东自营财经口径!O40-PDD!O40-得物!O40-'视频号+官网+小程序'!O40-唯品会!O40-'线下门店-直营'!O40-'线下门店-经销'!O40-线下渠道!O40</f>
        <v>0</v>
      </c>
      <c r="V40" s="84"/>
      <c r="W40" s="84"/>
    </row>
    <row r="41" ht="16.8" outlineLevel="1" spans="1:23">
      <c r="A41" s="36"/>
      <c r="B41" s="87" t="s">
        <v>57</v>
      </c>
      <c r="C41" s="42">
        <f>C38/C$16</f>
        <v>0.0829987198450816</v>
      </c>
      <c r="D41" s="42"/>
      <c r="E41" s="42">
        <f t="shared" ref="E41:O41" si="16">E38/E$16</f>
        <v>0.0995424536298963</v>
      </c>
      <c r="F41" s="42">
        <f t="shared" si="16"/>
        <v>0.0940900362394147</v>
      </c>
      <c r="G41" s="42">
        <f t="shared" si="16"/>
        <v>0.0929646523993903</v>
      </c>
      <c r="H41" s="42">
        <f t="shared" si="16"/>
        <v>0.111100529777492</v>
      </c>
      <c r="I41" s="42">
        <f t="shared" si="16"/>
        <v>0.117415099436272</v>
      </c>
      <c r="J41" s="42">
        <f t="shared" si="16"/>
        <v>0.0949039970839487</v>
      </c>
      <c r="K41" s="42">
        <f t="shared" si="16"/>
        <v>0.123691795101458</v>
      </c>
      <c r="L41" s="42">
        <f t="shared" si="16"/>
        <v>0.099363889977365</v>
      </c>
      <c r="M41" s="42">
        <f t="shared" si="16"/>
        <v>0.11454134954785</v>
      </c>
      <c r="N41" s="42">
        <f t="shared" si="16"/>
        <v>0.105417045127822</v>
      </c>
      <c r="O41" s="42">
        <f t="shared" si="16"/>
        <v>0.085494540551722</v>
      </c>
      <c r="P41" s="42">
        <f>P38/$P$16</f>
        <v>0.103783596269644</v>
      </c>
      <c r="Q41" s="42"/>
      <c r="R41" s="6" t="s">
        <v>91</v>
      </c>
      <c r="T41">
        <f t="shared" si="15"/>
        <v>0</v>
      </c>
      <c r="U41" s="53">
        <f>P41-淘系!O41-淘系达播!O41-抖音!O41-抖音达播!O41-快手!O41-京东POP财经口径!O41-京东自营财经口径!O41-PDD!O41-得物!O41-'视频号+官网+小程序'!O41-唯品会!O41-'线下门店-直营'!O41-'线下门店-经销'!O41-线下渠道!O41</f>
        <v>-0.99470871609196</v>
      </c>
    </row>
    <row r="42" ht="16.8" outlineLevel="1" spans="1:23">
      <c r="A42" s="36"/>
      <c r="B42" s="87" t="s">
        <v>58</v>
      </c>
      <c r="C42" s="42">
        <f>C39/C$16</f>
        <v>0.083233491873255</v>
      </c>
      <c r="D42" s="42"/>
      <c r="E42" s="42">
        <f t="shared" ref="E42:O42" si="17">E39/E$16</f>
        <v>0.08936882664958</v>
      </c>
      <c r="F42" s="42">
        <f t="shared" si="17"/>
        <v>0.0670555109718494</v>
      </c>
      <c r="G42" s="42">
        <f t="shared" si="17"/>
        <v>0.0653574577632275</v>
      </c>
      <c r="H42" s="42">
        <f t="shared" si="17"/>
        <v>0.071851555960703</v>
      </c>
      <c r="I42" s="42">
        <f t="shared" si="17"/>
        <v>0.0718194934006845</v>
      </c>
      <c r="J42" s="42">
        <f t="shared" si="17"/>
        <v>0.0590694298159421</v>
      </c>
      <c r="K42" s="42">
        <f t="shared" si="17"/>
        <v>0.0687394403137735</v>
      </c>
      <c r="L42" s="42">
        <f t="shared" si="17"/>
        <v>0.05800053894519</v>
      </c>
      <c r="M42" s="42">
        <f t="shared" si="17"/>
        <v>0.063469417108739</v>
      </c>
      <c r="N42" s="42">
        <f t="shared" si="17"/>
        <v>0.0614015438332249</v>
      </c>
      <c r="O42" s="42">
        <f t="shared" si="17"/>
        <v>0.0689842779412934</v>
      </c>
      <c r="P42" s="42">
        <f>P39/$P$16</f>
        <v>0.0686851303941741</v>
      </c>
      <c r="Q42" s="42"/>
      <c r="R42" s="6" t="s">
        <v>91</v>
      </c>
      <c r="T42">
        <f t="shared" si="15"/>
        <v>0</v>
      </c>
      <c r="U42" s="53">
        <f>P42-淘系!O42-淘系达播!O42-抖音!O42-抖音达播!O42-快手!O42-京东POP财经口径!O42-京东自营财经口径!O42-PDD!O42-得物!O42-'视频号+官网+小程序'!O42-唯品会!O42-'线下门店-直营'!O42-'线下门店-经销'!O42-线下渠道!O42</f>
        <v>-0.296020751958767</v>
      </c>
    </row>
    <row r="43" ht="16.8" outlineLevel="1" spans="1:23">
      <c r="A43" s="36"/>
      <c r="B43" s="87" t="s">
        <v>59</v>
      </c>
      <c r="C43" s="42">
        <f>C40/C$16</f>
        <v>0.0252991208392598</v>
      </c>
      <c r="D43" s="42"/>
      <c r="E43" s="42">
        <f t="shared" ref="E43:O43" si="18">E40/E$16</f>
        <v>0.0287643212159633</v>
      </c>
      <c r="F43" s="42">
        <f t="shared" si="18"/>
        <v>0.0282893927928811</v>
      </c>
      <c r="G43" s="42">
        <f t="shared" si="18"/>
        <v>0.027531979377564</v>
      </c>
      <c r="H43" s="42">
        <f t="shared" si="18"/>
        <v>0.0462870683497232</v>
      </c>
      <c r="I43" s="42">
        <f t="shared" si="18"/>
        <v>0.0357954806827718</v>
      </c>
      <c r="J43" s="42">
        <f t="shared" si="18"/>
        <v>0.0270095464171077</v>
      </c>
      <c r="K43" s="42">
        <f t="shared" si="18"/>
        <v>0.0372021357385525</v>
      </c>
      <c r="L43" s="42">
        <f t="shared" si="18"/>
        <v>0.0292378967609013</v>
      </c>
      <c r="M43" s="42">
        <f t="shared" si="18"/>
        <v>0.0368669831325283</v>
      </c>
      <c r="N43" s="42">
        <f t="shared" si="18"/>
        <v>0.0314312810331452</v>
      </c>
      <c r="O43" s="42">
        <f t="shared" si="18"/>
        <v>0.0243798639601059</v>
      </c>
      <c r="P43" s="42">
        <f>P40/$P$16</f>
        <v>0.0325312732338153</v>
      </c>
      <c r="Q43" s="42"/>
      <c r="R43" s="6" t="s">
        <v>91</v>
      </c>
      <c r="T43">
        <f t="shared" si="15"/>
        <v>0</v>
      </c>
      <c r="U43" s="53">
        <f>P43-淘系!O43-淘系达播!O43-抖音!O43-抖音达播!O43-快手!O43-京东POP财经口径!O43-京东自营财经口径!O43-PDD!O43-得物!O43-'视频号+官网+小程序'!O43-唯品会!O43-'线下门店-直营'!O43-'线下门店-经销'!O43-线下渠道!O43</f>
        <v>-0.0905027897491248</v>
      </c>
    </row>
    <row r="44" ht="16.8" spans="1:23">
      <c r="A44" s="6"/>
      <c r="B44" s="86" t="s">
        <v>60</v>
      </c>
      <c r="C44" s="86">
        <f>SUM(C45:C46)</f>
        <v>873457.067637389</v>
      </c>
      <c r="D44" s="38">
        <f>C44/C$16</f>
        <v>0.0316296656855779</v>
      </c>
      <c r="E44" s="86">
        <f t="shared" ref="E44:O44" si="19">SUM(E45:E46)</f>
        <v>891315.704904132</v>
      </c>
      <c r="F44" s="86">
        <f t="shared" si="19"/>
        <v>784090.163295593</v>
      </c>
      <c r="G44" s="86">
        <f t="shared" si="19"/>
        <v>610146.643503439</v>
      </c>
      <c r="H44" s="86">
        <f t="shared" si="19"/>
        <v>1521937.33443377</v>
      </c>
      <c r="I44" s="86">
        <f t="shared" si="19"/>
        <v>1188479.91072996</v>
      </c>
      <c r="J44" s="86">
        <f t="shared" si="19"/>
        <v>779366.809232135</v>
      </c>
      <c r="K44" s="86">
        <f t="shared" si="19"/>
        <v>1264018.59042331</v>
      </c>
      <c r="L44" s="86">
        <f t="shared" si="19"/>
        <v>822841.275072908</v>
      </c>
      <c r="M44" s="86">
        <f t="shared" si="19"/>
        <v>2071368.97492832</v>
      </c>
      <c r="N44" s="86">
        <f t="shared" si="19"/>
        <v>1291114.684877</v>
      </c>
      <c r="O44" s="86">
        <f t="shared" si="19"/>
        <v>1089471.61056944</v>
      </c>
      <c r="P44" s="86">
        <f>SUM(C44:O44)</f>
        <v>13187608.8012371</v>
      </c>
      <c r="Q44" s="38">
        <f>P44/$P$16</f>
        <v>0.0326406337235009</v>
      </c>
      <c r="R44" s="6"/>
      <c r="S44">
        <f>抖音!O31</f>
        <v>5348171.17288612</v>
      </c>
      <c r="T44">
        <f t="shared" si="15"/>
        <v>0.25857243660634</v>
      </c>
      <c r="U44" s="53">
        <f>P44-淘系!O44-淘系达播!O44-抖音!O44-抖音达播!O44-快手!O44-京东POP财经口径!O44-京东自营财经口径!O44-PDD!O44-得物!O44-'视频号+官网+小程序'!O44-唯品会!O44-'线下门店-直营'!O44-'线下门店-经销'!O44-线下渠道!O44</f>
        <v>0.0316296654054895</v>
      </c>
    </row>
    <row r="45" ht="16.8" spans="1:23">
      <c r="A45" s="36"/>
      <c r="B45" s="87" t="s">
        <v>61</v>
      </c>
      <c r="C45" s="87">
        <f>淘系!C45+抖音!C45+PDD!C45+得物!C45+京东自营财经口径!C45+京东POP财经口径!C45+'视频号+官网+小程序'!C45+快手!C45+唯品会!C45+'线下门店-直营'!C45+'线下门店-经销'!C45+线下渠道!C45+淘系达播!C45+抖音达播!C45</f>
        <v>162529.488822359</v>
      </c>
      <c r="D45" s="87"/>
      <c r="E45" s="87">
        <f>淘系!D45+抖音!D45+PDD!D45+得物!D45+京东自营财经口径!D45+京东POP财经口径!D45+'视频号+官网+小程序'!D45+快手!D45+唯品会!D45+'线下门店-直营'!D45+'线下门店-经销'!D45+线下渠道!D45+淘系达播!D45+抖音达播!D45</f>
        <v>155166.98701243</v>
      </c>
      <c r="F45" s="87">
        <f>淘系!E45+抖音!E45+PDD!E45+得物!E45+京东自营财经口径!E45+京东POP财经口径!E45+'视频号+官网+小程序'!E45+快手!E45+唯品会!E45+'线下门店-直营'!E45+'线下门店-经销'!E45+线下渠道!E45+淘系达播!E45+抖音达播!E45</f>
        <v>194579.218911321</v>
      </c>
      <c r="G45" s="87">
        <f>淘系!F45+抖音!F45+PDD!F45+得物!F45+京东自营财经口径!F45+京东POP财经口径!F45+'视频号+官网+小程序'!F45+快手!F45+唯品会!F45+'线下门店-直营'!F45+'线下门店-经销'!F45+线下渠道!F45+淘系达播!F45+抖音达播!F45</f>
        <v>106561.309839184</v>
      </c>
      <c r="H45" s="87">
        <f>淘系!G45+抖音!G45+PDD!G45+得物!G45+京东自营财经口径!G45+京东POP财经口径!G45+'视频号+官网+小程序'!G45+快手!G45+唯品会!G45+'线下门店-直营'!G45+'线下门店-经销'!G45+线下渠道!G45+淘系达播!G45+抖音达播!G45</f>
        <v>442337.329917363</v>
      </c>
      <c r="I45" s="87">
        <f>淘系!H45+抖音!H45+PDD!H45+得物!H45+京东自营财经口径!H45+京东POP财经口径!H45+'视频号+官网+小程序'!H45+快手!H45+唯品会!H45+'线下门店-直营'!H45+'线下门店-经销'!H45+线下渠道!H45+淘系达播!H45+抖音达播!H45</f>
        <v>242039.409556093</v>
      </c>
      <c r="J45" s="87">
        <f>淘系!I45+抖音!I45+PDD!I45+得物!I45+京东自营财经口径!I45+京东POP财经口径!I45+'视频号+官网+小程序'!I45+快手!I45+唯品会!I45+'线下门店-直营'!I45+'线下门店-经销'!I45+线下渠道!I45+淘系达播!I45+抖音达播!I45</f>
        <v>126179.026245701</v>
      </c>
      <c r="K45" s="87">
        <f>淘系!J45+抖音!J45+PDD!J45+得物!J45+京东自营财经口径!J45+京东POP财经口径!J45+'视频号+官网+小程序'!J45+快手!J45+唯品会!J45+'线下门店-直营'!J45+'线下门店-经销'!J45+线下渠道!J45+淘系达播!J45+抖音达播!J45</f>
        <v>326056.341315885</v>
      </c>
      <c r="L45" s="87">
        <f>淘系!K45+抖音!K45+PDD!K45+得物!K45+京东自营财经口径!K45+京东POP财经口径!K45+'视频号+官网+小程序'!K45+快手!K45+唯品会!K45+'线下门店-直营'!K45+'线下门店-经销'!K45+线下渠道!K45+淘系达播!K45+抖音达播!K45</f>
        <v>160579.676976833</v>
      </c>
      <c r="M45" s="87">
        <f>淘系!L45+抖音!L45+PDD!L45+得物!L45+京东自营财经口径!L45+京东POP财经口径!L45+'视频号+官网+小程序'!L45+快手!L45+唯品会!L45+'线下门店-直营'!L45+'线下门店-经销'!L45+线下渠道!L45+淘系达播!L45+抖音达播!L45</f>
        <v>861365.922370193</v>
      </c>
      <c r="N45" s="87">
        <f>淘系!M45+抖音!M45+PDD!M45+得物!M45+京东自营财经口径!M45+京东POP财经口径!M45+'视频号+官网+小程序'!M45+快手!M45+唯品会!M45+'线下门店-直营'!M45+'线下门店-经销'!M45+线下渠道!M45+淘系达播!M45+抖音达播!M45</f>
        <v>219019.155230439</v>
      </c>
      <c r="O45" s="87">
        <f>淘系!N45+抖音!N45+PDD!N45+得物!N45+京东自营财经口径!N45+京东POP财经口径!N45+'视频号+官网+小程序'!N45+快手!N45+唯品会!N45+'线下门店-直营'!N45+'线下门店-经销'!N45+线下渠道!N45+淘系达播!N45+抖音达播!N45</f>
        <v>174825.025677513</v>
      </c>
      <c r="P45" s="87">
        <f>SUM(C45:O45)</f>
        <v>3171238.89187531</v>
      </c>
      <c r="Q45" s="42">
        <f>P45/$P$16</f>
        <v>0.00784912933645052</v>
      </c>
      <c r="R45" s="6" t="s">
        <v>92</v>
      </c>
      <c r="S45">
        <f>京东自营财经口径!O31</f>
        <v>6254309.45579096</v>
      </c>
      <c r="T45">
        <f t="shared" si="15"/>
        <v>0.302382250492037</v>
      </c>
      <c r="U45" s="53">
        <f>P45-淘系!O45-淘系达播!O45-抖音!O45-抖音达播!O45-快手!O45-京东POP财经口径!O45-京东自营财经口径!O45-PDD!O45-得物!O45-'视频号+官网+小程序'!O45-唯品会!O45-'线下门店-直营'!O45-'线下门店-经销'!O45-线下渠道!O45</f>
        <v>-5.38420863449574e-10</v>
      </c>
    </row>
    <row r="46" ht="16.8" spans="1:23">
      <c r="A46" s="36"/>
      <c r="B46" s="87" t="s">
        <v>63</v>
      </c>
      <c r="C46" s="87">
        <f>淘系!C46+抖音!C46+PDD!C46+得物!C46+京东自营财经口径!C46+京东POP财经口径!C46+'视频号+官网+小程序'!C46+快手!C46+唯品会!C46+'线下门店-直营'!C46+'线下门店-经销'!C46+线下渠道!C46+淘系达播!C46+抖音达播!C46</f>
        <v>710927.57881503</v>
      </c>
      <c r="D46" s="87"/>
      <c r="E46" s="87">
        <f>淘系!D46+抖音!D46+PDD!D46+得物!D46+京东自营财经口径!D46+京东POP财经口径!D46+'视频号+官网+小程序'!D46+快手!D46+唯品会!D46+'线下门店-直营'!D46+'线下门店-经销'!D46+线下渠道!D46+淘系达播!D46+抖音达播!D46</f>
        <v>736148.717891702</v>
      </c>
      <c r="F46" s="87">
        <f>淘系!E46+抖音!E46+PDD!E46+得物!E46+京东自营财经口径!E46+京东POP财经口径!E46+'视频号+官网+小程序'!E46+快手!E46+唯品会!E46+'线下门店-直营'!E46+'线下门店-经销'!E46+线下渠道!E46+淘系达播!E46+抖音达播!E46</f>
        <v>589510.944384271</v>
      </c>
      <c r="G46" s="87">
        <f>淘系!F46+抖音!F46+PDD!F46+得物!F46+京东自营财经口径!F46+京东POP财经口径!F46+'视频号+官网+小程序'!F46+快手!F46+唯品会!F46+'线下门店-直营'!F46+'线下门店-经销'!F46+线下渠道!F46+淘系达播!F46+抖音达播!F46</f>
        <v>503585.333664255</v>
      </c>
      <c r="H46" s="87">
        <f>淘系!G46+抖音!G46+PDD!G46+得物!G46+京东自营财经口径!G46+京东POP财经口径!G46+'视频号+官网+小程序'!G46+快手!G46+唯品会!G46+'线下门店-直营'!G46+'线下门店-经销'!G46+线下渠道!G46+淘系达播!G46+抖音达播!G46</f>
        <v>1079600.00451641</v>
      </c>
      <c r="I46" s="87">
        <f>淘系!H46+抖音!H46+PDD!H46+得物!H46+京东自营财经口径!H46+京东POP财经口径!H46+'视频号+官网+小程序'!H46+快手!H46+唯品会!H46+'线下门店-直营'!H46+'线下门店-经销'!H46+线下渠道!H46+淘系达播!H46+抖音达播!H46</f>
        <v>946440.501173864</v>
      </c>
      <c r="J46" s="87">
        <f>淘系!I46+抖音!I46+PDD!I46+得物!I46+京东自营财经口径!I46+京东POP财经口径!I46+'视频号+官网+小程序'!I46+快手!I46+唯品会!I46+'线下门店-直营'!I46+'线下门店-经销'!I46+线下渠道!I46+淘系达播!I46+抖音达播!I46</f>
        <v>653187.782986435</v>
      </c>
      <c r="K46" s="87">
        <f>淘系!J46+抖音!J46+PDD!J46+得物!J46+京东自营财经口径!J46+京东POP财经口径!J46+'视频号+官网+小程序'!J46+快手!J46+唯品会!J46+'线下门店-直营'!J46+'线下门店-经销'!J46+线下渠道!J46+淘系达播!J46+抖音达播!J46</f>
        <v>937962.249107427</v>
      </c>
      <c r="L46" s="87">
        <f>淘系!K46+抖音!K46+PDD!K46+得物!K46+京东自营财经口径!K46+京东POP财经口径!K46+'视频号+官网+小程序'!K46+快手!K46+唯品会!K46+'线下门店-直营'!K46+'线下门店-经销'!K46+线下渠道!K46+淘系达播!K46+抖音达播!K46</f>
        <v>662261.598096076</v>
      </c>
      <c r="M46" s="87">
        <f>淘系!L46+抖音!L46+PDD!L46+得物!L46+京东自营财经口径!L46+京东POP财经口径!L46+'视频号+官网+小程序'!L46+快手!L46+唯品会!L46+'线下门店-直营'!L46+'线下门店-经销'!L46+线下渠道!L46+淘系达播!L46+抖音达播!L46</f>
        <v>1210003.05255813</v>
      </c>
      <c r="N46" s="87">
        <f>淘系!M46+抖音!M46+PDD!M46+得物!M46+京东自营财经口径!M46+京东POP财经口径!M46+'视频号+官网+小程序'!M46+快手!M46+唯品会!M46+'线下门店-直营'!M46+'线下门店-经销'!M46+线下渠道!M46+淘系达播!M46+抖音达播!M46</f>
        <v>1072095.52964656</v>
      </c>
      <c r="O46" s="87">
        <f>淘系!N46+抖音!N46+PDD!N46+得物!N46+京东自营财经口径!N46+京东POP财经口径!N46+'视频号+官网+小程序'!N46+快手!N46+唯品会!N46+'线下门店-直营'!N46+'线下门店-经销'!N46+线下渠道!N46+淘系达播!N46+抖音达播!N46</f>
        <v>914646.584891926</v>
      </c>
      <c r="P46" s="87">
        <f>SUM(C46:O46)</f>
        <v>10016369.8777321</v>
      </c>
      <c r="Q46" s="42">
        <f>P46/$P$16</f>
        <v>0.0247915043087638</v>
      </c>
      <c r="R46" s="4" t="s">
        <v>83</v>
      </c>
      <c r="U46" s="53">
        <f>P46-淘系!O46-淘系达播!O46-抖音!O46-抖音达播!O46-快手!O46-京东POP财经口径!O46-京东自营财经口径!O46-PDD!O46-得物!O46-'视频号+官网+小程序'!O46-唯品会!O46-'线下门店-直营'!O46-'线下门店-经销'!O46-线下渠道!O46</f>
        <v>-18223.0698760723</v>
      </c>
    </row>
    <row r="47" ht="20" customHeight="1" spans="1:23">
      <c r="A47" s="36"/>
      <c r="B47" s="87" t="s">
        <v>93</v>
      </c>
      <c r="C47" s="42">
        <f>C45/C$16</f>
        <v>0.0058855249856805</v>
      </c>
      <c r="D47" s="42"/>
      <c r="E47" s="42">
        <f t="shared" ref="E47:P47" si="20">E45/E$16</f>
        <v>0.00561829965206164</v>
      </c>
      <c r="F47" s="42">
        <f t="shared" si="20"/>
        <v>0.0082471933990761</v>
      </c>
      <c r="G47" s="42">
        <f t="shared" si="20"/>
        <v>0.00521220694456595</v>
      </c>
      <c r="H47" s="42">
        <f t="shared" si="20"/>
        <v>0.0103501101626363</v>
      </c>
      <c r="I47" s="42">
        <f t="shared" si="20"/>
        <v>0.00622696335929261</v>
      </c>
      <c r="J47" s="42">
        <f t="shared" si="20"/>
        <v>0.0046483160989973</v>
      </c>
      <c r="K47" s="42">
        <f t="shared" si="20"/>
        <v>0.00867639888672152</v>
      </c>
      <c r="L47" s="42">
        <f t="shared" si="20"/>
        <v>0.00584239886437333</v>
      </c>
      <c r="M47" s="42">
        <f t="shared" si="20"/>
        <v>0.0178035823950353</v>
      </c>
      <c r="N47" s="42">
        <f t="shared" si="20"/>
        <v>0.00483652070718177</v>
      </c>
      <c r="O47" s="42">
        <f t="shared" si="20"/>
        <v>0.00469077359750505</v>
      </c>
      <c r="P47" s="42">
        <f t="shared" si="20"/>
        <v>0.00784912933645052</v>
      </c>
      <c r="Q47" s="42"/>
      <c r="R47" s="4"/>
      <c r="U47" s="53"/>
    </row>
    <row r="48" ht="20" customHeight="1" spans="1:23">
      <c r="A48" s="36"/>
      <c r="B48" s="87" t="s">
        <v>94</v>
      </c>
      <c r="C48" s="42">
        <f>C46/C$16</f>
        <v>0.0257441406998974</v>
      </c>
      <c r="D48" s="42"/>
      <c r="E48" s="42">
        <f t="shared" ref="E48:P48" si="21">E46/E$16</f>
        <v>0.0266545362852555</v>
      </c>
      <c r="F48" s="42">
        <f t="shared" si="21"/>
        <v>0.0249862796058649</v>
      </c>
      <c r="G48" s="42">
        <f t="shared" si="21"/>
        <v>0.0246317446479173</v>
      </c>
      <c r="H48" s="42">
        <f t="shared" si="21"/>
        <v>0.0252612163219755</v>
      </c>
      <c r="I48" s="42">
        <f t="shared" si="21"/>
        <v>0.0243491352642486</v>
      </c>
      <c r="J48" s="42">
        <f t="shared" si="21"/>
        <v>0.0240628207211867</v>
      </c>
      <c r="K48" s="42">
        <f t="shared" si="21"/>
        <v>0.0249592894930334</v>
      </c>
      <c r="L48" s="42">
        <f t="shared" si="21"/>
        <v>0.0240951811678685</v>
      </c>
      <c r="M48" s="42">
        <f t="shared" si="21"/>
        <v>0.025009567345299</v>
      </c>
      <c r="N48" s="42">
        <f t="shared" si="21"/>
        <v>0.0236746974197623</v>
      </c>
      <c r="O48" s="42">
        <f t="shared" si="21"/>
        <v>0.0245411092309713</v>
      </c>
      <c r="P48" s="42">
        <f t="shared" si="21"/>
        <v>0.0247915043087638</v>
      </c>
      <c r="Q48" s="42"/>
      <c r="R48" s="4"/>
      <c r="U48" s="53"/>
    </row>
    <row r="49" ht="16.8" spans="1:23">
      <c r="A49" s="6"/>
      <c r="B49" s="86" t="s">
        <v>65</v>
      </c>
      <c r="C49" s="86">
        <f>SUM(C50:C53)</f>
        <v>657080.283668148</v>
      </c>
      <c r="D49" s="38">
        <f>C49/C$16</f>
        <v>0.0237942200836782</v>
      </c>
      <c r="E49" s="86">
        <f t="shared" ref="E49:O49" si="22">SUM(E50:E53)</f>
        <v>636510.42427804</v>
      </c>
      <c r="F49" s="86">
        <f t="shared" si="22"/>
        <v>641266.508697088</v>
      </c>
      <c r="G49" s="86">
        <f t="shared" si="22"/>
        <v>662889.290044293</v>
      </c>
      <c r="H49" s="86">
        <f t="shared" si="22"/>
        <v>717270.269065751</v>
      </c>
      <c r="I49" s="86">
        <f t="shared" si="22"/>
        <v>966198.144021873</v>
      </c>
      <c r="J49" s="86">
        <f t="shared" si="22"/>
        <v>933219.492245947</v>
      </c>
      <c r="K49" s="86">
        <f t="shared" si="22"/>
        <v>963447.111509864</v>
      </c>
      <c r="L49" s="86">
        <f t="shared" si="22"/>
        <v>881708.222221685</v>
      </c>
      <c r="M49" s="86">
        <f t="shared" si="22"/>
        <v>1332901.34315578</v>
      </c>
      <c r="N49" s="86">
        <f t="shared" si="22"/>
        <v>1431607.07564887</v>
      </c>
      <c r="O49" s="86">
        <f t="shared" si="22"/>
        <v>1542325.93216576</v>
      </c>
      <c r="P49" s="86">
        <f t="shared" ref="P49:P62" si="23">SUM(C49:O49)</f>
        <v>11366424.1205173</v>
      </c>
      <c r="Q49" s="38">
        <f t="shared" ref="Q49:Q62" si="24">P49/$P$16</f>
        <v>0.0281330218431236</v>
      </c>
      <c r="R49" s="6"/>
      <c r="S49">
        <f>$S$38*T40+S40</f>
        <v>9080973.72603719</v>
      </c>
      <c r="U49" s="53">
        <f>P49-淘系!O47-淘系达播!O47-抖音!O47-抖音达播!O47-快手!O47-京东POP财经口径!O47-京东自营财经口径!O47-PDD!O47-得物!O47-'视频号+官网+小程序'!O47-唯品会!O47-'线下门店-直营'!O47-'线下门店-经销'!O47-线下渠道!O47</f>
        <v>0.0237942193634808</v>
      </c>
    </row>
    <row r="50" ht="16.8" spans="1:23">
      <c r="A50" s="36"/>
      <c r="B50" s="87" t="s">
        <v>66</v>
      </c>
      <c r="C50" s="87">
        <f>淘系!C48+抖音!C48+PDD!C48+得物!C48+京东自营财经口径!C48+京东POP财经口径!C48+'视频号+官网+小程序'!C48+快手!C48+唯品会!C48+'线下门店-直营'!C48+'线下门店-经销'!C48+线下渠道!C48+淘系达播!C48+抖音达播!C48</f>
        <v>273499.09091418</v>
      </c>
      <c r="D50" s="87"/>
      <c r="E50" s="87">
        <f>淘系!D48+抖音!D48+PDD!D48+得物!D48+京东自营财经口径!D48+京东POP财经口径!D48+'视频号+官网+小程序'!D48+快手!D48+唯品会!D48+'线下门店-直营'!D48+'线下门店-经销'!D48+线下渠道!D48+淘系达播!D48+抖音达播!D48</f>
        <v>282312.630706612</v>
      </c>
      <c r="F50" s="87">
        <f>淘系!E48+抖音!E48+PDD!E48+得物!E48+京东自营财经口径!E48+京东POP财经口径!E48+'视频号+官网+小程序'!E48+快手!E48+唯品会!E48+'线下门店-直营'!E48+'线下门店-经销'!E48+线下渠道!E48+淘系达播!E48+抖音达播!E48</f>
        <v>248013.188268517</v>
      </c>
      <c r="G50" s="87">
        <f>淘系!F48+抖音!F48+PDD!F48+得物!F48+京东自营财经口径!F48+京东POP财经口径!F48+'视频号+官网+小程序'!F48+快手!F48+唯品会!F48+'线下门店-直营'!F48+'线下门店-经销'!F48+线下渠道!F48+淘系达播!F48+抖音达播!F48</f>
        <v>271172.87271096</v>
      </c>
      <c r="H50" s="87">
        <f>淘系!G48+抖音!G48+PDD!G48+得物!G48+京东自营财经口径!G48+京东POP财经口径!G48+'视频号+官网+小程序'!G48+快手!G48+唯品会!G48+'线下门店-直营'!G48+'线下门店-经销'!G48+线下渠道!G48+淘系达播!G48+抖音达播!G48</f>
        <v>411814.033732418</v>
      </c>
      <c r="I50" s="87">
        <f>淘系!H48+抖音!H48+PDD!H48+得物!H48+京东自营财经口径!H48+京东POP财经口径!H48+'视频号+官网+小程序'!H48+快手!H48+唯品会!H48+'线下门店-直营'!H48+'线下门店-经销'!H48+线下渠道!H48+淘系达播!H48+抖音达播!H48</f>
        <v>560242.137021873</v>
      </c>
      <c r="J50" s="87">
        <f>淘系!I48+抖音!I48+PDD!I48+得物!I48+京东自营财经口径!I48+京东POP财经口径!I48+'视频号+官网+小程序'!I48+快手!I48+唯品会!I48+'线下门店-直营'!I48+'线下门店-经销'!I48+线下渠道!I48+淘系达播!I48+抖音达播!I48</f>
        <v>548529.708245947</v>
      </c>
      <c r="K50" s="87">
        <f>淘系!J48+抖音!J48+PDD!J48+得物!J48+京东自营财经口径!J48+京东POP财经口径!J48+'视频号+官网+小程序'!J48+快手!J48+唯品会!J48+'线下门店-直营'!J48+'线下门店-经销'!J48+线下渠道!J48+淘系达播!J48+抖音达播!J48</f>
        <v>616741.814843197</v>
      </c>
      <c r="L50" s="87">
        <f>淘系!K48+抖音!K48+PDD!K48+得物!K48+京东自营财经口径!K48+京东POP财经口径!K48+'视频号+官网+小程序'!K48+快手!K48+唯品会!K48+'线下门店-直营'!K48+'线下门店-经销'!K48+线下渠道!K48+淘系达播!K48+抖音达播!K48</f>
        <v>540262.257221685</v>
      </c>
      <c r="M50" s="87">
        <f>淘系!L48+抖音!L48+PDD!L48+得物!L48+京东自营财经口径!L48+京东POP财经口径!L48+'视频号+官网+小程序'!L48+快手!L48+唯品会!L48+'线下门店-直营'!L48+'线下门店-经销'!L48+线下渠道!L48+淘系达播!L48+抖音达播!L48</f>
        <v>874444.448155779</v>
      </c>
      <c r="N50" s="87">
        <f>淘系!M48+抖音!M48+PDD!M48+得物!M48+京东自营财经口径!M48+京东POP财经口径!M48+'视频号+官网+小程序'!M48+快手!M48+唯品会!M48+'线下门店-直营'!M48+'线下门店-经销'!M48+线下渠道!M48+淘系达播!M48+抖音达播!M48</f>
        <v>942170.295648869</v>
      </c>
      <c r="O50" s="87">
        <f>淘系!N48+抖音!N48+PDD!N48+得物!N48+京东自营财经口径!N48+京东POP财经口径!N48+'视频号+官网+小程序'!N48+快手!N48+唯品会!N48+'线下门店-直营'!N48+'线下门店-经销'!N48+线下渠道!N48+淘系达播!N48+抖音达播!N48</f>
        <v>1012182.70799909</v>
      </c>
      <c r="P50" s="87">
        <f t="shared" si="23"/>
        <v>6581385.18546913</v>
      </c>
      <c r="Q50" s="42">
        <f t="shared" si="24"/>
        <v>0.0162895780781745</v>
      </c>
      <c r="R50" s="4" t="s">
        <v>95</v>
      </c>
      <c r="S50">
        <f>S38*T44+S44</f>
        <v>5348171.21171665</v>
      </c>
      <c r="U50" s="53">
        <f>P50-淘系!O48-淘系达播!O48-抖音!O48-抖音达播!O48-快手!O48-京东POP财经口径!O48-京东自营财经口径!O48-PDD!O48-得物!O48-'视频号+官网+小程序'!O48-唯品会!O48-'线下门店-直营'!O48-'线下门店-经销'!O48-线下渠道!O48</f>
        <v>0</v>
      </c>
    </row>
    <row r="51" ht="16.8" spans="1:23">
      <c r="A51" s="36"/>
      <c r="B51" s="87" t="s">
        <v>67</v>
      </c>
      <c r="C51" s="87">
        <f>淘系!C49+抖音!C49+PDD!C49+得物!C49+京东自营财经口径!C49+京东POP财经口径!C49+'视频号+官网+小程序'!C49+快手!C49+唯品会!C49+'线下门店-直营'!C49+'线下门店-经销'!C49+线下渠道!C49+淘系达播!C49+抖音达播!C49</f>
        <v>151958.471673633</v>
      </c>
      <c r="D51" s="87"/>
      <c r="E51" s="87">
        <f>淘系!D49+抖音!D49+PDD!D49+得物!D49+京东自营财经口径!D49+京东POP财经口径!D49+'视频号+官网+小程序'!D49+快手!D49+唯品会!D49+'线下门店-直营'!D49+'线下门店-经销'!D49+线下渠道!D49+淘系达播!D49+抖音达播!D49</f>
        <v>132683.535</v>
      </c>
      <c r="F51" s="87">
        <f>淘系!E49+抖音!E49+PDD!E49+得物!E49+京东自营财经口径!E49+京东POP财经口径!E49+'视频号+官网+小程序'!E49+快手!E49+唯品会!E49+'线下门店-直营'!E49+'线下门店-经销'!E49+线下渠道!E49+淘系达播!E49+抖音达播!E49</f>
        <v>144087.636</v>
      </c>
      <c r="G51" s="87">
        <f>淘系!F49+抖音!F49+PDD!F49+得物!F49+京东自营财经口径!F49+京东POP财经口径!F49+'视频号+官网+小程序'!F49+快手!F49+唯品会!F49+'线下门店-直营'!F49+'线下门店-经销'!F49+线下渠道!F49+淘系达播!F49+抖音达播!F49</f>
        <v>135605.015</v>
      </c>
      <c r="H51" s="87">
        <f>淘系!G49+抖音!G49+PDD!G49+得物!G49+京东自营财经口径!G49+京东POP财经口径!G49+'视频号+官网+小程序'!G49+快手!G49+唯品会!G49+'线下门店-直营'!G49+'线下门店-经销'!G49+线下渠道!G49+淘系达播!G49+抖音达播!G49</f>
        <v>102872.77</v>
      </c>
      <c r="I51" s="87">
        <f>淘系!H49+抖音!H49+PDD!H49+得物!H49+京东自营财经口径!H49+京东POP财经口径!H49+'视频号+官网+小程序'!H49+快手!H49+唯品会!H49+'线下门店-直营'!H49+'线下门店-经销'!H49+线下渠道!H49+淘系达播!H49+抖音达播!H49</f>
        <v>143943.345</v>
      </c>
      <c r="J51" s="87">
        <f>淘系!I49+抖音!I49+PDD!I49+得物!I49+京东自营财经口径!I49+京东POP财经口径!I49+'视频号+官网+小程序'!I49+快手!I49+唯品会!I49+'线下门店-直营'!I49+'线下门店-经销'!I49+线下渠道!I49+淘系达播!I49+抖音达播!I49</f>
        <v>131789.64</v>
      </c>
      <c r="K51" s="87">
        <f>淘系!J49+抖音!J49+PDD!J49+得物!J49+京东自营财经口径!J49+京东POP财经口径!J49+'视频号+官网+小程序'!J49+快手!J49+唯品会!J49+'线下门店-直营'!J49+'线下门店-经销'!J49+线下渠道!J49+淘系达播!J49+抖音达播!J49</f>
        <v>112127.73</v>
      </c>
      <c r="L51" s="87">
        <f>淘系!K49+抖音!K49+PDD!K49+得物!K49+京东自营财经口径!K49+京东POP财经口径!K49+'视频号+官网+小程序'!K49+快手!K49+唯品会!K49+'线下门店-直营'!K49+'线下门店-经销'!K49+线下渠道!K49+淘系达播!K49+抖音达播!K49</f>
        <v>107031.015</v>
      </c>
      <c r="M51" s="87">
        <f>淘系!L49+抖音!L49+PDD!L49+得物!L49+京东自营财经口径!L49+京东POP财经口径!L49+'视频号+官网+小程序'!L49+快手!L49+唯品会!L49+'线下门店-直营'!L49+'线下门店-经销'!L49+线下渠道!L49+淘系达播!L49+抖音达播!L49</f>
        <v>130051.305</v>
      </c>
      <c r="N51" s="87">
        <f>淘系!M49+抖音!M49+PDD!M49+得物!M49+京东自营财经口径!M49+京东POP财经口径!M49+'视频号+官网+小程序'!M49+快手!M49+唯品会!M49+'线下门店-直营'!M49+'线下门店-经销'!M49+线下渠道!M49+淘系达播!M49+抖音达播!M49</f>
        <v>134868.02</v>
      </c>
      <c r="O51" s="87">
        <f>淘系!N49+抖音!N49+PDD!N49+得物!N49+京东自营财经口径!N49+京东POP财经口径!N49+'视频号+官网+小程序'!N49+快手!N49+唯品会!N49+'线下门店-直营'!N49+'线下门店-经销'!N49+线下渠道!N49+淘系达播!N49+抖音达播!N49</f>
        <v>139684.735</v>
      </c>
      <c r="P51" s="87">
        <f t="shared" si="23"/>
        <v>1566703.21767363</v>
      </c>
      <c r="Q51" s="42">
        <f t="shared" si="24"/>
        <v>0.00387774513577612</v>
      </c>
      <c r="R51" s="4" t="s">
        <v>95</v>
      </c>
      <c r="S51">
        <f>S38*T45+S45</f>
        <v>6254309.50120054</v>
      </c>
      <c r="U51" s="53">
        <f>P51-淘系!O49-淘系达播!O49-抖音!O49-抖音达播!O49-快手!O49-京东POP财经口径!O49-京东自营财经口径!O49-PDD!O49-得物!O49-'视频号+官网+小程序'!O49-唯品会!O49-'线下门店-直营'!O49-'线下门店-经销'!O49-线下渠道!O49</f>
        <v>0</v>
      </c>
    </row>
    <row r="52" ht="16.8" spans="1:23">
      <c r="A52" s="36"/>
      <c r="B52" s="87" t="s">
        <v>68</v>
      </c>
      <c r="C52" s="87">
        <f>淘系!C50+抖音!C50+PDD!C50+得物!C50+京东自营财经口径!C50+京东POP财经口径!C50+'视频号+官网+小程序'!C50+快手!C50+唯品会!C50+'线下门店-直营'!C50+'线下门店-经销'!C50+线下渠道!C50+淘系达播!C50+抖音达播!C50</f>
        <v>112000</v>
      </c>
      <c r="D52" s="87"/>
      <c r="E52" s="87">
        <f>淘系!D50+抖音!D50+PDD!D50+得物!D50+京东自营财经口径!D50+京东POP财经口径!D50+'视频号+官网+小程序'!D50+快手!D50+唯品会!D50+'线下门店-直营'!D50+'线下门店-经销'!D50+线下渠道!D50+淘系达播!D50+抖音达播!D50</f>
        <v>120000</v>
      </c>
      <c r="F52" s="87">
        <f>淘系!E50+抖音!E50+PDD!E50+得物!E50+京东自营财经口径!E50+京东POP财经口径!E50+'视频号+官网+小程序'!E50+快手!E50+唯品会!E50+'线下门店-直营'!E50+'线下门店-经销'!E50+线下渠道!E50+淘系达播!E50+抖音达播!E50</f>
        <v>132000</v>
      </c>
      <c r="G52" s="87">
        <f>淘系!F50+抖音!F50+PDD!F50+得物!F50+京东自营财经口径!F50+京东POP财经口径!F50+'视频号+官网+小程序'!F50+快手!F50+唯品会!F50+'线下门店-直营'!F50+'线下门店-经销'!F50+线下渠道!F50+淘系达播!F50+抖音达播!F50</f>
        <v>145000</v>
      </c>
      <c r="H52" s="87">
        <f>淘系!G50+抖音!G50+PDD!G50+得物!G50+京东自营财经口径!G50+京东POP财经口径!G50+'视频号+官网+小程序'!G50+快手!G50+唯品会!G50+'线下门店-直营'!G50+'线下门店-经销'!G50+线下渠道!G50+淘系达播!G50+抖音达播!G50</f>
        <v>110000</v>
      </c>
      <c r="I52" s="87">
        <f>淘系!H50+抖音!H50+PDD!H50+得物!H50+京东自营财经口径!H50+京东POP财经口径!H50+'视频号+官网+小程序'!H50+快手!H50+唯品会!H50+'线下门店-直营'!H50+'线下门店-经销'!H50+线下渠道!H50+淘系达播!H50+抖音达播!H50</f>
        <v>135000</v>
      </c>
      <c r="J52" s="87">
        <f>淘系!I50+抖音!I50+PDD!I50+得物!I50+京东自营财经口径!I50+京东POP财经口径!I50+'视频号+官网+小程序'!I50+快手!I50+唯品会!I50+'线下门店-直营'!I50+'线下门店-经销'!I50+线下渠道!I50+淘系达播!I50+抖音达播!I50</f>
        <v>120000</v>
      </c>
      <c r="K52" s="87">
        <f>淘系!J50+抖音!J50+PDD!J50+得物!J50+京东自营财经口径!J50+京东POP财经口径!J50+'视频号+官网+小程序'!J50+快手!J50+唯品会!J50+'线下门店-直营'!J50+'线下门店-经销'!J50+线下渠道!J50+淘系达播!J50+抖音达播!J50</f>
        <v>110000</v>
      </c>
      <c r="L52" s="87">
        <f>淘系!K50+抖音!K50+PDD!K50+得物!K50+京东自营财经口径!K50+京东POP财经口径!K50+'视频号+官网+小程序'!K50+快手!K50+唯品会!K50+'线下门店-直营'!K50+'线下门店-经销'!K50+线下渠道!K50+淘系达播!K50+抖音达播!K50</f>
        <v>105000</v>
      </c>
      <c r="M52" s="87">
        <f>淘系!L50+抖音!L50+PDD!L50+得物!L50+京东自营财经口径!L50+京东POP财经口径!L50+'视频号+官网+小程序'!L50+快手!L50+唯品会!L50+'线下门店-直营'!L50+'线下门店-经销'!L50+线下渠道!L50+淘系达播!L50+抖音达播!L50</f>
        <v>135000</v>
      </c>
      <c r="N52" s="87">
        <f>淘系!M50+抖音!M50+PDD!M50+得物!M50+京东自营财经口径!M50+京东POP财经口径!M50+'视频号+官网+小程序'!M50+快手!M50+唯品会!M50+'线下门店-直营'!M50+'线下门店-经销'!M50+线下渠道!M50+淘系达播!M50+抖音达播!M50</f>
        <v>140000</v>
      </c>
      <c r="O52" s="87">
        <f>淘系!N50+抖音!N50+PDD!N50+得物!N50+京东自营财经口径!N50+京东POP财经口径!N50+'视频号+官网+小程序'!N50+快手!N50+唯品会!N50+'线下门店-直营'!N50+'线下门店-经销'!N50+线下渠道!N50+淘系达播!N50+抖音达播!N50</f>
        <v>145000</v>
      </c>
      <c r="P52" s="87">
        <f t="shared" si="23"/>
        <v>1509000</v>
      </c>
      <c r="Q52" s="42">
        <f t="shared" si="24"/>
        <v>0.00373492397531101</v>
      </c>
      <c r="R52" s="4" t="s">
        <v>95</v>
      </c>
      <c r="U52" s="53">
        <f>P52-淘系!O50-淘系达播!O50-抖音!O50-抖音达播!O50-快手!O50-京东POP财经口径!O50-京东自营财经口径!O50-PDD!O50-得物!O50-'视频号+官网+小程序'!O50-唯品会!O50-'线下门店-直营'!O50-'线下门店-经销'!O50-线下渠道!O50</f>
        <v>0</v>
      </c>
    </row>
    <row r="53" ht="16.8" spans="1:23">
      <c r="A53" s="6"/>
      <c r="B53" s="87" t="s">
        <v>69</v>
      </c>
      <c r="C53" s="87">
        <f>淘系!C51+抖音!C51+PDD!C51+得物!C51+京东自营财经口径!C51+京东POP财经口径!C51+'视频号+官网+小程序'!C51+快手!C51+唯品会!C51+'线下门店-直营'!C51+'线下门店-经销'!C51+线下渠道!C51+淘系达播!C51+抖音达播!C51</f>
        <v>119622.721080335</v>
      </c>
      <c r="D53" s="87"/>
      <c r="E53" s="87">
        <f>淘系!D51+抖音!D51+PDD!D51+得物!D51+京东自营财经口径!D51+京东POP财经口径!D51+'视频号+官网+小程序'!D51+快手!D51+唯品会!D51+'线下门店-直营'!D51+'线下门店-经销'!D51+线下渠道!D51+淘系达播!D51+抖音达播!D51</f>
        <v>101514.258571429</v>
      </c>
      <c r="F53" s="87">
        <f>淘系!E51+抖音!E51+PDD!E51+得物!E51+京东自营财经口径!E51+京东POP财经口径!E51+'视频号+官网+小程序'!E51+快手!E51+唯品会!E51+'线下门店-直营'!E51+'线下门店-经销'!E51+线下渠道!E51+淘系达播!E51+抖音达播!E51</f>
        <v>117165.684428571</v>
      </c>
      <c r="G53" s="87">
        <f>淘系!F51+抖音!F51+PDD!F51+得物!F51+京东自营财经口径!F51+京东POP财经口径!F51+'视频号+官网+小程序'!F51+快手!F51+唯品会!F51+'线下门店-直营'!F51+'线下门店-经销'!F51+线下渠道!F51+淘系达播!F51+抖音达播!F51</f>
        <v>111111.402333333</v>
      </c>
      <c r="H53" s="87">
        <f>淘系!G51+抖音!G51+PDD!G51+得物!G51+京东自营财经口径!G51+京东POP财经口径!G51+'视频号+官网+小程序'!G51+快手!G51+唯品会!G51+'线下门店-直营'!G51+'线下门店-经销'!G51+线下渠道!G51+淘系达播!G51+抖音达播!G51</f>
        <v>92583.4653333333</v>
      </c>
      <c r="I53" s="87">
        <f>淘系!H51+抖音!H51+PDD!H51+得物!H51+京东自营财经口径!H51+京东POP财经口径!H51+'视频号+官网+小程序'!H51+快手!H51+唯品会!H51+'线下门店-直营'!H51+'线下门店-经销'!H51+线下渠道!H51+淘系达播!H51+抖音达播!H51</f>
        <v>127012.662</v>
      </c>
      <c r="J53" s="87">
        <f>淘系!I51+抖音!I51+PDD!I51+得物!I51+京东自营财经口径!I51+京东POP财经口径!I51+'视频号+官网+小程序'!I51+快手!I51+唯品会!I51+'线下门店-直营'!I51+'线下门店-经销'!I51+线下渠道!I51+淘系达播!I51+抖音达播!I51</f>
        <v>132900.144</v>
      </c>
      <c r="K53" s="87">
        <f>淘系!J51+抖音!J51+PDD!J51+得物!J51+京东自营财经口径!J51+京东POP财经口径!J51+'视频号+官网+小程序'!J51+快手!J51+唯品会!J51+'线下门店-直营'!J51+'线下门店-经销'!J51+线下渠道!J51+淘系达播!J51+抖音达播!J51</f>
        <v>124577.566666667</v>
      </c>
      <c r="L53" s="87">
        <f>淘系!K51+抖音!K51+PDD!K51+得物!K51+京东自营财经口径!K51+京东POP财经口径!K51+'视频号+官网+小程序'!K51+快手!K51+唯品会!K51+'线下门店-直营'!K51+'线下门店-经销'!K51+线下渠道!K51+淘系达播!K51+抖音达播!K51</f>
        <v>129414.95</v>
      </c>
      <c r="M53" s="87">
        <f>淘系!L51+抖音!L51+PDD!L51+得物!L51+京东自营财经口径!L51+京东POP财经口径!L51+'视频号+官网+小程序'!L51+快手!L51+唯品会!L51+'线下门店-直营'!L51+'线下门店-经销'!L51+线下渠道!L51+淘系达播!L51+抖音达播!L51</f>
        <v>193405.59</v>
      </c>
      <c r="N53" s="87">
        <f>淘系!M51+抖音!M51+PDD!M51+得物!M51+京东自营财经口径!M51+京东POP财经口径!M51+'视频号+官网+小程序'!M51+快手!M51+唯品会!M51+'线下门店-直营'!M51+'线下门店-经销'!M51+线下渠道!M51+淘系达播!M51+抖音达播!M51</f>
        <v>214568.76</v>
      </c>
      <c r="O53" s="87">
        <f>淘系!N51+抖音!N51+PDD!N51+得物!N51+京东自营财经口径!N51+京东POP财经口径!N51+'视频号+官网+小程序'!N51+快手!N51+唯品会!N51+'线下门店-直营'!N51+'线下门店-经销'!N51+线下渠道!N51+淘系达播!N51+抖音达播!N51</f>
        <v>245458.489166667</v>
      </c>
      <c r="P53" s="87">
        <f t="shared" si="23"/>
        <v>1709335.69358034</v>
      </c>
      <c r="Q53" s="42">
        <f t="shared" si="24"/>
        <v>0.0042307745949689</v>
      </c>
      <c r="R53" s="4" t="s">
        <v>95</v>
      </c>
      <c r="U53" s="53">
        <f>P53-淘系!O51-淘系达播!O51-抖音!O51-抖音达播!O51-快手!O51-京东POP财经口径!O51-京东自营财经口径!O51-PDD!O51-得物!O51-'视频号+官网+小程序'!O51-唯品会!O51-'线下门店-直营'!O51-'线下门店-经销'!O51-线下渠道!O51</f>
        <v>0</v>
      </c>
    </row>
    <row r="54" ht="16.8" spans="1:23">
      <c r="A54" s="6"/>
      <c r="B54" s="88" t="s">
        <v>70</v>
      </c>
      <c r="C54" s="88">
        <f>SUM(C26,C37,C44,C49)</f>
        <v>7571337.24949872</v>
      </c>
      <c r="D54" s="38">
        <f>C54/C$16</f>
        <v>0.274173596925803</v>
      </c>
      <c r="E54" s="88">
        <f t="shared" ref="E54:O54" si="25">SUM(E26,E37,E44,E49)</f>
        <v>9749121.09641897</v>
      </c>
      <c r="F54" s="88">
        <f t="shared" si="25"/>
        <v>9523102.80340748</v>
      </c>
      <c r="G54" s="88">
        <f t="shared" si="25"/>
        <v>7160913.17666042</v>
      </c>
      <c r="H54" s="88">
        <f t="shared" si="25"/>
        <v>20137112.1965326</v>
      </c>
      <c r="I54" s="88">
        <f t="shared" si="25"/>
        <v>15693144.2612826</v>
      </c>
      <c r="J54" s="88">
        <f t="shared" si="25"/>
        <v>7714531.18531449</v>
      </c>
      <c r="K54" s="88">
        <f t="shared" si="25"/>
        <v>12496733.2294811</v>
      </c>
      <c r="L54" s="88">
        <f t="shared" si="25"/>
        <v>8038243.39798641</v>
      </c>
      <c r="M54" s="88">
        <f t="shared" si="25"/>
        <v>18269991.8746447</v>
      </c>
      <c r="N54" s="88">
        <f t="shared" si="25"/>
        <v>13476238.7125192</v>
      </c>
      <c r="O54" s="88">
        <f t="shared" si="25"/>
        <v>10539676.4180236</v>
      </c>
      <c r="P54" s="88">
        <f t="shared" si="23"/>
        <v>140370145.875944</v>
      </c>
      <c r="Q54" s="41">
        <f t="shared" si="24"/>
        <v>0.347429969019196</v>
      </c>
      <c r="R54" s="6"/>
      <c r="U54" s="53">
        <f>P54-淘系!O52-淘系达播!O52-抖音!O52-抖音达播!O52-快手!O52-京东POP财经口径!O52-京东自营财经口径!O52-PDD!O52-得物!O52-'视频号+官网+小程序'!O52-唯品会!O52-'线下门店-直营'!O52-'线下门店-经销'!O52-线下渠道!O52</f>
        <v>0.274173607118428</v>
      </c>
    </row>
    <row r="55" ht="16.8" spans="1:23">
      <c r="A55" s="36"/>
      <c r="B55" s="87" t="s">
        <v>71</v>
      </c>
      <c r="C55" s="87">
        <f>淘系!C53+抖音!C53+PDD!C53+得物!C53+京东自营财经口径!C53+京东POP财经口径!C53+'视频号+官网+小程序'!C53+快手!C53+唯品会!C53+'线下门店-直营'!C53+'线下门店-经销'!C53+线下渠道!C53+淘系达播!C53+抖音达播!C53</f>
        <v>545556.883595722</v>
      </c>
      <c r="D55" s="87"/>
      <c r="E55" s="87">
        <f>淘系!D53+抖音!D53+PDD!D53+得物!D53+京东自营财经口径!D53+京东POP财经口径!D53+'视频号+官网+小程序'!D53+快手!D53+唯品会!D53+'线下门店-直营'!D53+'线下门店-经销'!D53+线下渠道!D53+淘系达播!D53+抖音达播!D53</f>
        <v>530099.860723887</v>
      </c>
      <c r="F55" s="87">
        <f>淘系!E53+抖音!E53+PDD!E53+得物!E53+京东自营财经口径!E53+京东POP财经口径!E53+'视频号+官网+小程序'!E53+快手!E53+唯品会!E53+'线下门店-直营'!E53+'线下门店-经销'!E53+线下渠道!E53+淘系达播!E53+抖音达播!E53</f>
        <v>459150.755133381</v>
      </c>
      <c r="G55" s="87">
        <f>淘系!F53+抖音!F53+PDD!F53+得物!F53+京东自营财经口径!F53+京东POP财经口径!F53+'视频号+官网+小程序'!F53+快手!F53+唯品会!F53+'线下门店-直营'!F53+'线下门店-经销'!F53+线下渠道!F53+淘系达播!F53+抖音达播!F53</f>
        <v>386682.703462475</v>
      </c>
      <c r="H55" s="87">
        <f>淘系!G53+抖音!G53+PDD!G53+得物!G53+京东自营财经口径!G53+京东POP财经口径!G53+'视频号+官网+小程序'!G53+快手!G53+唯品会!G53+'线下门店-直营'!G53+'线下门店-经销'!G53+线下渠道!G53+淘系达播!G53+抖音达播!G53</f>
        <v>881670.406427612</v>
      </c>
      <c r="I55" s="87">
        <f>淘系!H53+抖音!H53+PDD!H53+得物!H53+京东自营财经口径!H53+京东POP财经口径!H53+'视频号+官网+小程序'!H53+快手!H53+唯品会!H53+'线下门店-直营'!H53+'线下门店-经销'!H53+线下渠道!H53+淘系达播!H53+抖音达播!H53</f>
        <v>775856.216323882</v>
      </c>
      <c r="J55" s="87">
        <f>淘系!I53+抖音!I53+PDD!I53+得物!I53+京东自营财经口径!I53+京东POP财经口径!I53+'视频号+官网+小程序'!I53+快手!I53+唯品会!I53+'线下门店-直营'!I53+'线下门店-经销'!I53+线下渠道!I53+淘系达播!I53+抖音达播!I53</f>
        <v>507479.604761614</v>
      </c>
      <c r="K55" s="87">
        <f>淘系!J53+抖音!J53+PDD!J53+得物!J53+京东自营财经口径!J53+京东POP财经口径!J53+'视频号+官网+小程序'!J53+快手!J53+唯品会!J53+'线下门店-直营'!J53+'线下门店-经销'!J53+线下渠道!J53+淘系达播!J53+抖音达播!J53</f>
        <v>754147.405577996</v>
      </c>
      <c r="L55" s="87">
        <f>淘系!K53+抖音!K53+PDD!K53+得物!K53+京东自营财经口径!K53+京东POP财经口径!K53+'视频号+官网+小程序'!K53+快手!K53+唯品会!K53+'线下门店-直营'!K53+'线下门店-经销'!K53+线下渠道!K53+淘系达播!K53+抖音达播!K53</f>
        <v>523741.738888572</v>
      </c>
      <c r="M55" s="87">
        <f>淘系!L53+抖音!L53+PDD!L53+得物!L53+京东自营财经口径!L53+京东POP财经口径!L53+'视频号+官网+小程序'!L53+快手!L53+唯品会!L53+'线下门店-直营'!L53+'线下门店-经销'!L53+线下渠道!L53+淘系达播!L53+抖音达播!L53</f>
        <v>1006384.89301648</v>
      </c>
      <c r="N55" s="87">
        <f>淘系!M53+抖音!M53+PDD!M53+得物!M53+京东自营财经口径!M53+京东POP财经口径!M53+'视频号+官网+小程序'!M53+快手!M53+唯品会!M53+'线下门店-直营'!M53+'线下门店-经销'!M53+线下渠道!M53+淘系达播!M53+抖音达播!M53</f>
        <v>835439.317305766</v>
      </c>
      <c r="O55" s="87">
        <f>淘系!N53+抖音!N53+PDD!N53+得物!N53+京东自营财经口径!N53+京东POP财经口径!N53+'视频号+官网+小程序'!N53+快手!N53+唯品会!N53+'线下门店-直营'!N53+'线下门店-经销'!N53+线下渠道!N53+淘系达播!N53+抖音达播!N53</f>
        <v>670023.883873157</v>
      </c>
      <c r="P55" s="87">
        <f t="shared" si="23"/>
        <v>7876233.66909055</v>
      </c>
      <c r="Q55" s="42">
        <f t="shared" si="24"/>
        <v>0.0194944559084414</v>
      </c>
      <c r="R55" s="6"/>
      <c r="U55" s="53">
        <f>P55-淘系!O53-淘系达播!O53-抖音!O53-抖音达播!O53-快手!O53-京东POP财经口径!O53-京东自营财经口径!O53-PDD!O53-得物!O53-'视频号+官网+小程序'!O53-唯品会!O53-'线下门店-直营'!O53-'线下门店-经销'!O53-线下渠道!O53</f>
        <v>-1.13504938781261e-9</v>
      </c>
    </row>
    <row r="56" ht="16.8" spans="1:23">
      <c r="A56" s="36"/>
      <c r="B56" s="87" t="s">
        <v>73</v>
      </c>
      <c r="C56" s="87">
        <f>淘系!C54+抖音!C54+PDD!C54+得物!C54+京东自营财经口径!C54+京东POP财经口径!C54+'视频号+官网+小程序'!C54+快手!C54+唯品会!C54+'线下门店-直营'!C54+'线下门店-经销'!C54+线下渠道!C54+淘系达播!C54+抖音达播!C54</f>
        <v>361150.604167027</v>
      </c>
      <c r="D56" s="87"/>
      <c r="E56" s="87">
        <f>淘系!D54+抖音!D54+PDD!D54+得物!D54+京东自营财经口径!D54+京东POP财经口径!D54+'视频号+官网+小程序'!D54+快手!D54+唯品会!D54+'线下门店-直营'!D54+'线下门店-经销'!D54+线下渠道!D54+淘系达播!D54+抖音达播!D54</f>
        <v>365217.223106674</v>
      </c>
      <c r="F56" s="87">
        <f>淘系!E54+抖音!E54+PDD!E54+得物!E54+京东自营财经口径!E54+京东POP财经口径!E54+'视频号+官网+小程序'!E54+快手!E54+唯品会!E54+'线下门店-直营'!E54+'线下门店-经销'!E54+线下渠道!E54+淘系达播!E54+抖音达播!E54</f>
        <v>305035.606701191</v>
      </c>
      <c r="G56" s="87">
        <f>淘系!F54+抖音!F54+PDD!F54+得物!F54+京东自营财经口径!F54+京东POP财经口径!F54+'视频号+官网+小程序'!F54+快手!F54+唯品会!F54+'线下门店-直营'!F54+'线下门店-经销'!F54+线下渠道!F54+淘系达播!F54+抖音达播!F54</f>
        <v>260450.248731551</v>
      </c>
      <c r="H56" s="87">
        <f>淘系!G54+抖音!G54+PDD!G54+得物!G54+京东自营财经口径!G54+京东POP财经口径!G54+'视频号+官网+小程序'!G54+快手!G54+唯品会!G54+'线下门店-直营'!G54+'线下门店-经销'!G54+线下渠道!G54+淘系达播!G54+抖音达播!G54</f>
        <v>464064.907345889</v>
      </c>
      <c r="I56" s="87">
        <f>淘系!H54+抖音!H54+PDD!H54+得物!H54+京东自营财经口径!H54+京东POP财经口径!H54+'视频号+官网+小程序'!H54+快手!H54+唯品会!H54+'线下门店-直营'!H54+'线下门店-经销'!H54+线下渠道!H54+淘系达播!H54+抖音达播!H54</f>
        <v>412716.558019607</v>
      </c>
      <c r="J56" s="87">
        <f>淘系!I54+抖音!I54+PDD!I54+得物!I54+京东自营财经口径!I54+京东POP财经口径!I54+'视频号+官网+小程序'!I54+快手!I54+唯品会!I54+'线下门店-直营'!I54+'线下门店-经销'!I54+线下渠道!I54+淘系达播!I54+抖音达播!I54</f>
        <v>339608.742660318</v>
      </c>
      <c r="K56" s="87">
        <f>淘系!J54+抖音!J54+PDD!J54+得物!J54+京东自营财经口径!J54+京东POP财经口径!J54+'视频号+官网+小程序'!J54+快手!J54+唯品会!J54+'线下门店-直营'!J54+'线下门店-经销'!J54+线下渠道!J54+淘系达播!J54+抖音达播!J54</f>
        <v>483451.935125777</v>
      </c>
      <c r="L56" s="87">
        <f>淘系!K54+抖音!K54+PDD!K54+得物!K54+京东自营财经口径!K54+京东POP财经口径!K54+'视频号+官网+小程序'!K54+快手!K54+唯品会!K54+'线下门店-直营'!K54+'线下门店-经销'!K54+线下渠道!K54+淘系达播!K54+抖音达播!K54</f>
        <v>345370.345221676</v>
      </c>
      <c r="M56" s="87">
        <f>淘系!L54+抖音!L54+PDD!L54+得物!L54+京东自营财经口径!L54+京东POP财经口径!L54+'视频号+官网+小程序'!L54+快手!L54+唯品会!L54+'线下门店-直营'!L54+'线下门店-经销'!L54+线下渠道!L54+淘系达播!L54+抖音达播!L54</f>
        <v>522135.488521389</v>
      </c>
      <c r="N56" s="87">
        <f>淘系!M54+抖音!M54+PDD!M54+得物!M54+京东自营财经口径!M54+京东POP财经口径!M54+'视频号+官网+小程序'!M54+快手!M54+唯品会!M54+'线下门店-直营'!M54+'线下门店-经销'!M54+线下渠道!M54+淘系达播!M54+抖音达播!M54</f>
        <v>468604.863672283</v>
      </c>
      <c r="O56" s="87">
        <f>淘系!N54+抖音!N54+PDD!N54+得物!N54+京东自营财经口径!N54+京东POP财经口径!N54+'视频号+官网+小程序'!N54+快手!N54+唯品会!N54+'线下门店-直营'!N54+'线下门店-经销'!N54+线下渠道!N54+淘系达播!N54+抖音达播!N54</f>
        <v>456461.731459567</v>
      </c>
      <c r="P56" s="87">
        <f t="shared" si="23"/>
        <v>4784268.25473295</v>
      </c>
      <c r="Q56" s="42">
        <f t="shared" si="24"/>
        <v>0.0118415362550838</v>
      </c>
      <c r="R56" s="6"/>
      <c r="U56" s="53">
        <f>P56-淘系!O54-淘系达播!O54-抖音!O54-抖音达播!O54-快手!O54-京东POP财经口径!O54-京东自营财经口径!O54-PDD!O54-得物!O54-'视频号+官网+小程序'!O54-唯品会!O54-'线下门店-直营'!O54-'线下门店-经销'!O54-线下渠道!O54</f>
        <v>3.74711817130446e-10</v>
      </c>
    </row>
    <row r="57" ht="16.8" spans="1:23">
      <c r="A57" s="36"/>
      <c r="B57" s="87" t="s">
        <v>75</v>
      </c>
      <c r="C57" s="87">
        <f>淘系!C55+抖音!C55+PDD!C55+得物!C55+京东自营财经口径!C55+京东POP财经口径!C55+'视频号+官网+小程序'!C55+快手!C55+唯品会!C55+'线下门店-直营'!C55+'线下门店-经销'!C55+线下渠道!C55+淘系达播!C55+抖音达播!C55</f>
        <v>2113042</v>
      </c>
      <c r="D57" s="87"/>
      <c r="E57" s="87">
        <f>淘系!D55+抖音!D55+PDD!D55+得物!D55+京东自营财经口径!D55+京东POP财经口径!D55+'视频号+官网+小程序'!D55+快手!D55+唯品会!D55+'线下门店-直营'!D55+'线下门店-经销'!D55+线下渠道!D55+淘系达播!D55+抖音达播!D55</f>
        <v>1381742</v>
      </c>
      <c r="F57" s="87">
        <f>淘系!E55+抖音!E55+PDD!E55+得物!E55+京东自营财经口径!E55+京东POP财经口径!E55+'视频号+官网+小程序'!E55+快手!E55+唯品会!E55+'线下门店-直营'!E55+'线下门店-经销'!E55+线下渠道!E55+淘系达播!E55+抖音达播!E55</f>
        <v>1077748</v>
      </c>
      <c r="G57" s="87">
        <f>淘系!F55+抖音!F55+PDD!F55+得物!F55+京东自营财经口径!F55+京东POP财经口径!F55+'视频号+官网+小程序'!F55+快手!F55+唯品会!F55+'线下门店-直营'!F55+'线下门店-经销'!F55+线下渠道!F55+淘系达播!F55+抖音达播!F55</f>
        <v>1658593</v>
      </c>
      <c r="H57" s="87">
        <f>淘系!G55+抖音!G55+PDD!G55+得物!G55+京东自营财经口径!G55+京东POP财经口径!G55+'视频号+官网+小程序'!G55+快手!G55+唯品会!G55+'线下门店-直营'!G55+'线下门店-经销'!G55+线下渠道!G55+淘系达播!G55+抖音达播!G55</f>
        <v>1424395</v>
      </c>
      <c r="I57" s="87">
        <f>淘系!H55+抖音!H55+PDD!H55+得物!H55+京东自营财经口径!H55+京东POP财经口径!H55+'视频号+官网+小程序'!H55+快手!H55+唯品会!H55+'线下门店-直营'!H55+'线下门店-经销'!H55+线下渠道!H55+淘系达播!H55+抖音达播!H55</f>
        <v>997887</v>
      </c>
      <c r="J57" s="87">
        <f>淘系!I55+抖音!I55+PDD!I55+得物!I55+京东自营财经口径!I55+京东POP财经口径!I55+'视频号+官网+小程序'!I55+快手!I55+唯品会!I55+'线下门店-直营'!I55+'线下门店-经销'!I55+线下渠道!I55+淘系达播!I55+抖音达播!I55</f>
        <v>1390333</v>
      </c>
      <c r="K57" s="87">
        <f>淘系!J55+抖音!J55+PDD!J55+得物!J55+京东自营财经口径!J55+京东POP财经口径!J55+'视频号+官网+小程序'!J55+快手!J55+唯品会!J55+'线下门店-直营'!J55+'线下门店-经销'!J55+线下渠道!J55+淘系达播!J55+抖音达播!J55</f>
        <v>1075635</v>
      </c>
      <c r="L57" s="87">
        <f>淘系!K55+抖音!K55+PDD!K55+得物!K55+京东自营财经口径!K55+京东POP财经口径!K55+'视频号+官网+小程序'!K55+快手!K55+唯品会!K55+'线下门店-直营'!K55+'线下门店-经销'!K55+线下渠道!K55+淘系达播!K55+抖音达播!K55</f>
        <v>1482157</v>
      </c>
      <c r="M57" s="87">
        <f>淘系!L55+抖音!L55+PDD!L55+得物!L55+京东自营财经口径!L55+京东POP财经口径!L55+'视频号+官网+小程序'!L55+快手!L55+唯品会!L55+'线下门店-直营'!L55+'线下门店-经销'!L55+线下渠道!L55+淘系达播!L55+抖音达播!L55</f>
        <v>1169906</v>
      </c>
      <c r="N57" s="87">
        <f>淘系!M55+抖音!M55+PDD!M55+得物!M55+京东自营财经口径!M55+京东POP财经口径!M55+'视频号+官网+小程序'!M55+快手!M55+唯品会!M55+'线下门店-直营'!M55+'线下门店-经销'!M55+线下渠道!M55+淘系达播!M55+抖音达播!M55</f>
        <v>1024701</v>
      </c>
      <c r="O57" s="87">
        <f>淘系!N55+抖音!N55+PDD!N55+得物!N55+京东自营财经口径!N55+京东POP财经口径!N55+'视频号+官网+小程序'!N55+快手!N55+唯品会!N55+'线下门店-直营'!N55+'线下门店-经销'!N55+线下渠道!N55+淘系达播!N55+抖音达播!N55</f>
        <v>999777</v>
      </c>
      <c r="P57" s="87">
        <f t="shared" si="23"/>
        <v>15795916</v>
      </c>
      <c r="Q57" s="42">
        <f t="shared" si="24"/>
        <v>0.0390964515443332</v>
      </c>
      <c r="R57" s="6"/>
      <c r="U57" s="53">
        <f>P57-淘系!O55-淘系达播!O55-抖音!O55-抖音达播!O55-快手!O55-京东POP财经口径!O55-京东自营财经口径!O55-PDD!O55-得物!O55-'视频号+官网+小程序'!O55-唯品会!O55-'线下门店-直营'!O55-'线下门店-经销'!O55-线下渠道!O55</f>
        <v>1066677.05564126</v>
      </c>
    </row>
    <row r="58" ht="16.8" spans="1:23">
      <c r="A58" s="36"/>
      <c r="B58" s="87" t="s">
        <v>77</v>
      </c>
      <c r="C58" s="87">
        <f>淘系!C56+抖音!C56+PDD!C56+得物!C56+京东自营财经口径!C56+京东POP财经口径!C56+'视频号+官网+小程序'!C56+快手!C56+唯品会!C56+'线下门店-直营'!C56+'线下门店-经销'!C56+线下渠道!C56+淘系达播!C56+抖音达播!C56</f>
        <v>46067.115758025</v>
      </c>
      <c r="D58" s="87"/>
      <c r="E58" s="87">
        <f>淘系!D56+抖音!D56+PDD!D56+得物!D56+京东自营财经口径!D56+京东POP财经口径!D56+'视频号+官网+小程序'!D56+快手!D56+唯品会!D56+'线下门店-直营'!D56+'线下门店-经销'!D56+线下渠道!D56+淘系达播!D56+抖音达播!D56</f>
        <v>49007.40507837</v>
      </c>
      <c r="F58" s="87">
        <f>淘系!E56+抖音!E56+PDD!E56+得物!E56+京东自营财经口径!E56+京东POP财经口径!E56+'视频号+官网+小程序'!E56+快手!E56+唯品会!E56+'线下门店-直营'!E56+'线下门店-经销'!E56+线下渠道!E56+淘系达播!E56+抖音达播!E56</f>
        <v>36750.7941300413</v>
      </c>
      <c r="G58" s="87">
        <f>淘系!F56+抖音!F56+PDD!F56+得物!F56+京东自营财经口径!F56+京东POP财经口径!F56+'视频号+官网+小程序'!F56+快手!F56+唯品会!F56+'线下门店-直营'!F56+'线下门店-经销'!F56+线下渠道!F56+淘系达播!F56+抖音达播!F56</f>
        <v>31207.4457662588</v>
      </c>
      <c r="H58" s="87">
        <f>淘系!G56+抖音!G56+PDD!G56+得物!G56+京东自营财经口径!G56+京东POP财经口径!G56+'视频号+官网+小程序'!G56+快手!G56+唯品会!G56+'线下门店-直营'!G56+'线下门店-经销'!G56+线下渠道!G56+淘系达播!G56+抖音达播!G56</f>
        <v>67320.8370693899</v>
      </c>
      <c r="I58" s="87">
        <f>淘系!H56+抖音!H56+PDD!H56+得物!H56+京东自营财经口径!H56+京东POP财经口径!H56+'视频号+官网+小程序'!H56+快手!H56+唯品会!H56+'线下门店-直营'!H56+'线下门店-经销'!H56+线下渠道!H56+淘系达播!H56+抖音达播!H56</f>
        <v>59261.0261833969</v>
      </c>
      <c r="J58" s="87">
        <f>淘系!I56+抖音!I56+PDD!I56+得物!I56+京东自营财经口径!I56+京东POP财经口径!I56+'视频号+官网+小程序'!I56+快手!I56+唯品会!I56+'线下门店-直营'!I56+'线下门店-经销'!I56+线下渠道!I56+淘系达播!I56+抖音达播!I56</f>
        <v>39012.5068722135</v>
      </c>
      <c r="K58" s="87">
        <f>淘系!J56+抖音!J56+PDD!J56+得物!J56+京东自营财经口径!J56+京东POP财经口径!J56+'视频号+官网+小程序'!J56+快手!J56+唯品会!J56+'线下门店-直营'!J56+'线下门店-经销'!J56+线下渠道!J56+淘系达播!J56+抖音达播!J56</f>
        <v>57007.7861784088</v>
      </c>
      <c r="L58" s="87">
        <f>淘系!K56+抖音!K56+PDD!K56+得物!K56+京东自营财经口径!K56+京东POP财经口径!K56+'视频号+官网+小程序'!K56+快手!K56+唯品会!K56+'线下门店-直营'!K56+'线下门店-经销'!K56+线下渠道!K56+淘系达播!K56+抖音达播!K56</f>
        <v>39423.5650956228</v>
      </c>
      <c r="M58" s="87">
        <f>淘系!L56+抖音!L56+PDD!L56+得物!L56+京东自营财经口径!L56+京东POP财经口径!L56+'视频号+官网+小程序'!L56+快手!L56+唯品会!L56+'线下门店-直营'!L56+'线下门店-经销'!L56+线下渠道!L56+淘系达播!L56+抖音达播!L56</f>
        <v>70819.6466223808</v>
      </c>
      <c r="N58" s="87">
        <f>淘系!M56+抖音!M56+PDD!M56+得物!M56+京东自营财经口径!M56+京东POP财经口径!M56+'视频号+官网+小程序'!M56+快手!M56+唯品会!M56+'线下门店-直营'!M56+'线下门店-经销'!M56+线下渠道!M56+淘系达播!M56+抖音达播!M56</f>
        <v>63623.8355598078</v>
      </c>
      <c r="O58" s="87">
        <f>淘系!N56+抖音!N56+PDD!N56+得物!N56+京东自营财经口径!N56+京东POP财经口径!N56+'视频号+官网+小程序'!N56+快手!N56+唯品会!N56+'线下门店-直营'!N56+'线下门店-经销'!N56+线下渠道!N56+淘系达播!N56+抖音达播!N56</f>
        <v>55104.6430494098</v>
      </c>
      <c r="P58" s="87">
        <f t="shared" si="23"/>
        <v>614606.607363325</v>
      </c>
      <c r="Q58" s="42">
        <f t="shared" si="24"/>
        <v>0.00152121202997074</v>
      </c>
      <c r="R58" s="6"/>
      <c r="U58" s="53">
        <f>P58-淘系!O56-淘系达播!O56-抖音!O56-抖音达播!O56-快手!O56-京东POP财经口径!O56-京东自营财经口径!O56-PDD!O56-得物!O56-'视频号+官网+小程序'!O56-唯品会!O56-'线下门店-直营'!O56-'线下门店-经销'!O56-线下渠道!O56</f>
        <v>6.93489710101858e-11</v>
      </c>
    </row>
    <row r="59" ht="16.8" spans="1:23">
      <c r="A59" s="36"/>
      <c r="B59" s="87" t="s">
        <v>79</v>
      </c>
      <c r="C59" s="87">
        <f>淘系!C57+抖音!C57+PDD!C57+得物!C57+京东自营财经口径!C57+京东POP财经口径!C57+'视频号+官网+小程序'!C57+快手!C57+唯品会!C57+'线下门店-直营'!C57+'线下门店-经销'!C57+线下渠道!C57+淘系达播!C57+抖音达播!C57</f>
        <v>250000</v>
      </c>
      <c r="D59" s="87"/>
      <c r="E59" s="87">
        <f>淘系!D57+抖音!D57+PDD!D57+得物!D57+京东自营财经口径!D57+京东POP财经口径!D57+'视频号+官网+小程序'!D57+快手!D57+唯品会!D57+'线下门店-直营'!D57+'线下门店-经销'!D57+线下渠道!D57+淘系达播!D57+抖音达播!D57</f>
        <v>0</v>
      </c>
      <c r="F59" s="87">
        <f>淘系!E57+抖音!E57+PDD!E57+得物!E57+京东自营财经口径!E57+京东POP财经口径!E57+'视频号+官网+小程序'!E57+快手!E57+唯品会!E57+'线下门店-直营'!E57+'线下门店-经销'!E57+线下渠道!E57+淘系达播!E57+抖音达播!E57</f>
        <v>0</v>
      </c>
      <c r="G59" s="87">
        <f>淘系!F57+抖音!F57+PDD!F57+得物!F57+京东自营财经口径!F57+京东POP财经口径!F57+'视频号+官网+小程序'!F57+快手!F57+唯品会!F57+'线下门店-直营'!F57+'线下门店-经销'!F57+线下渠道!F57+淘系达播!F57+抖音达播!F57</f>
        <v>0</v>
      </c>
      <c r="H59" s="87">
        <f>淘系!G57+抖音!G57+PDD!G57+得物!G57+京东自营财经口径!G57+京东POP财经口径!G57+'视频号+官网+小程序'!G57+快手!G57+唯品会!G57+'线下门店-直营'!G57+'线下门店-经销'!G57+线下渠道!G57+淘系达播!G57+抖音达播!G57</f>
        <v>100000</v>
      </c>
      <c r="I59" s="87">
        <f>淘系!H57+抖音!H57+PDD!H57+得物!H57+京东自营财经口径!H57+京东POP财经口径!H57+'视频号+官网+小程序'!H57+快手!H57+唯品会!H57+'线下门店-直营'!H57+'线下门店-经销'!H57+线下渠道!H57+淘系达播!H57+抖音达播!H57</f>
        <v>0</v>
      </c>
      <c r="J59" s="87">
        <f>淘系!I57+抖音!I57+PDD!I57+得物!I57+京东自营财经口径!I57+京东POP财经口径!I57+'视频号+官网+小程序'!I57+快手!I57+唯品会!I57+'线下门店-直营'!I57+'线下门店-经销'!I57+线下渠道!I57+淘系达播!I57+抖音达播!I57</f>
        <v>0</v>
      </c>
      <c r="K59" s="87">
        <f>淘系!J57+抖音!J57+PDD!J57+得物!J57+京东自营财经口径!J57+京东POP财经口径!J57+'视频号+官网+小程序'!J57+快手!J57+唯品会!J57+'线下门店-直营'!J57+'线下门店-经销'!J57+线下渠道!J57+淘系达播!J57+抖音达播!J57</f>
        <v>0</v>
      </c>
      <c r="L59" s="87">
        <f>淘系!K57+抖音!K57+PDD!K57+得物!K57+京东自营财经口径!K57+京东POP财经口径!K57+'视频号+官网+小程序'!K57+快手!K57+唯品会!K57+'线下门店-直营'!K57+'线下门店-经销'!K57+线下渠道!K57+淘系达播!K57+抖音达播!K57</f>
        <v>0</v>
      </c>
      <c r="M59" s="87">
        <f>淘系!L57+抖音!L57+PDD!L57+得物!L57+京东自营财经口径!L57+京东POP财经口径!L57+'视频号+官网+小程序'!L57+快手!L57+唯品会!L57+'线下门店-直营'!L57+'线下门店-经销'!L57+线下渠道!L57+淘系达播!L57+抖音达播!L57</f>
        <v>100000</v>
      </c>
      <c r="N59" s="87">
        <f>淘系!M57+抖音!M57+PDD!M57+得物!M57+京东自营财经口径!M57+京东POP财经口径!M57+'视频号+官网+小程序'!M57+快手!M57+唯品会!M57+'线下门店-直营'!M57+'线下门店-经销'!M57+线下渠道!M57+淘系达播!M57+抖音达播!M57</f>
        <v>0</v>
      </c>
      <c r="O59" s="87">
        <f>淘系!N57+抖音!N57+PDD!N57+得物!N57+京东自营财经口径!N57+京东POP财经口径!N57+'视频号+官网+小程序'!N57+快手!N57+唯品会!N57+'线下门店-直营'!N57+'线下门店-经销'!N57+线下渠道!N57+淘系达播!N57+抖音达播!N57</f>
        <v>300000</v>
      </c>
      <c r="P59" s="87">
        <f t="shared" si="23"/>
        <v>750000</v>
      </c>
      <c r="Q59" s="42">
        <f t="shared" si="24"/>
        <v>0.00185632404339514</v>
      </c>
      <c r="R59" s="71" t="s">
        <v>96</v>
      </c>
      <c r="U59" s="53">
        <f>P59-淘系!O57-淘系达播!O57-抖音!O57-抖音达播!O57-快手!O57-京东POP财经口径!O57-京东自营财经口径!O57-PDD!O57-得物!O57-'视频号+官网+小程序'!O57-唯品会!O57-'线下门店-直营'!O57-'线下门店-经销'!O57-线下渠道!O57</f>
        <v>0</v>
      </c>
    </row>
    <row r="60" ht="16.8" spans="1:23">
      <c r="A60" s="6"/>
      <c r="B60" s="88" t="s">
        <v>80</v>
      </c>
      <c r="C60" s="88">
        <f>SUM(C55:C59)</f>
        <v>3315816.60352078</v>
      </c>
      <c r="D60" s="38">
        <f>C60/C$16</f>
        <v>0.120072496439619</v>
      </c>
      <c r="E60" s="88">
        <f t="shared" ref="E60:O60" si="26">SUM(E55:E59)</f>
        <v>2326066.48890893</v>
      </c>
      <c r="F60" s="88">
        <f t="shared" si="26"/>
        <v>1878685.15596461</v>
      </c>
      <c r="G60" s="88">
        <f t="shared" si="26"/>
        <v>2336933.39796028</v>
      </c>
      <c r="H60" s="88">
        <f t="shared" si="26"/>
        <v>2937451.15084289</v>
      </c>
      <c r="I60" s="88">
        <f t="shared" si="26"/>
        <v>2245720.80052689</v>
      </c>
      <c r="J60" s="88">
        <f t="shared" si="26"/>
        <v>2276433.85429415</v>
      </c>
      <c r="K60" s="88">
        <f t="shared" si="26"/>
        <v>2370242.12688218</v>
      </c>
      <c r="L60" s="88">
        <f t="shared" si="26"/>
        <v>2390692.64920587</v>
      </c>
      <c r="M60" s="88">
        <f t="shared" si="26"/>
        <v>2869246.02816025</v>
      </c>
      <c r="N60" s="88">
        <f t="shared" si="26"/>
        <v>2392369.01653786</v>
      </c>
      <c r="O60" s="88">
        <f t="shared" si="26"/>
        <v>2481367.25838213</v>
      </c>
      <c r="P60" s="88">
        <f t="shared" si="23"/>
        <v>29821024.6512593</v>
      </c>
      <c r="Q60" s="41">
        <f t="shared" si="24"/>
        <v>0.0738099800784156</v>
      </c>
      <c r="R60" s="6"/>
      <c r="U60" s="53">
        <f>P60-淘系!O58-淘系达播!O58-抖音!O58-抖音达播!O58-快手!O58-京东POP财经口径!O58-京东自营财经口径!O58-PDD!O58-得物!O58-'视频号+官网+小程序'!O58-唯品会!O58-'线下门店-直营'!O58-'线下门店-经销'!O58-线下渠道!O58</f>
        <v>0.120072490535676</v>
      </c>
    </row>
    <row r="61" ht="16.8" spans="1:23">
      <c r="A61" s="32"/>
      <c r="B61" s="89" t="s">
        <v>81</v>
      </c>
      <c r="C61" s="89">
        <f>SUM(C54,C60)</f>
        <v>10887153.8530195</v>
      </c>
      <c r="D61" s="89"/>
      <c r="E61" s="89">
        <f t="shared" ref="E61:O61" si="27">SUM(E54,E60)</f>
        <v>12075187.5853279</v>
      </c>
      <c r="F61" s="89">
        <f t="shared" si="27"/>
        <v>11401787.9593721</v>
      </c>
      <c r="G61" s="89">
        <f t="shared" si="27"/>
        <v>9497846.5746207</v>
      </c>
      <c r="H61" s="89">
        <f t="shared" si="27"/>
        <v>23074563.3473755</v>
      </c>
      <c r="I61" s="89">
        <f t="shared" si="27"/>
        <v>17938865.0618095</v>
      </c>
      <c r="J61" s="89">
        <f t="shared" si="27"/>
        <v>9990965.03960864</v>
      </c>
      <c r="K61" s="89">
        <f t="shared" si="27"/>
        <v>14866975.3563633</v>
      </c>
      <c r="L61" s="89">
        <f t="shared" si="27"/>
        <v>10428936.0471923</v>
      </c>
      <c r="M61" s="89">
        <f t="shared" si="27"/>
        <v>21139237.902805</v>
      </c>
      <c r="N61" s="89">
        <f t="shared" si="27"/>
        <v>15868607.729057</v>
      </c>
      <c r="O61" s="89">
        <f t="shared" si="27"/>
        <v>13021043.6764058</v>
      </c>
      <c r="P61" s="89">
        <f t="shared" si="23"/>
        <v>170191170.132957</v>
      </c>
      <c r="Q61" s="43">
        <f t="shared" si="24"/>
        <v>0.421239948121814</v>
      </c>
      <c r="R61" s="32"/>
      <c r="S61" s="33"/>
      <c r="T61" s="33"/>
      <c r="U61" s="53">
        <f>P61-淘系!O59-淘系达播!O59-抖音!O59-抖音达播!O59-快手!O59-京东POP财经口径!O59-京东自营财经口径!O59-PDD!O59-得物!O59-'视频号+官网+小程序'!O59-唯品会!O59-'线下门店-直营'!O59-'线下门店-经销'!O59-线下渠道!O59</f>
        <v>0</v>
      </c>
      <c r="V61" s="33"/>
      <c r="W61" s="33"/>
    </row>
    <row r="62" ht="16.8" spans="1:23">
      <c r="A62" s="32"/>
      <c r="B62" s="89" t="s">
        <v>82</v>
      </c>
      <c r="C62" s="89">
        <f>C22-C61</f>
        <v>2518214.83173195</v>
      </c>
      <c r="D62" s="89"/>
      <c r="E62" s="89">
        <f t="shared" ref="E62:O62" si="28">E22-E61</f>
        <v>1423837.32905999</v>
      </c>
      <c r="F62" s="89">
        <f t="shared" si="28"/>
        <v>-364449.222244209</v>
      </c>
      <c r="G62" s="89">
        <f t="shared" si="28"/>
        <v>87988.6857779063</v>
      </c>
      <c r="H62" s="89">
        <f t="shared" si="28"/>
        <v>-982261.364061132</v>
      </c>
      <c r="I62" s="89">
        <f t="shared" si="28"/>
        <v>1979342.43654657</v>
      </c>
      <c r="J62" s="89">
        <f t="shared" si="28"/>
        <v>4780281.23365675</v>
      </c>
      <c r="K62" s="89">
        <f t="shared" si="28"/>
        <v>5737516.57421019</v>
      </c>
      <c r="L62" s="89">
        <f t="shared" si="28"/>
        <v>4866512.60141215</v>
      </c>
      <c r="M62" s="89">
        <f t="shared" si="28"/>
        <v>6111013.21357709</v>
      </c>
      <c r="N62" s="89">
        <f t="shared" si="28"/>
        <v>10111147.9997144</v>
      </c>
      <c r="O62" s="89">
        <f t="shared" si="28"/>
        <v>8578812.42736265</v>
      </c>
      <c r="P62" s="89">
        <f t="shared" si="23"/>
        <v>44847956.7467443</v>
      </c>
      <c r="Q62" s="43">
        <f t="shared" si="24"/>
        <v>0.111003120541502</v>
      </c>
      <c r="R62" s="32" t="s">
        <v>97</v>
      </c>
      <c r="S62" s="34"/>
      <c r="T62" s="34"/>
      <c r="U62" s="53">
        <f>P62-淘系!O60-淘系达播!O60-抖音!O60-抖音达播!O60-快手!O60-京东POP财经口径!O60-京东自营财经口径!O60-PDD!O60-得物!O60-'视频号+官网+小程序'!O60-唯品会!O60-'线下门店-直营'!O60-'线下门店-经销'!O60-线下渠道!O60</f>
        <v>-40154.7056694105</v>
      </c>
      <c r="V62" s="34"/>
      <c r="W62" s="34"/>
    </row>
    <row r="63" spans="1:23">
      <c r="A63" s="6"/>
      <c r="B63" s="6"/>
      <c r="C63" s="90">
        <f>C62/C16</f>
        <v>0.0911897060580107</v>
      </c>
      <c r="D63" s="90"/>
      <c r="E63" s="90">
        <f t="shared" ref="E63:P63" si="29">E62/E16</f>
        <v>0.0515544248455974</v>
      </c>
      <c r="F63" s="90">
        <f t="shared" si="29"/>
        <v>-0.0154470926381953</v>
      </c>
      <c r="G63" s="90">
        <f t="shared" si="29"/>
        <v>0.00430376878575299</v>
      </c>
      <c r="H63" s="90">
        <f t="shared" si="29"/>
        <v>-0.0229836205061722</v>
      </c>
      <c r="I63" s="90">
        <f t="shared" si="29"/>
        <v>0.0509226693722042</v>
      </c>
      <c r="J63" s="90">
        <f t="shared" si="29"/>
        <v>0.176101043709699</v>
      </c>
      <c r="K63" s="90">
        <f t="shared" si="29"/>
        <v>0.152676013648805</v>
      </c>
      <c r="L63" s="90">
        <f t="shared" si="29"/>
        <v>0.177059190996198</v>
      </c>
      <c r="M63" s="90">
        <f t="shared" si="29"/>
        <v>0.126308604089762</v>
      </c>
      <c r="N63" s="90">
        <f t="shared" si="29"/>
        <v>0.223280820449452</v>
      </c>
      <c r="O63" s="90">
        <f t="shared" si="29"/>
        <v>0.230180242652737</v>
      </c>
      <c r="P63" s="90">
        <f t="shared" si="29"/>
        <v>0.111003120541502</v>
      </c>
      <c r="Q63" s="6"/>
      <c r="R63" s="6"/>
      <c r="S63" s="6"/>
      <c r="T63" s="6"/>
      <c r="U63" s="6"/>
    </row>
    <row r="64" spans="1:23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70"/>
      <c r="W64" s="70"/>
    </row>
    <row r="65" ht="16.8" spans="1:21">
      <c r="A65" s="6"/>
      <c r="B65" s="91" t="s">
        <v>98</v>
      </c>
      <c r="C65" s="92">
        <f>C66+C67</f>
        <v>4000000</v>
      </c>
      <c r="D65" s="92"/>
      <c r="E65" s="92">
        <f t="shared" ref="E65:O65" si="30">E66+E67</f>
        <v>4000000</v>
      </c>
      <c r="F65" s="92">
        <f t="shared" si="30"/>
        <v>3800000</v>
      </c>
      <c r="G65" s="92">
        <f t="shared" si="30"/>
        <v>3800000</v>
      </c>
      <c r="H65" s="92">
        <f t="shared" si="30"/>
        <v>3800000</v>
      </c>
      <c r="I65" s="92">
        <f t="shared" si="30"/>
        <v>2800000</v>
      </c>
      <c r="J65" s="92">
        <f t="shared" si="30"/>
        <v>2300000</v>
      </c>
      <c r="K65" s="92">
        <f t="shared" si="30"/>
        <v>2300000</v>
      </c>
      <c r="L65" s="92">
        <f t="shared" si="30"/>
        <v>2300000</v>
      </c>
      <c r="M65" s="92">
        <f t="shared" si="30"/>
        <v>2300000</v>
      </c>
      <c r="N65" s="92">
        <f t="shared" si="30"/>
        <v>2300000</v>
      </c>
      <c r="O65" s="92">
        <f t="shared" si="30"/>
        <v>2300000</v>
      </c>
      <c r="P65" s="93">
        <f>SUM(C65:O65)</f>
        <v>36000000</v>
      </c>
      <c r="Q65" s="94">
        <f>P65/$P$16</f>
        <v>0.0891035540829665</v>
      </c>
      <c r="R65" s="6"/>
      <c r="S65" s="6"/>
      <c r="T65" s="6"/>
      <c r="U65" s="6"/>
    </row>
    <row r="66" ht="16.8" spans="1:21">
      <c r="A66" s="6"/>
      <c r="B66" s="95" t="s">
        <v>99</v>
      </c>
      <c r="C66" s="96">
        <v>500000</v>
      </c>
      <c r="D66" s="97"/>
      <c r="E66" s="97">
        <v>500000</v>
      </c>
      <c r="F66" s="97">
        <v>500000</v>
      </c>
      <c r="G66" s="97">
        <v>500000</v>
      </c>
      <c r="H66" s="97">
        <v>500000</v>
      </c>
      <c r="I66" s="97">
        <v>500000</v>
      </c>
      <c r="J66" s="97">
        <v>500000</v>
      </c>
      <c r="K66" s="97">
        <v>500000</v>
      </c>
      <c r="L66" s="97">
        <v>500000</v>
      </c>
      <c r="M66" s="97">
        <v>500000</v>
      </c>
      <c r="N66" s="97">
        <v>500000</v>
      </c>
      <c r="O66" s="97">
        <v>500000</v>
      </c>
      <c r="P66" s="98">
        <f>SUM(C66:O66)</f>
        <v>6000000</v>
      </c>
      <c r="Q66" s="99">
        <f>P66/$P$16</f>
        <v>0.0148505923471611</v>
      </c>
      <c r="R66" s="6"/>
      <c r="S66" s="6"/>
      <c r="T66" s="6"/>
      <c r="U66" s="6"/>
    </row>
    <row r="67" ht="16.8" spans="1:21">
      <c r="A67" s="6"/>
      <c r="B67" s="95" t="s">
        <v>100</v>
      </c>
      <c r="C67" s="96">
        <v>3500000</v>
      </c>
      <c r="D67" s="96"/>
      <c r="E67" s="96">
        <v>3500000</v>
      </c>
      <c r="F67" s="96">
        <v>3300000</v>
      </c>
      <c r="G67" s="96">
        <v>3300000</v>
      </c>
      <c r="H67" s="96">
        <v>3300000</v>
      </c>
      <c r="I67" s="96">
        <v>2300000</v>
      </c>
      <c r="J67" s="96">
        <v>1800000</v>
      </c>
      <c r="K67" s="96">
        <v>1800000</v>
      </c>
      <c r="L67" s="96">
        <v>1800000</v>
      </c>
      <c r="M67" s="96">
        <v>1800000</v>
      </c>
      <c r="N67" s="96">
        <v>1800000</v>
      </c>
      <c r="O67" s="96">
        <v>1800000</v>
      </c>
      <c r="P67" s="98">
        <f>SUM(C67:O67)</f>
        <v>30000000</v>
      </c>
      <c r="Q67" s="99">
        <f>P67/$P$16</f>
        <v>0.0742529617358054</v>
      </c>
      <c r="R67" s="6"/>
      <c r="S67" s="6"/>
      <c r="T67" s="6"/>
      <c r="U67" s="6"/>
    </row>
    <row r="68" ht="16.8" spans="1:21">
      <c r="A68" s="6"/>
      <c r="B68" s="100" t="s">
        <v>101</v>
      </c>
      <c r="C68" s="101">
        <f>C62-C65</f>
        <v>-1481785.16826805</v>
      </c>
      <c r="D68" s="101"/>
      <c r="E68" s="101">
        <f t="shared" ref="E68:O68" si="31">E62-E65</f>
        <v>-2576162.67094001</v>
      </c>
      <c r="F68" s="101">
        <f t="shared" si="31"/>
        <v>-4164449.22224421</v>
      </c>
      <c r="G68" s="101">
        <f t="shared" si="31"/>
        <v>-3712011.31422209</v>
      </c>
      <c r="H68" s="101">
        <f t="shared" si="31"/>
        <v>-4782261.36406113</v>
      </c>
      <c r="I68" s="101">
        <f t="shared" si="31"/>
        <v>-820657.563453428</v>
      </c>
      <c r="J68" s="101">
        <f t="shared" si="31"/>
        <v>2480281.23365675</v>
      </c>
      <c r="K68" s="101">
        <f t="shared" si="31"/>
        <v>3437516.57421019</v>
      </c>
      <c r="L68" s="101">
        <f t="shared" si="31"/>
        <v>2566512.60141215</v>
      </c>
      <c r="M68" s="101">
        <f t="shared" si="31"/>
        <v>3811013.21357709</v>
      </c>
      <c r="N68" s="101">
        <f t="shared" si="31"/>
        <v>7811147.99971439</v>
      </c>
      <c r="O68" s="101">
        <f t="shared" si="31"/>
        <v>6278812.42736265</v>
      </c>
      <c r="P68" s="102">
        <f>SUM(C68:O68)</f>
        <v>8847956.74674429</v>
      </c>
      <c r="Q68" s="103">
        <f>P68/$P$16</f>
        <v>0.0218995664585355</v>
      </c>
      <c r="R68" s="6"/>
      <c r="S68" s="6"/>
      <c r="T68" s="6"/>
      <c r="U68" s="6"/>
    </row>
    <row r="69" ht="16.8" spans="1:21">
      <c r="A69" s="6"/>
      <c r="B69" s="104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67"/>
      <c r="R69" s="6"/>
      <c r="S69" s="6"/>
      <c r="T69" s="6"/>
      <c r="U69" s="6"/>
    </row>
    <row r="70" ht="16.8" spans="1:21">
      <c r="A70" s="6"/>
      <c r="B70" s="91" t="s">
        <v>102</v>
      </c>
      <c r="C70" s="92">
        <v>2800000</v>
      </c>
      <c r="D70" s="92"/>
      <c r="E70" s="92">
        <v>2800000</v>
      </c>
      <c r="F70" s="92">
        <v>2800000</v>
      </c>
      <c r="G70" s="92">
        <v>2800000</v>
      </c>
      <c r="H70" s="92">
        <v>2800000</v>
      </c>
      <c r="I70" s="92">
        <v>2800000</v>
      </c>
      <c r="J70" s="92">
        <v>2800000</v>
      </c>
      <c r="K70" s="92">
        <v>2800000</v>
      </c>
      <c r="L70" s="92">
        <v>2800000</v>
      </c>
      <c r="M70" s="92">
        <v>2800000</v>
      </c>
      <c r="N70" s="92">
        <v>2800000</v>
      </c>
      <c r="O70" s="92">
        <v>2800000</v>
      </c>
      <c r="P70" s="93">
        <f>SUM(C70:O70)</f>
        <v>33600000</v>
      </c>
      <c r="Q70" s="94">
        <f>P70/$P$16</f>
        <v>0.0831633171441021</v>
      </c>
      <c r="R70" s="6"/>
      <c r="S70" s="6"/>
      <c r="T70" s="6"/>
      <c r="U70" s="6"/>
    </row>
    <row r="71" ht="16.8" spans="1:21">
      <c r="A71" s="6"/>
      <c r="B71" s="100" t="s">
        <v>103</v>
      </c>
      <c r="C71" s="106">
        <f>C68-C70</f>
        <v>-4281785.16826805</v>
      </c>
      <c r="D71" s="106"/>
      <c r="E71" s="106">
        <f t="shared" ref="E71:O71" si="32">E68-E70</f>
        <v>-5376162.67094001</v>
      </c>
      <c r="F71" s="106">
        <f t="shared" si="32"/>
        <v>-6964449.22224421</v>
      </c>
      <c r="G71" s="106">
        <f t="shared" si="32"/>
        <v>-6512011.31422209</v>
      </c>
      <c r="H71" s="106">
        <f t="shared" si="32"/>
        <v>-7582261.36406113</v>
      </c>
      <c r="I71" s="106">
        <f t="shared" si="32"/>
        <v>-3620657.56345343</v>
      </c>
      <c r="J71" s="106">
        <f t="shared" si="32"/>
        <v>-319718.766343255</v>
      </c>
      <c r="K71" s="106">
        <f t="shared" si="32"/>
        <v>637516.574210191</v>
      </c>
      <c r="L71" s="106">
        <f t="shared" si="32"/>
        <v>-233487.398587851</v>
      </c>
      <c r="M71" s="106">
        <f t="shared" si="32"/>
        <v>1011013.21357709</v>
      </c>
      <c r="N71" s="106">
        <f t="shared" si="32"/>
        <v>5011147.99971439</v>
      </c>
      <c r="O71" s="106">
        <f t="shared" si="32"/>
        <v>3478812.42736265</v>
      </c>
      <c r="P71" s="102">
        <f>SUM(C71:O71)</f>
        <v>-24752043.2532557</v>
      </c>
      <c r="Q71" s="103">
        <f>P71/$P$16</f>
        <v>-0.0612637506855666</v>
      </c>
      <c r="R71" s="6"/>
      <c r="S71" s="6"/>
      <c r="T71" s="6"/>
      <c r="U71" s="6"/>
    </row>
    <row r="72" spans="1:21">
      <c r="A72" s="6"/>
      <c r="B72" s="107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67"/>
      <c r="R72" s="6"/>
      <c r="S72" s="6"/>
      <c r="T72" s="6"/>
      <c r="U72" s="6"/>
    </row>
    <row r="73" ht="16.8" spans="1:21">
      <c r="A73" s="6"/>
      <c r="B73" s="108" t="s">
        <v>104</v>
      </c>
      <c r="C73" s="92">
        <v>1200000</v>
      </c>
      <c r="D73" s="92"/>
      <c r="E73" s="92">
        <v>1200000</v>
      </c>
      <c r="F73" s="92">
        <v>1200000</v>
      </c>
      <c r="G73" s="92">
        <v>1200000</v>
      </c>
      <c r="H73" s="92">
        <v>1200000</v>
      </c>
      <c r="I73" s="92">
        <v>1200000</v>
      </c>
      <c r="J73" s="92">
        <v>1200000</v>
      </c>
      <c r="K73" s="92">
        <v>1200000</v>
      </c>
      <c r="L73" s="92">
        <v>1200000</v>
      </c>
      <c r="M73" s="92">
        <v>1200000</v>
      </c>
      <c r="N73" s="92">
        <v>1200000</v>
      </c>
      <c r="O73" s="92">
        <v>1200000</v>
      </c>
      <c r="P73" s="109">
        <f>SUM(C73:O73)</f>
        <v>14400000</v>
      </c>
      <c r="Q73" s="94">
        <f>P73/$P$16</f>
        <v>0.0356414216331866</v>
      </c>
      <c r="R73" s="6"/>
      <c r="S73" s="6"/>
      <c r="T73" s="6"/>
      <c r="U73" s="6"/>
    </row>
    <row r="74" spans="1:21">
      <c r="A74" s="6"/>
      <c r="B74" s="107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67"/>
      <c r="R74" s="6"/>
      <c r="S74" s="6"/>
      <c r="T74" s="6"/>
      <c r="U74" s="6"/>
    </row>
    <row r="75" ht="16.8" spans="1:21">
      <c r="A75" s="6"/>
      <c r="B75" s="110" t="s">
        <v>105</v>
      </c>
      <c r="C75" s="106">
        <f>C71-C73</f>
        <v>-5481785.16826805</v>
      </c>
      <c r="D75" s="106"/>
      <c r="E75" s="106">
        <f t="shared" ref="E75:O75" si="33">E71-E73</f>
        <v>-6576162.67094001</v>
      </c>
      <c r="F75" s="106">
        <f t="shared" si="33"/>
        <v>-8164449.22224421</v>
      </c>
      <c r="G75" s="106">
        <f t="shared" si="33"/>
        <v>-7712011.31422209</v>
      </c>
      <c r="H75" s="106">
        <f t="shared" si="33"/>
        <v>-8782261.36406113</v>
      </c>
      <c r="I75" s="106">
        <f t="shared" si="33"/>
        <v>-4820657.56345343</v>
      </c>
      <c r="J75" s="106">
        <f t="shared" si="33"/>
        <v>-1519718.76634325</v>
      </c>
      <c r="K75" s="106">
        <f t="shared" si="33"/>
        <v>-562483.425789809</v>
      </c>
      <c r="L75" s="106">
        <f t="shared" si="33"/>
        <v>-1433487.39858785</v>
      </c>
      <c r="M75" s="106">
        <f t="shared" si="33"/>
        <v>-188986.786422912</v>
      </c>
      <c r="N75" s="106">
        <f t="shared" si="33"/>
        <v>3811147.99971439</v>
      </c>
      <c r="O75" s="106">
        <f t="shared" si="33"/>
        <v>2278812.42736265</v>
      </c>
      <c r="P75" s="102">
        <f>SUM(C75:O75)</f>
        <v>-39152043.2532557</v>
      </c>
      <c r="Q75" s="111">
        <f>P75/$P$16</f>
        <v>-0.0969051723187532</v>
      </c>
      <c r="R75" s="6"/>
      <c r="S75" s="6"/>
      <c r="T75" s="6"/>
      <c r="U75" s="6"/>
    </row>
    <row r="76" ht="16.8" spans="1:21">
      <c r="A76" s="6"/>
      <c r="B76" s="112" t="s">
        <v>106</v>
      </c>
      <c r="C76" s="113">
        <f>C75/C16</f>
        <v>-0.198506645210934</v>
      </c>
      <c r="D76" s="113"/>
      <c r="E76" s="113">
        <f t="shared" ref="E76:O76" si="34">E75/E16</f>
        <v>-0.238110265317476</v>
      </c>
      <c r="F76" s="113">
        <f t="shared" si="34"/>
        <v>-0.346048216811228</v>
      </c>
      <c r="G76" s="113">
        <f t="shared" si="34"/>
        <v>-0.377215698542199</v>
      </c>
      <c r="H76" s="113">
        <f t="shared" si="34"/>
        <v>-0.205493333813989</v>
      </c>
      <c r="I76" s="113">
        <f t="shared" si="34"/>
        <v>-0.124021365241203</v>
      </c>
      <c r="J76" s="113">
        <f t="shared" si="34"/>
        <v>-0.0559850033537755</v>
      </c>
      <c r="K76" s="113">
        <f t="shared" si="34"/>
        <v>-0.0149677523511003</v>
      </c>
      <c r="L76" s="113">
        <f t="shared" si="34"/>
        <v>-0.052154826235025</v>
      </c>
      <c r="M76" s="113">
        <f t="shared" si="34"/>
        <v>-0.00390617011454886</v>
      </c>
      <c r="N76" s="113">
        <f t="shared" si="34"/>
        <v>0.0841602014187265</v>
      </c>
      <c r="O76" s="113">
        <f t="shared" si="34"/>
        <v>0.0611433810835357</v>
      </c>
      <c r="P76" s="113"/>
      <c r="Q76" s="114"/>
      <c r="R76" s="6"/>
      <c r="S76" s="6"/>
      <c r="T76" s="6"/>
      <c r="U76" s="6"/>
    </row>
    <row r="77" spans="1:21">
      <c r="A77" s="6"/>
      <c r="B77" s="6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ht="16.8" spans="1:21">
      <c r="A78" s="6"/>
      <c r="B78" s="121" t="s">
        <v>107</v>
      </c>
      <c r="C78" s="121" t="s">
        <v>108</v>
      </c>
      <c r="D78" s="121"/>
      <c r="E78" s="121" t="s">
        <v>30</v>
      </c>
      <c r="F78" s="122" t="s">
        <v>109</v>
      </c>
      <c r="G78" s="122" t="s">
        <v>110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ht="16.8" spans="1:21">
      <c r="A79" s="6"/>
      <c r="B79" s="117" t="s">
        <v>111</v>
      </c>
      <c r="C79" s="118">
        <f>P6</f>
        <v>571384044.536262</v>
      </c>
      <c r="D79" s="119"/>
      <c r="E79" s="119">
        <f>P16</f>
        <v>404024288.037709</v>
      </c>
      <c r="F79" s="118">
        <f>P75</f>
        <v>-39152043.2532557</v>
      </c>
      <c r="G79" s="120">
        <f>F79/E79</f>
        <v>-0.0969051723187532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ht="16.8" spans="1:21">
      <c r="A80" s="6"/>
      <c r="B80" s="117" t="s">
        <v>112</v>
      </c>
      <c r="C80" s="118">
        <f>SUM(C6:I6)</f>
        <v>252868031.256319</v>
      </c>
      <c r="D80" s="119"/>
      <c r="E80" s="119">
        <f>SUM(C16:I16)</f>
        <v>180878239.029834</v>
      </c>
      <c r="F80" s="118">
        <f>SUM(C75:I75)</f>
        <v>-41537327.3031889</v>
      </c>
      <c r="G80" s="120">
        <f>F80/E80</f>
        <v>-0.22964247952645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ht="16.8" spans="1:21">
      <c r="A81" s="6"/>
      <c r="B81" s="117" t="s">
        <v>113</v>
      </c>
      <c r="C81" s="118">
        <f>SUM(J6:O6)</f>
        <v>318516013.279943</v>
      </c>
      <c r="D81" s="119"/>
      <c r="E81" s="119">
        <f>SUM(J16:O16)</f>
        <v>223146049.007875</v>
      </c>
      <c r="F81" s="118">
        <f>SUM(J75:O75)</f>
        <v>2385284.04993321</v>
      </c>
      <c r="G81" s="120">
        <f>F81/E81</f>
        <v>0.0106893402797781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spans="1:2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spans="1:2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1:21">
      <c r="A84" s="6"/>
      <c r="B84" s="6"/>
      <c r="C84" s="53">
        <f>C16-C18-C20-C26-C37-C44-C49-C60-C62</f>
        <v>0</v>
      </c>
      <c r="D84" s="35"/>
      <c r="E84" s="35">
        <f t="shared" ref="E84:P84" si="35">E16-E18-E20-E26-E37-E44-E49-E60-E62</f>
        <v>-2.3283064365387e-9</v>
      </c>
      <c r="F84" s="35">
        <f t="shared" si="35"/>
        <v>9.31322574615479e-10</v>
      </c>
      <c r="G84" s="35">
        <f t="shared" si="35"/>
        <v>9.31322574615479e-10</v>
      </c>
      <c r="H84" s="35">
        <f t="shared" si="35"/>
        <v>0</v>
      </c>
      <c r="I84" s="35">
        <f t="shared" si="35"/>
        <v>0</v>
      </c>
      <c r="J84" s="35">
        <f t="shared" si="35"/>
        <v>0</v>
      </c>
      <c r="K84" s="35">
        <f t="shared" si="35"/>
        <v>0</v>
      </c>
      <c r="L84" s="35">
        <f t="shared" si="35"/>
        <v>0</v>
      </c>
      <c r="M84" s="35">
        <f t="shared" si="35"/>
        <v>0</v>
      </c>
      <c r="N84" s="35">
        <f t="shared" si="35"/>
        <v>0</v>
      </c>
      <c r="O84" s="35">
        <f t="shared" si="35"/>
        <v>0</v>
      </c>
      <c r="P84" s="35">
        <f t="shared" si="35"/>
        <v>-0.394246108829975</v>
      </c>
      <c r="Q84" s="6"/>
      <c r="R84" s="6"/>
      <c r="S84" s="6"/>
      <c r="T84" s="6"/>
      <c r="U84" s="6"/>
    </row>
    <row r="85" spans="1:21">
      <c r="A85" s="6"/>
      <c r="B85" s="6"/>
      <c r="C85" s="53">
        <f>C10-C11-C12-C13-C15</f>
        <v>-0.0377404578030109</v>
      </c>
      <c r="D85" s="53"/>
      <c r="E85" s="53">
        <f t="shared" ref="E85:P85" si="36">E10-E11-E12-E13-E15</f>
        <v>-0.0261256098747253</v>
      </c>
      <c r="F85" s="53">
        <f t="shared" si="36"/>
        <v>0.0426073484122753</v>
      </c>
      <c r="G85" s="53">
        <f t="shared" si="36"/>
        <v>0.030115470290184</v>
      </c>
      <c r="H85" s="53">
        <f t="shared" si="36"/>
        <v>-0.0320731475949287</v>
      </c>
      <c r="I85" s="53">
        <f t="shared" si="36"/>
        <v>-0.0277193412184715</v>
      </c>
      <c r="J85" s="53">
        <f t="shared" si="36"/>
        <v>0.0322075895965099</v>
      </c>
      <c r="K85" s="53">
        <f t="shared" si="36"/>
        <v>0.0423351600766182</v>
      </c>
      <c r="L85" s="53">
        <f t="shared" si="36"/>
        <v>0.0394104905426502</v>
      </c>
      <c r="M85" s="53">
        <f t="shared" si="36"/>
        <v>-0.00141728669404984</v>
      </c>
      <c r="N85" s="53">
        <f t="shared" si="36"/>
        <v>-0.0334135517477989</v>
      </c>
      <c r="O85" s="53">
        <f t="shared" si="36"/>
        <v>-0.00890649110078812</v>
      </c>
      <c r="P85" s="53">
        <f t="shared" si="36"/>
        <v>0.0192801952362061</v>
      </c>
      <c r="Q85" s="6"/>
      <c r="R85" s="6"/>
      <c r="S85" s="6"/>
      <c r="T85" s="6"/>
      <c r="U85" s="6"/>
    </row>
    <row r="86" spans="1:21">
      <c r="A86" s="6"/>
      <c r="B86" s="35"/>
      <c r="C86" s="35">
        <f>C62-淘系!C60-淘系达播!C60-抖音!C60-抖音达播!C60-快手!C60-京东POP财经口径!C60-京东自营财经口径!C60-PDD!C60-得物!C60-'视频号+官网+小程序'!C60-唯品会!C60-'线下门店-直营'!C60-'线下门店-经销'!C60-线下渠道!C60</f>
        <v>-3212.37733851327</v>
      </c>
      <c r="D86" s="35"/>
      <c r="E86" s="35">
        <f>E62-淘系!D60-淘系达播!D60-抖音!D60-抖音达播!D60-快手!D60-京东POP财经口径!D60-京东自营财经口径!D60-PDD!D60-得物!D60-'视频号+官网+小程序'!D60-唯品会!D60-'线下门店-直营'!D60-'线下门店-经销'!D60-线下渠道!D60</f>
        <v>-3425.38412971795</v>
      </c>
      <c r="F86" s="35">
        <f>F62-淘系!E60-淘系达播!E60-抖音!E60-抖音达播!E60-快手!E60-京东POP财经口径!E60-京东自营财经口径!E60-PDD!E60-得物!E60-'视频号+官网+小程序'!E60-唯品会!E60-'线下门店-直营'!E60-'线下门店-经销'!E60-线下渠道!E60</f>
        <v>-2786.36154370045</v>
      </c>
      <c r="G86" s="35">
        <f>G62-淘系!F60-淘系达播!F60-抖音!F60-抖音达播!F60-快手!F60-京东POP财经口径!F60-京东自营财经口径!F60-PDD!F60-得物!F60-'视频号+官网+小程序'!F60-唯品会!F60-'线下门店-直营'!F60-'线下门店-经销'!F60-线下渠道!F60</f>
        <v>-2573.35475249542</v>
      </c>
      <c r="H86" s="35">
        <f>H62-淘系!G60-淘系达播!G60-抖音!G60-抖音达播!G60-快手!G60-京东POP财经口径!G60-京东自营财经口径!G60-PDD!G60-得物!G60-'视频号+官网+小程序'!G60-唯品会!G60-'线下门店-直营'!G60-'线下门店-经销'!G60-线下渠道!G60</f>
        <v>-3474.3180661134</v>
      </c>
      <c r="I86" s="35">
        <f>I62-淘系!H60-淘系达播!H60-抖音!H60-抖音达播!H60-快手!H60-京东POP财经口径!H60-京东自营财经口径!H60-PDD!H60-得物!H60-'视频号+官网+小程序'!H60-唯品会!H60-'线下门店-直营'!H60-'线下门店-经销'!H60-线下渠道!H60</f>
        <v>-3449.85109790135</v>
      </c>
      <c r="J86" s="35">
        <f>J62-淘系!I60-淘系达播!I60-抖音!I60-抖音达播!I60-快手!I60-京东POP财经口径!I60-京东自营财经口径!I60-PDD!I60-得物!I60-'视频号+官网+小程序'!I60-唯品会!I60-'线下门店-直营'!I60-'线下门店-经销'!I60-线下渠道!I60</f>
        <v>-2597.82172069722</v>
      </c>
      <c r="K86" s="35">
        <f>K62-淘系!J60-淘系达播!J60-抖音!J60-抖音达播!J60-快手!J60-京东POP财经口径!J60-京东自营财经口径!J60-PDD!J60-得物!J60-'视频号+官网+小程序'!J60-唯品会!J60-'线下门店-直营'!J60-'线下门店-经销'!J60-线下渠道!J60</f>
        <v>-4556.62306778179</v>
      </c>
      <c r="L86" s="35">
        <f>L62-淘系!K60-淘系达播!K60-抖音!K60-抖音达播!K60-快手!K60-京东POP财经口径!K60-京东自营财经口径!K60-PDD!K60-得物!K60-'视频号+官网+小程序'!K60-唯品会!K60-'线下门店-直营'!K60-'线下门店-经销'!K60-线下渠道!K60</f>
        <v>-2786.36154370685</v>
      </c>
      <c r="M86" s="35">
        <f>M62-淘系!L60-淘系达播!L60-抖音!L60-抖音达播!L60-快手!L60-京东POP财经口径!L60-京东自营财经口径!L60-PDD!L60-得物!L60-'视频号+官网+小程序'!L60-唯品会!L60-'线下门店-直营'!L60-'线下门店-经销'!L60-线下渠道!L60</f>
        <v>-3851.39771212684</v>
      </c>
      <c r="N86" s="35">
        <f>N62-淘系!M60-淘系达播!M60-抖音!M60-抖音达播!M60-快手!M60-京东POP财经口径!M60-京东自营财经口径!M60-PDD!M60-得物!M60-'视频号+官网+小程序'!M60-唯品会!M60-'线下门店-直营'!M60-'线下门店-经销'!M60-线下渠道!M60</f>
        <v>-3449.85109790694</v>
      </c>
      <c r="O86" s="35">
        <f>O62-淘系!N60-淘系达播!N60-抖音!N60-抖音达播!N60-快手!N60-京东POP财经口径!N60-京东自营财经口径!N60-PDD!N60-得物!N60-'视频号+官网+小程序'!N60-唯品会!N60-'线下门店-直营'!N60-'线下门店-经销'!N60-线下渠道!N60</f>
        <v>-3991.00359874591</v>
      </c>
      <c r="P86" s="35">
        <f>P62-淘系!O60-淘系达播!O60-抖音!O60-抖音达播!O60-快手!O60-京东POP财经口径!O60-京东自营财经口径!O60-PDD!O60-得物!O60-'视频号+官网+小程序'!O60-唯品会!O60-'线下门店-直营'!O60-'线下门店-经销'!O60-线下渠道!O60</f>
        <v>-40154.7056694105</v>
      </c>
      <c r="Q86" s="6"/>
      <c r="R86" s="6"/>
      <c r="S86" s="6"/>
      <c r="T86" s="6"/>
      <c r="U86" s="6"/>
    </row>
    <row r="87" spans="1:2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spans="1:2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2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spans="1:2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2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spans="1:2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spans="1:2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ht="16.8" spans="1:21">
      <c r="A94" s="6"/>
      <c r="B94" s="86" t="s">
        <v>39</v>
      </c>
      <c r="C94" s="86">
        <v>590816.10619469</v>
      </c>
      <c r="D94" s="86"/>
      <c r="E94" s="86">
        <v>1555478.57915438</v>
      </c>
      <c r="F94" s="86">
        <v>2581397.18879056</v>
      </c>
      <c r="G94" s="86">
        <v>1541409.81415929</v>
      </c>
      <c r="H94" s="86">
        <v>6001680.81858407</v>
      </c>
      <c r="I94" s="86">
        <v>3561493.46570796</v>
      </c>
      <c r="J94" s="86">
        <v>824897.703539823</v>
      </c>
      <c r="K94" s="86">
        <v>1275088.21681416</v>
      </c>
      <c r="L94" s="86">
        <v>1059422.33185841</v>
      </c>
      <c r="M94" s="86">
        <v>3244700.9707858</v>
      </c>
      <c r="N94" s="86">
        <v>1405007.97686321</v>
      </c>
      <c r="O94" s="86">
        <v>917198.160251626</v>
      </c>
      <c r="P94" s="86">
        <v>24558591.332704</v>
      </c>
      <c r="Q94" s="38">
        <v>0.0615948703018541</v>
      </c>
      <c r="R94" s="6"/>
      <c r="S94" s="6"/>
      <c r="T94" s="6"/>
      <c r="U94" s="6"/>
    </row>
    <row r="95" ht="16.8" spans="1:21">
      <c r="A95" s="6"/>
      <c r="B95" s="87" t="s">
        <v>40</v>
      </c>
      <c r="C95" s="87">
        <v>0</v>
      </c>
      <c r="D95" s="87"/>
      <c r="E95" s="87">
        <v>0</v>
      </c>
      <c r="F95" s="87">
        <v>64814.267453294</v>
      </c>
      <c r="G95" s="87">
        <v>54155.0737463127</v>
      </c>
      <c r="H95" s="87">
        <v>115388.163716814</v>
      </c>
      <c r="I95" s="87">
        <v>101584.80199115</v>
      </c>
      <c r="J95" s="87">
        <v>65500.2876106195</v>
      </c>
      <c r="K95" s="87">
        <v>90329.9336283186</v>
      </c>
      <c r="L95" s="87">
        <v>72053.1637168141</v>
      </c>
      <c r="M95" s="87">
        <v>121420.238831432</v>
      </c>
      <c r="N95" s="87">
        <v>91985.613604862</v>
      </c>
      <c r="O95" s="87">
        <v>0</v>
      </c>
      <c r="P95" s="87">
        <v>777231.544299618</v>
      </c>
      <c r="Q95" s="42">
        <v>0.00194935757988256</v>
      </c>
      <c r="R95" s="6"/>
      <c r="S95" s="6"/>
      <c r="T95" s="6"/>
      <c r="U95" s="6"/>
    </row>
    <row r="96" ht="16.8" spans="1:21">
      <c r="A96" s="6"/>
      <c r="B96" s="87" t="s">
        <v>41</v>
      </c>
      <c r="C96" s="87">
        <v>209195</v>
      </c>
      <c r="D96" s="87"/>
      <c r="E96" s="87">
        <v>209195</v>
      </c>
      <c r="F96" s="87">
        <v>209195</v>
      </c>
      <c r="G96" s="87">
        <v>274181.088495575</v>
      </c>
      <c r="H96" s="87">
        <v>901523.982300886</v>
      </c>
      <c r="I96" s="87">
        <v>534266.366371681</v>
      </c>
      <c r="J96" s="87">
        <v>209195</v>
      </c>
      <c r="K96" s="87">
        <v>317590.920353982</v>
      </c>
      <c r="L96" s="87">
        <v>439765.123893805</v>
      </c>
      <c r="M96" s="87">
        <v>354899.286597718</v>
      </c>
      <c r="N96" s="87">
        <v>319577.736325834</v>
      </c>
      <c r="O96" s="87">
        <v>209195</v>
      </c>
      <c r="P96" s="87">
        <v>4187779.50433948</v>
      </c>
      <c r="Q96" s="42">
        <v>0.0105032789514704</v>
      </c>
      <c r="R96" s="6"/>
      <c r="S96" s="6"/>
      <c r="T96" s="6"/>
      <c r="U96" s="6"/>
    </row>
    <row r="97" ht="16.8" spans="1:21">
      <c r="A97" s="6"/>
      <c r="B97" s="87" t="s">
        <v>42</v>
      </c>
      <c r="C97" s="87">
        <v>31801.7588495575</v>
      </c>
      <c r="D97" s="87"/>
      <c r="E97" s="87">
        <v>25890.0688298918</v>
      </c>
      <c r="F97" s="87">
        <v>25925.7069813176</v>
      </c>
      <c r="G97" s="87">
        <v>108310.147492625</v>
      </c>
      <c r="H97" s="87">
        <v>692328.982300885</v>
      </c>
      <c r="I97" s="87">
        <v>446973.128761062</v>
      </c>
      <c r="J97" s="87">
        <v>0</v>
      </c>
      <c r="K97" s="87">
        <v>108395.920353982</v>
      </c>
      <c r="L97" s="87">
        <v>230570.123893805</v>
      </c>
      <c r="M97" s="87">
        <v>242840.477662864</v>
      </c>
      <c r="N97" s="87">
        <v>183971.227209724</v>
      </c>
      <c r="O97" s="87">
        <v>32181.9618296194</v>
      </c>
      <c r="P97" s="87">
        <v>2129189.50416533</v>
      </c>
      <c r="Q97" s="42">
        <v>0.00534017401814443</v>
      </c>
      <c r="R97" s="6"/>
      <c r="S97" s="6"/>
      <c r="T97" s="6"/>
      <c r="U97" s="6"/>
    </row>
    <row r="98" ht="16.8" spans="1:21">
      <c r="A98" s="6"/>
      <c r="B98" s="87" t="s">
        <v>43</v>
      </c>
      <c r="C98" s="87">
        <v>31801.7588495575</v>
      </c>
      <c r="D98" s="87"/>
      <c r="E98" s="87">
        <v>25890.0688298918</v>
      </c>
      <c r="F98" s="87">
        <v>207405.655850541</v>
      </c>
      <c r="G98" s="87">
        <v>21662.0294985251</v>
      </c>
      <c r="H98" s="87">
        <v>138465.796460177</v>
      </c>
      <c r="I98" s="87">
        <v>40633.9207964602</v>
      </c>
      <c r="J98" s="87">
        <v>26200.1150442478</v>
      </c>
      <c r="K98" s="87">
        <v>36131.9734513274</v>
      </c>
      <c r="L98" s="87">
        <v>28821.2654867257</v>
      </c>
      <c r="M98" s="87">
        <v>97136.1910651456</v>
      </c>
      <c r="N98" s="87">
        <v>73588.4908838896</v>
      </c>
      <c r="O98" s="87">
        <v>32181.9618296194</v>
      </c>
      <c r="P98" s="87">
        <v>759919.228046108</v>
      </c>
      <c r="Q98" s="42">
        <v>0.00190593693495169</v>
      </c>
      <c r="R98" s="6"/>
      <c r="S98" s="6"/>
      <c r="T98" s="6"/>
      <c r="U98" s="6"/>
    </row>
    <row r="99" ht="16.8" spans="1:21">
      <c r="A99" s="6"/>
      <c r="B99" s="87" t="s">
        <v>44</v>
      </c>
      <c r="C99" s="87">
        <v>318017.588495575</v>
      </c>
      <c r="D99" s="87"/>
      <c r="E99" s="87">
        <v>1294503.44149459</v>
      </c>
      <c r="F99" s="87">
        <v>2074056.55850541</v>
      </c>
      <c r="G99" s="87">
        <v>1083101.47492625</v>
      </c>
      <c r="H99" s="87">
        <v>4153973.89380531</v>
      </c>
      <c r="I99" s="87">
        <v>2438035.24778761</v>
      </c>
      <c r="J99" s="87">
        <v>524002.300884956</v>
      </c>
      <c r="K99" s="87">
        <v>722639.469026548</v>
      </c>
      <c r="L99" s="87">
        <v>288212.654867257</v>
      </c>
      <c r="M99" s="87">
        <v>2428404.77662864</v>
      </c>
      <c r="N99" s="87">
        <v>735884.908838896</v>
      </c>
      <c r="O99" s="87">
        <v>643639.236592387</v>
      </c>
      <c r="P99" s="87">
        <v>16704471.5518534</v>
      </c>
      <c r="Q99" s="42">
        <v>0.041896122817405</v>
      </c>
      <c r="R99" s="6"/>
      <c r="S99" s="6"/>
      <c r="T99" s="6"/>
      <c r="U99" s="6"/>
    </row>
    <row r="100" spans="1:2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spans="1:2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spans="1:2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spans="1:2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spans="1:2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spans="1:2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spans="1:2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spans="1:2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1:2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spans="1:2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1:2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spans="1:2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spans="1:2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spans="1:2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spans="1:2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1:2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spans="1:2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spans="1:2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spans="1:2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spans="1:2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spans="1:2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spans="1: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spans="1:2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spans="1:2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spans="1:2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spans="1:2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spans="1:2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spans="1:2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spans="1:2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spans="1:2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spans="1:2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spans="1:2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spans="1:2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spans="1:2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spans="1:2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spans="1:2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spans="1:2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spans="1:2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spans="1:2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spans="1:2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spans="1:2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spans="1:2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spans="1:2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spans="1:2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spans="1:2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spans="1:2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spans="1:2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spans="1:2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spans="1:2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spans="1:2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spans="1:2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spans="1:2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spans="1:2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spans="1:2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spans="1:2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spans="1:2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spans="1:2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spans="1:2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spans="1:2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spans="1:2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spans="1:2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spans="1:2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spans="1:2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spans="1:2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spans="1:2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spans="1:2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spans="1:2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spans="1:2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spans="1:2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spans="1:2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spans="1:2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2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spans="1:2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spans="1:2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spans="1:2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spans="1:2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spans="1:2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spans="1:2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spans="1:2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spans="1:2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spans="1:2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spans="1:2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spans="1:2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spans="1:2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spans="1:2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spans="1:2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spans="1:2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spans="1:2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spans="1:2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spans="1:2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spans="1:2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spans="1:2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spans="1:2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spans="1:2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spans="1:2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spans="1:2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spans="1:2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 spans="1:2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spans="1:2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 spans="1:2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spans="1:2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 spans="1:2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</sheetData>
  <pageMargins left="0.75" right="0.75" top="1" bottom="1" header="0.5" footer="0.5"/>
  <headerFooter/>
  <legacy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199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4.4"/>
  <cols>
    <col min="1" max="1" width="4" customWidth="1"/>
    <col min="2" max="2" width="20" customWidth="1"/>
    <col min="3" max="16" width="16" customWidth="1"/>
    <col min="17" max="17" width="14" customWidth="1"/>
    <col min="18" max="22" width="11" customWidth="1"/>
  </cols>
  <sheetData>
    <row r="1" ht="17" spans="1:22">
      <c r="A1" s="6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6"/>
      <c r="S1" s="6"/>
      <c r="T1" s="6"/>
    </row>
    <row r="2" ht="16.8" spans="1:22">
      <c r="A2" s="6"/>
      <c r="B2" s="4" t="s">
        <v>16</v>
      </c>
      <c r="C2" s="8">
        <f>淘系!C2+抖音!C2+PDD!C2+得物!C2+京东自营财经口径!C2+京东POP财经口径!C2+'视频号+官网+小程序'!C2+快手!C2+唯品会!C2+'线下门店-直营'!C2+'线下门店-经销'!C2+线下渠道!C2+淘系达播!C2+抖音达播!C2</f>
        <v>90463.684158025</v>
      </c>
      <c r="D2" s="8">
        <f>淘系!D2+抖音!D2+PDD!D2+得物!D2+京东自营财经口径!D2+京东POP财经口径!D2+'视频号+官网+小程序'!D2+快手!D2+唯品会!D2+'线下门店-直营'!D2+'线下门店-经销'!D2+线下渠道!D2+淘系达播!D2+抖音达播!D2</f>
        <v>81993.6885098585</v>
      </c>
      <c r="E2" s="8">
        <f>淘系!E2+抖音!E2+PDD!E2+得物!E2+京东自营财经口径!E2+京东POP财经口径!E2+'视频号+官网+小程序'!E2+快手!E2+唯品会!E2+'线下门店-直营'!E2+'线下门店-经销'!E2+线下渠道!E2+淘系达播!E2+抖音达播!E2</f>
        <v>95977.292005261</v>
      </c>
      <c r="F2" s="8">
        <f>淘系!F2+抖音!F2+PDD!F2+得物!F2+京东自营财经口径!F2+京东POP财经口径!F2+'视频号+官网+小程序'!F2+快手!F2+唯品会!F2+'线下门店-直营'!F2+'线下门店-经销'!F2+线下渠道!F2+淘系达播!F2+抖音达播!F2</f>
        <v>80112.9641072792</v>
      </c>
      <c r="G2" s="8">
        <f>淘系!G2+抖音!G2+PDD!G2+得物!G2+京东自营财经口径!G2+京东POP财经口径!G2+'视频号+官网+小程序'!G2+快手!G2+唯品会!G2+'线下门店-直营'!G2+'线下门店-经销'!G2+线下渠道!G2+淘系达播!G2+抖音达播!G2</f>
        <v>138286.2974816</v>
      </c>
      <c r="H2" s="8">
        <f>淘系!H2+抖音!H2+PDD!H2+得物!H2+京东自营财经口径!H2+京东POP财经口径!H2+'视频号+官网+小程序'!H2+快手!H2+唯品会!H2+'线下门店-直营'!H2+'线下门店-经销'!H2+线下渠道!H2+淘系达播!H2+抖音达播!H2</f>
        <v>121225.558906529</v>
      </c>
      <c r="I2" s="8">
        <f>淘系!I2+抖音!I2+PDD!I2+得物!I2+京东自营财经口径!I2+京东POP财经口径!I2+'视频号+官网+小程序'!I2+快手!I2+唯品会!I2+'线下门店-直营'!I2+'线下门店-经销'!I2+线下渠道!I2+淘系达播!I2+抖音达播!I2</f>
        <v>80120.128594272</v>
      </c>
      <c r="J2" s="8">
        <f>淘系!J2+抖音!J2+PDD!J2+得物!J2+京东自营财经口径!J2+京东POP财经口径!J2+'视频号+官网+小程序'!J2+快手!J2+唯品会!J2+'线下门店-直营'!J2+'线下门店-经销'!J2+线下渠道!J2+淘系达播!J2+抖音达播!J2</f>
        <v>99963.4887388583</v>
      </c>
      <c r="K2" s="8">
        <f>淘系!K2+抖音!K2+PDD!K2+得物!K2+京东自营财经口径!K2+京东POP财经口径!K2+'视频号+官网+小程序'!K2+快手!K2+唯品会!K2+'线下门店-直营'!K2+'线下门店-经销'!K2+线下渠道!K2+淘系达播!K2+抖音达播!K2</f>
        <v>109614.029486567</v>
      </c>
      <c r="L2" s="8">
        <f>淘系!L2+抖音!L2+PDD!L2+得物!L2+京东自营财经口径!L2+京东POP财经口径!L2+'视频号+官网+小程序'!L2+快手!L2+唯品会!L2+'线下门店-直营'!L2+'线下门店-经销'!L2+线下渠道!L2+淘系达播!L2+抖音达播!L2</f>
        <v>146214.464369274</v>
      </c>
      <c r="M2" s="8">
        <f>淘系!M2+抖音!M2+PDD!M2+得物!M2+京东自营财经口径!M2+京东POP财经口径!M2+'视频号+官网+小程序'!M2+快手!M2+唯品会!M2+'线下门店-直营'!M2+'线下门店-经销'!M2+线下渠道!M2+淘系达播!M2+抖音达播!M2</f>
        <v>115677.003998625</v>
      </c>
      <c r="N2" s="8">
        <f>淘系!N2+抖音!N2+PDD!N2+得物!N2+京东自营财经口径!N2+京东POP财经口径!N2+'视频号+官网+小程序'!N2+快手!N2+唯品会!N2+'线下门店-直营'!N2+'线下门店-经销'!N2+线下渠道!N2+淘系达播!N2+抖音达播!N2</f>
        <v>104902.5116157</v>
      </c>
      <c r="O2" s="36">
        <f>SUM(C2:N2)</f>
        <v>1264551.11197185</v>
      </c>
      <c r="P2" s="36"/>
      <c r="Q2" s="6"/>
      <c r="T2" s="67"/>
      <c r="U2" s="67"/>
    </row>
    <row r="3" ht="16.8" spans="1:22">
      <c r="A3" s="32"/>
      <c r="B3" s="8" t="s">
        <v>17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>
        <f>SUM(C3:N3)</f>
        <v>0</v>
      </c>
      <c r="P3" s="8"/>
      <c r="Q3" s="10" t="s">
        <v>83</v>
      </c>
      <c r="R3" s="6"/>
      <c r="S3" s="6"/>
      <c r="T3" s="6"/>
    </row>
    <row r="4" ht="20" customHeight="1" spans="1:22">
      <c r="A4" s="32"/>
      <c r="B4" s="8" t="s">
        <v>84</v>
      </c>
      <c r="C4" s="12">
        <f>淘系!C4+抖音!C4+PDD!C4+得物!C4+京东自营业务口径!C4+京东POP财经口径!C4+'视频号+官网+小程序'!C4+快手!C4+唯品会!C4+淘系达播!C4+抖音达播!C4</f>
        <v>31045758.4572286</v>
      </c>
      <c r="D4" s="12">
        <f>淘系!D4+抖音!D4+PDD!D4+得物!D4+京东自营业务口径!D4+京东POP财经口径!D4+'视频号+官网+小程序'!D4+快手!D4+唯品会!D4+淘系达播!D4+抖音达播!D4</f>
        <v>30744830.092551</v>
      </c>
      <c r="E4" s="12">
        <f>淘系!E4+抖音!E4+PDD!E4+得物!E4+京东自营业务口径!E4+京东POP财经口径!E4+'视频号+官网+小程序'!E4+快手!E4+唯品会!E4+淘系达播!E4+抖音达播!E4</f>
        <v>26254224.1267304</v>
      </c>
      <c r="F4" s="12">
        <f>淘系!F4+抖音!F4+PDD!F4+得物!F4+京东自营业务口径!F4+京东POP财经口径!F4+'视频号+官网+小程序'!F4+快手!F4+唯品会!F4+淘系达播!F4+抖音达播!F4</f>
        <v>22440837.6148117</v>
      </c>
      <c r="G4" s="12">
        <f>淘系!G4+抖音!G4+PDD!G4+得物!G4+京东自营业务口径!G4+京东POP财经口径!G4+'视频号+官网+小程序'!G4+快手!G4+唯品会!G4+淘系达播!G4+抖音达播!G4</f>
        <v>48936201.9179972</v>
      </c>
      <c r="H4" s="12">
        <f>淘系!H4+抖音!H4+PDD!H4+得物!H4+京东自营业务口径!H4+京东POP财经口径!H4+'视频号+官网+小程序'!H4+快手!H4+唯品会!H4+淘系达播!H4+抖音达播!H4</f>
        <v>43615567.5659326</v>
      </c>
      <c r="I4" s="12">
        <f>淘系!I4+抖音!I4+PDD!I4+得物!I4+京东自营业务口径!I4+京东POP财经口径!I4+'视频号+官网+小程序'!I4+快手!I4+唯品会!I4+淘系达播!I4+抖音达播!I4</f>
        <v>29434851.8627269</v>
      </c>
      <c r="J4" s="12">
        <f>淘系!J4+抖音!J4+PDD!J4+得物!J4+京东自营业务口径!J4+京东POP财经口径!J4+'视频号+官网+小程序'!J4+快手!J4+唯品会!J4+淘系达播!J4+抖音达播!J4</f>
        <v>41843410.6901575</v>
      </c>
      <c r="K4" s="12">
        <f>淘系!K4+抖音!K4+PDD!K4+得物!K4+京东自营业务口径!K4+京东POP财经口径!K4+'视频号+官网+小程序'!K4+快手!K4+唯品会!K4+淘系达播!K4+抖音达播!K4</f>
        <v>29984835.3834936</v>
      </c>
      <c r="L4" s="12">
        <f>淘系!L4+抖音!L4+PDD!L4+得物!L4+京东自营业务口径!L4+京东POP财经口径!L4+'视频号+官网+小程序'!L4+快手!L4+唯品会!L4+淘系达播!L4+抖音达播!L4</f>
        <v>54428354.7519227</v>
      </c>
      <c r="M4" s="12">
        <f>淘系!M4+抖音!M4+PDD!M4+得物!M4+京东自营业务口径!M4+京东POP财经口径!M4+'视频号+官网+小程序'!M4+快手!M4+唯品会!M4+淘系达播!M4+抖音达播!M4</f>
        <v>48981786.289019</v>
      </c>
      <c r="N4" s="12">
        <f>淘系!N4+抖音!N4+PDD!N4+得物!N4+京东自营业务口径!N4+京东POP财经口径!N4+'视频号+官网+小程序'!N4+快手!N4+唯品会!N4+淘系达播!N4+抖音达播!N4</f>
        <v>39157509.8445215</v>
      </c>
      <c r="O4" s="12">
        <f>淘系!O4+抖音!O4+PDD!O4+得物!O4+京东自营业务口径!O4+京东POP财经口径!O4+'视频号+官网+小程序'!O4+快手!O4+唯品会!O4+淘系达播!O4+抖音达播!O4</f>
        <v>446868168.597093</v>
      </c>
      <c r="P4" s="8"/>
      <c r="Q4" s="10" t="s">
        <v>83</v>
      </c>
      <c r="R4" s="6"/>
      <c r="S4" s="6"/>
      <c r="T4" s="83"/>
      <c r="U4" s="84"/>
      <c r="V4" s="84"/>
    </row>
    <row r="5" ht="16.8" spans="1:22">
      <c r="A5" s="32"/>
      <c r="B5" s="8" t="s">
        <v>18</v>
      </c>
      <c r="C5" s="8">
        <f>淘系!C5+抖音!C5+PDD!C5+得物!C5+京东自营财经口径!C5+京东POP财经口径!C5+'视频号+官网+小程序'!C5+快手!C5+唯品会!C5+'线下门店-直营'!C5+'线下门店-经销'!C5+线下渠道!C5+淘系达播!C5+抖音达播!C5</f>
        <v>4607684.72303077</v>
      </c>
      <c r="D5" s="8">
        <f>淘系!D5+抖音!D5+PDD!D5+得物!D5+京东自营财经口径!D5+京东POP财经口径!D5+'视频号+官网+小程序'!D5+快手!D5+唯品会!D5+'线下门店-直营'!D5+'线下门店-经销'!D5+线下渠道!D5+淘系达播!D5+抖音达播!D5</f>
        <v>4599816.62608853</v>
      </c>
      <c r="E5" s="8">
        <f>淘系!E5+抖音!E5+PDD!E5+得物!E5+京东自营财经口径!E5+京东POP财经口径!E5+'视频号+官网+小程序'!E5+快手!E5+唯品会!E5+'线下门店-直营'!E5+'线下门店-经销'!E5+线下渠道!E5+淘系达播!E5+抖音达播!E5</f>
        <v>3914048.66162927</v>
      </c>
      <c r="F5" s="8">
        <f>淘系!F5+抖音!F5+PDD!F5+得物!F5+京东自营财经口径!F5+京东POP财经口径!F5+'视频号+官网+小程序'!F5+快手!F5+唯品会!F5+'线下门店-直营'!F5+'线下门店-经销'!F5+线下渠道!F5+淘系达播!F5+抖音达播!F5</f>
        <v>3349087.77735999</v>
      </c>
      <c r="G5" s="8">
        <f>淘系!G5+抖音!G5+PDD!G5+得物!G5+京东自营财经口径!G5+京东POP财经口径!G5+'视频号+官网+小程序'!G5+快手!G5+唯品会!G5+'线下门店-直营'!G5+'线下门店-经销'!G5+线下渠道!G5+淘系达播!G5+抖音达播!G5</f>
        <v>7313638.22761134</v>
      </c>
      <c r="H5" s="8">
        <f>淘系!H5+抖音!H5+PDD!H5+得物!H5+京东自营财经口径!H5+京东POP财经口径!H5+'视频号+官网+小程序'!H5+快手!H5+唯品会!H5+'线下门店-直营'!H5+'线下门店-经销'!H5+线下渠道!H5+淘系达播!H5+抖音达播!H5</f>
        <v>6508325.22974283</v>
      </c>
      <c r="I5" s="8">
        <f>淘系!I5+抖音!I5+PDD!I5+得物!I5+京东自营财经口径!I5+京东POP财经口径!I5+'视频号+官网+小程序'!I5+快手!I5+唯品会!I5+'线下门店-直营'!I5+'线下门店-经销'!I5+线下渠道!I5+淘系达播!I5+抖音达播!I5</f>
        <v>4346063.51245904</v>
      </c>
      <c r="J5" s="8">
        <f>淘系!J5+抖音!J5+PDD!J5+得物!J5+京东自营财经口径!J5+京东POP财经口径!J5+'视频号+官网+小程序'!J5+快手!J5+唯品会!J5+'线下门店-直营'!J5+'线下门店-经销'!J5+线下渠道!J5+淘系达播!J5+抖音达播!J5</f>
        <v>6197224.02358069</v>
      </c>
      <c r="K5" s="8">
        <f>淘系!K5+抖音!K5+PDD!K5+得物!K5+京东自营财经口径!K5+京东POP财经口径!K5+'视频号+官网+小程序'!K5+快手!K5+唯品会!K5+'线下门店-直营'!K5+'线下门店-经销'!K5+线下渠道!K5+淘系达播!K5+抖音达播!K5</f>
        <v>4425098.68990727</v>
      </c>
      <c r="L5" s="8">
        <f>淘系!L5+抖音!L5+PDD!L5+得物!L5+京东自营财经口径!L5+京东POP财经口径!L5+'视频号+官网+小程序'!L5+快手!L5+唯品会!L5+'线下门店-直营'!L5+'线下门店-经销'!L5+线下渠道!L5+淘系达播!L5+抖音达播!L5</f>
        <v>8078731.43720458</v>
      </c>
      <c r="M5" s="8">
        <f>淘系!M5+抖音!M5+PDD!M5+得物!M5+京东自营财经口径!M5+京东POP财经口径!M5+'视频号+官网+小程序'!M5+快手!M5+唯品会!M5+'线下门店-直营'!M5+'线下门店-经销'!M5+线下渠道!M5+淘系达播!M5+抖音达播!M5</f>
        <v>7264882.58120579</v>
      </c>
      <c r="N5" s="8">
        <f>淘系!N5+抖音!N5+PDD!N5+得物!N5+京东自营财经口径!N5+京东POP财经口径!N5+'视频号+官网+小程序'!N5+快手!N5+唯品会!N5+'线下门店-直营'!N5+'线下门店-经销'!N5+线下渠道!N5+淘系达播!N5+抖音达播!N5</f>
        <v>5803843.48503029</v>
      </c>
      <c r="O5" s="8">
        <f>SUM(C5:N5)</f>
        <v>66408444.9748504</v>
      </c>
      <c r="P5" s="8"/>
      <c r="Q5" s="10" t="s">
        <v>83</v>
      </c>
      <c r="R5" s="6"/>
      <c r="S5" s="6"/>
      <c r="T5" s="83"/>
      <c r="U5" s="84"/>
      <c r="V5" s="84"/>
    </row>
    <row r="6" ht="16.8" spans="1:22">
      <c r="A6" s="32"/>
      <c r="B6" s="12" t="s">
        <v>85</v>
      </c>
      <c r="C6" s="12">
        <f>淘系!C6+抖音!C6+PDD!C6+得物!C6+京东自营业务口径!C6+京东POP财经口径!C6+'视频号+官网+小程序'!C6+快手!C6+唯品会!C6+淘系达播!C6+抖音达播!C6</f>
        <v>34463089.3739104</v>
      </c>
      <c r="D6" s="12">
        <f>淘系!D6+抖音!D6+PDD!D6+得物!D6+京东自营业务口径!D6+京东POP财经口径!D6+'视频号+官网+小程序'!D6+快手!D6+唯品会!D6+淘系达播!D6+抖音达播!D6</f>
        <v>34521878.3415369</v>
      </c>
      <c r="E6" s="12">
        <f>淘系!E6+抖音!E6+PDD!E6+得物!E6+京东自营业务口径!E6+京东POP财经口径!E6+'视频号+官网+小程序'!E6+快手!E6+唯品会!E6+淘系达播!E6+抖音达播!E6</f>
        <v>29343709.4978489</v>
      </c>
      <c r="F6" s="12">
        <f>淘系!F6+抖音!F6+PDD!F6+得物!F6+京东自营业务口径!F6+京东POP财经口径!F6+'视频号+官网+小程序'!F6+快手!F6+唯品会!F6+淘系达播!F6+抖音达播!F6</f>
        <v>24438728.8004981</v>
      </c>
      <c r="G6" s="12">
        <f>淘系!G6+抖音!G6+PDD!G6+得物!G6+京东自营业务口径!G6+京东POP财经口径!G6+'视频号+官网+小程序'!G6+快手!G6+唯品会!G6+淘系达播!G6+抖音达播!G6</f>
        <v>55492643.6961265</v>
      </c>
      <c r="H6" s="12">
        <f>淘系!H6+抖音!H6+PDD!H6+得物!H6+京东自营业务口径!H6+京东POP财经口径!H6+'视频号+官网+小程序'!H6+快手!H6+唯品会!H6+淘系达播!H6+抖音达播!H6</f>
        <v>48501779.4749975</v>
      </c>
      <c r="I6" s="12">
        <f>淘系!I6+抖音!I6+PDD!I6+得物!I6+京东自营业务口径!I6+京东POP财经口径!I6+'视频号+官网+小程序'!I6+快手!I6+唯品会!I6+淘系达播!I6+抖音达播!I6</f>
        <v>32978711.1826982</v>
      </c>
      <c r="J6" s="12">
        <f>淘系!J6+抖音!J6+PDD!J6+得物!J6+京东自营业务口径!J6+京东POP财经口径!J6+'视频号+官网+小程序'!J6+快手!J6+唯品会!J6+淘系达播!J6+抖音达播!J6</f>
        <v>48250645.9153314</v>
      </c>
      <c r="K6" s="12">
        <f>淘系!K6+抖音!K6+PDD!K6+得物!K6+京东自营业务口径!K6+京东POP财经口径!K6+'视频号+官网+小程序'!K6+快手!K6+唯品会!K6+淘系达播!K6+抖音达播!K6</f>
        <v>35576289.1435937</v>
      </c>
      <c r="L6" s="12">
        <f>淘系!L6+抖音!L6+PDD!L6+得物!L6+京东自营业务口径!L6+京东POP财经口径!L6+'视频号+官网+小程序'!L6+快手!L6+唯品会!L6+淘系达播!L6+抖音达播!L6</f>
        <v>63150894.9537014</v>
      </c>
      <c r="M6" s="12">
        <f>淘系!M6+抖音!M6+PDD!M6+得物!M6+京东自营业务口径!M6+京东POP财经口径!M6+'视频号+官网+小程序'!M6+快手!M6+唯品会!M6+淘系达播!M6+抖音达播!M6</f>
        <v>56771408.4434268</v>
      </c>
      <c r="N6" s="12">
        <f>淘系!N6+抖音!N6+PDD!N6+得物!N6+京东自营业务口径!N6+京东POP财经口径!N6+'视频号+官网+小程序'!N6+快手!N6+唯品会!N6+淘系达播!N6+抖音达播!N6</f>
        <v>43959434.9176146</v>
      </c>
      <c r="O6" s="12">
        <f>淘系!O6+抖音!O6+PDD!O6+得物!O6+京东自营业务口径!O6+京东POP财经口径!O6+'视频号+官网+小程序'!O6+快手!O6+唯品会!O6+淘系达播!O6+抖音达播!O6</f>
        <v>507449213.741284</v>
      </c>
      <c r="P6" s="12"/>
      <c r="Q6" s="10" t="s">
        <v>83</v>
      </c>
      <c r="R6" s="6"/>
      <c r="S6" s="6"/>
      <c r="T6" s="83"/>
      <c r="U6" s="84"/>
      <c r="V6" s="84"/>
    </row>
    <row r="7" ht="16.8" spans="1:22">
      <c r="A7" s="32"/>
      <c r="B7" s="14" t="s">
        <v>20</v>
      </c>
      <c r="C7" s="14">
        <f t="shared" ref="C7:O7" si="0">1-C8/C6</f>
        <v>0.227786419206205</v>
      </c>
      <c r="D7" s="14">
        <f t="shared" si="0"/>
        <v>0.227479235933732</v>
      </c>
      <c r="E7" s="14">
        <f t="shared" si="0"/>
        <v>0.224932107720503</v>
      </c>
      <c r="F7" s="14">
        <f t="shared" si="0"/>
        <v>0.203965019250663</v>
      </c>
      <c r="G7" s="14">
        <f t="shared" si="0"/>
        <v>0.237079728724444</v>
      </c>
      <c r="H7" s="14">
        <f t="shared" si="0"/>
        <v>0.221556113600154</v>
      </c>
      <c r="I7" s="14">
        <f t="shared" si="0"/>
        <v>0.225123118996387</v>
      </c>
      <c r="J7" s="14">
        <f t="shared" si="0"/>
        <v>0.248628595605686</v>
      </c>
      <c r="K7" s="14">
        <f t="shared" si="0"/>
        <v>0.26870993591576</v>
      </c>
      <c r="L7" s="14">
        <f t="shared" si="0"/>
        <v>0.255166085595417</v>
      </c>
      <c r="M7" s="14">
        <f t="shared" si="0"/>
        <v>0.251292239988334</v>
      </c>
      <c r="N7" s="14">
        <f t="shared" si="0"/>
        <v>0.226314690421019</v>
      </c>
      <c r="O7" s="14">
        <f t="shared" si="0"/>
        <v>0.237461357425883</v>
      </c>
      <c r="P7" s="14"/>
      <c r="Q7" s="6" t="s">
        <v>83</v>
      </c>
      <c r="R7" s="6"/>
      <c r="S7" s="6"/>
      <c r="T7" s="83"/>
      <c r="U7" s="84"/>
      <c r="V7" s="84"/>
    </row>
    <row r="8" ht="16.8" spans="1:22">
      <c r="A8" s="32"/>
      <c r="B8" s="12" t="s">
        <v>86</v>
      </c>
      <c r="C8" s="12">
        <f>淘系!C8+抖音!C8+PDD!C8+得物!C8+京东自营业务口径!C8+京东POP财经口径!C8+'视频号+官网+小程序'!C8+快手!C8+唯品会!C8+淘系达播!C8+抖音达播!C8</f>
        <v>26612865.6506439</v>
      </c>
      <c r="D8" s="12">
        <f>淘系!D8+抖音!D8+PDD!D8+得物!D8+京东自营业务口径!D8+京东POP财经口径!D8+'视频号+官网+小程序'!D8+快手!D8+唯品会!D8+淘系达播!D8+抖音达播!D8</f>
        <v>26668867.8334068</v>
      </c>
      <c r="E8" s="12">
        <f>淘系!E8+抖音!E8+PDD!E8+得物!E8+京东自营业务口径!E8+京东POP财经口径!E8+'视频号+官网+小程序'!E8+快手!E8+唯品会!E8+淘系达播!E8+抖音达播!E8</f>
        <v>22743367.0721596</v>
      </c>
      <c r="F8" s="12">
        <f>淘系!F8+抖音!F8+PDD!F8+得物!F8+京东自营业务口径!F8+京东POP财经口径!F8+'视频号+官网+小程序'!F8+快手!F8+唯品会!F8+淘系达播!F8+抖音达播!F8</f>
        <v>19454083.0102428</v>
      </c>
      <c r="G8" s="12">
        <f>淘系!G8+抖音!G8+PDD!G8+得物!G8+京东自营业务口径!G8+京东POP财经口径!G8+'视频号+官网+小程序'!G8+快手!G8+唯品会!G8+淘系达播!G8+抖音达播!G8</f>
        <v>42336462.7824466</v>
      </c>
      <c r="H8" s="12">
        <f>淘系!H8+抖音!H8+PDD!H8+得物!H8+京东自营业务口径!H8+京东POP财经口径!H8+'视频号+官网+小程序'!H8+快手!H8+唯品会!H8+淘系达播!H8+抖音达播!H8</f>
        <v>37755913.7118253</v>
      </c>
      <c r="I8" s="12">
        <f>淘系!I8+抖音!I8+PDD!I8+得物!I8+京东自营业务口径!I8+京东POP财经口径!I8+'视频号+官网+小程序'!I8+快手!I8+唯品会!I8+淘系达播!I8+抖音达播!I8</f>
        <v>25554440.8607682</v>
      </c>
      <c r="J8" s="12">
        <f>淘系!J8+抖音!J8+PDD!J8+得物!J8+京东自营业务口径!J8+京东POP财经口径!J8+'视频号+官网+小程序'!J8+快手!J8+唯品会!J8+淘系达播!J8+抖音达播!J8</f>
        <v>36254155.5843353</v>
      </c>
      <c r="K8" s="12">
        <f>淘系!K8+抖音!K8+PDD!K8+得物!K8+京东自营业务口径!K8+京东POP财经口径!K8+'视频号+官网+小程序'!K8+快手!K8+唯品会!K8+淘系达播!K8+抖音达播!K8</f>
        <v>26016586.7676981</v>
      </c>
      <c r="L8" s="12">
        <f>淘系!L8+抖音!L8+PDD!L8+得物!L8+京东自营业务口径!L8+京东POP财经口径!L8+'视频号+官网+小程序'!L8+快手!L8+唯品会!L8+淘系达播!L8+抖音达播!L8</f>
        <v>47036928.2865181</v>
      </c>
      <c r="M8" s="12">
        <f>淘系!M8+抖音!M8+PDD!M8+得物!M8+京东自营业务口径!M8+京东POP财经口径!M8+'视频号+官网+小程序'!M8+快手!M8+唯品会!M8+淘系达播!M8+抖音达播!M8</f>
        <v>42505194.0483855</v>
      </c>
      <c r="N8" s="12">
        <f>淘系!N8+抖音!N8+PDD!N8+得物!N8+京东自营业务口径!N8+京东POP财经口径!N8+'视频号+官网+小程序'!N8+快手!N8+唯品会!N8+淘系达播!N8+抖音达播!N8</f>
        <v>34010769.0131517</v>
      </c>
      <c r="O8" s="12">
        <f>淘系!O8+抖音!O8+PDD!O8+得物!O8+京东自营业务口径!O8+京东POP财经口径!O8+'视频号+官网+小程序'!O8+快手!O8+唯品会!O8+淘系达播!O8+抖音达播!O8</f>
        <v>386949634.621582</v>
      </c>
      <c r="P8" s="12"/>
      <c r="Q8" s="6" t="s">
        <v>83</v>
      </c>
      <c r="R8" s="6"/>
      <c r="S8" s="6"/>
      <c r="T8" s="83"/>
      <c r="U8" s="84"/>
      <c r="V8" s="84"/>
    </row>
    <row r="9" ht="16.8" spans="1:22">
      <c r="A9" s="6"/>
      <c r="B9" s="4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6"/>
      <c r="R9" s="6"/>
      <c r="S9" s="6"/>
      <c r="T9" s="83"/>
      <c r="U9" s="84"/>
      <c r="V9" s="84"/>
    </row>
    <row r="10" ht="16.8" spans="1:22">
      <c r="A10" s="32"/>
      <c r="B10" s="12" t="s">
        <v>22</v>
      </c>
      <c r="C10" s="12">
        <f>淘系!C10+抖音!C10+PDD!C10+得物!C10+京东自营财经口径!C10+京东POP财经口径!C10+'视频号+官网+小程序'!C10+快手!C10+唯品会!C10+'线下门店-直营'!C10++'线下门店-经销'!C10+线下渠道!C10+淘系达播!C10+抖音达播!C10</f>
        <v>43169030.0996109</v>
      </c>
      <c r="D10" s="12">
        <f>淘系!D10+抖音!D10+PDD!D10+得物!D10+京东自营财经口径!D10+京东POP财经口径!D10+'视频号+官网+小程序'!D10+快手!D10+唯品会!D10+'线下门店-直营'!D10++'线下门店-经销'!D10+线下渠道!D10+淘系达播!D10+抖音达播!D10</f>
        <v>41319764.6276027</v>
      </c>
      <c r="E10" s="12">
        <f>淘系!E10+抖音!E10+PDD!E10+得物!E10+京东自营财经口径!E10+京东POP财经口径!E10+'视频号+官网+小程序'!E10+快手!E10+唯品会!E10+'线下门店-直营'!E10++'线下门店-经销'!E10+线下渠道!E10+淘系达播!E10+抖音达播!E10</f>
        <v>34649173.0179444</v>
      </c>
      <c r="F10" s="12">
        <f>淘系!F10+抖音!F10+PDD!F10+得物!F10+京东自营财经口径!F10+京东POP财经口径!F10+'视频号+官网+小程序'!F10+快手!F10+唯品会!F10+'线下门店-直营'!F10++'线下门店-经销'!F10+线下渠道!F10+淘系达播!F10+抖音达播!F10</f>
        <v>30349389.17141</v>
      </c>
      <c r="G10" s="12">
        <f>淘系!G10+抖音!G10+PDD!G10+得物!G10+京东自营财经口径!G10+京东POP财经口径!G10+'视频号+官网+小程序'!G10+快手!G10+唯品会!G10+'线下门店-直营'!G10++'线下门店-经销'!G10+线下渠道!G10+淘系达播!G10+抖音达播!G10</f>
        <v>62773132.0743423</v>
      </c>
      <c r="H10" s="12">
        <f>淘系!H10+抖音!H10+PDD!H10+得物!H10+京东自营财经口径!H10+京东POP财经口径!H10+'视频号+官网+小程序'!H10+快手!H10+唯品会!H10+'线下门店-直营'!H10++'线下门店-经销'!H10+线下渠道!H10+淘系达播!H10+抖音达播!H10</f>
        <v>57311535.5914867</v>
      </c>
      <c r="I10" s="12">
        <f>淘系!I10+抖音!I10+PDD!I10+得物!I10+京东自营财经口径!I10+京东POP财经口径!I10+'视频号+官网+小程序'!I10+快手!I10+唯品会!I10+'线下门店-直营'!I10++'线下门店-经销'!I10+线下渠道!I10+淘系达播!I10+抖音达播!I10</f>
        <v>40240744.0502943</v>
      </c>
      <c r="J10" s="12">
        <f>淘系!J10+抖音!J10+PDD!J10+得物!J10+京东自营财经口径!J10+京东POP财经口径!J10+'视频号+官网+小程序'!J10+快手!J10+唯品会!J10+'线下门店-直营'!J10++'线下门店-经销'!J10+线下渠道!J10+淘系达播!J10+抖音达播!J10</f>
        <v>55453829.5212764</v>
      </c>
      <c r="K10" s="12">
        <f>淘系!K10+抖音!K10+PDD!K10+得物!K10+京东自营财经口径!K10+京东POP财经口径!K10+'视频号+官网+小程序'!K10+快手!K10+唯品会!K10+'线下门店-直营'!K10++'线下门店-经销'!K10+线下渠道!K10+淘系达播!K10+抖音达播!K10</f>
        <v>40718428.5380385</v>
      </c>
      <c r="L10" s="12">
        <f>淘系!L10+抖音!L10+PDD!L10+得物!L10+京东自营财经口径!L10+京东POP财经口径!L10+'视频号+官网+小程序'!L10+快手!L10+唯品会!L10+'线下门店-直营'!L10++'线下门店-经销'!L10+线下渠道!L10+淘系达播!L10+抖音达播!L10</f>
        <v>71230328.9325347</v>
      </c>
      <c r="M10" s="12">
        <f>淘系!M10+抖音!M10+PDD!M10+得物!M10+京东自营财经口径!M10+京东POP财经口径!M10+'视频号+官网+小程序'!M10+快手!M10+唯品会!M10+'线下门店-直营'!M10++'线下门店-经销'!M10+线下渠道!M10+淘系达播!M10+抖音达播!M10</f>
        <v>66850933.4310996</v>
      </c>
      <c r="N10" s="12">
        <f>淘系!N10+抖音!N10+PDD!N10+得物!N10+京东自营财经口径!N10+京东POP财经口径!N10+'视频号+官网+小程序'!N10+快手!N10+唯品会!N10+'线下门店-直营'!N10++'线下门店-经销'!N10+线下渠道!N10+淘系达播!N10+抖音达播!N10</f>
        <v>55451704.9549411</v>
      </c>
      <c r="O10" s="12">
        <f t="shared" ref="O10:O16" si="1">SUM(C10:N10)</f>
        <v>599517994.010582</v>
      </c>
      <c r="P10" s="12"/>
      <c r="Q10" s="11" t="s">
        <v>87</v>
      </c>
      <c r="R10" s="6"/>
      <c r="S10" s="6"/>
      <c r="T10" s="83"/>
      <c r="U10" s="84"/>
      <c r="V10" s="84"/>
    </row>
    <row r="11" ht="16.8" spans="1:22">
      <c r="A11" s="6"/>
      <c r="B11" s="17" t="s">
        <v>23</v>
      </c>
      <c r="C11" s="85">
        <f>淘系!C11+抖音!C11+PDD!C11+得物!C11+京东自营财经口径!C11+京东POP财经口径!C11+'视频号+官网+小程序'!C11+快手!C11+唯品会!C11+'线下门店-直营'!C11+'线下门店-经销'!C11+线下渠道!C11+淘系达播!C11+抖音达播!C11</f>
        <v>1195159.19073273</v>
      </c>
      <c r="D11" s="85">
        <f>淘系!D11+抖音!D11+PDD!D11+得物!D11+京东自营财经口径!D11+京东POP财经口径!D11+'视频号+官网+小程序'!D11+快手!D11+唯品会!D11+'线下门店-直营'!D11+'线下门店-经销'!D11+线下渠道!D11+淘系达播!D11+抖音达播!D11</f>
        <v>1300782.15391634</v>
      </c>
      <c r="E11" s="85">
        <f>淘系!E11+抖音!E11+PDD!E11+得物!E11+京东自营财经口径!E11+京东POP财经口径!E11+'视频号+官网+小程序'!E11+快手!E11+唯品会!E11+'线下门店-直营'!E11+'线下门店-经销'!E11+线下渠道!E11+淘系达播!E11+抖音达播!E11</f>
        <v>1017203.86867448</v>
      </c>
      <c r="F11" s="85">
        <f>淘系!F11+抖音!F11+PDD!F11+得物!F11+京东自营财经口径!F11+京东POP财经口径!F11+'视频号+官网+小程序'!F11+快手!F11+唯品会!F11+'线下门店-直营'!F11+'线下门店-经销'!F11+线下渠道!F11+淘系达播!F11+抖音达播!F11</f>
        <v>947622.992288241</v>
      </c>
      <c r="G11" s="85">
        <f>淘系!G11+抖音!G11+PDD!G11+得物!G11+京东自营财经口径!G11+京东POP财经口径!G11+'视频号+官网+小程序'!G11+快手!G11+唯品会!G11+'线下门店-直营'!G11+'线下门店-经销'!G11+线下渠道!G11+淘系达播!G11+抖音达播!G11</f>
        <v>1706368.40320392</v>
      </c>
      <c r="H11" s="85">
        <f>淘系!H11+抖音!H11+PDD!H11+得物!H11+京东自营财经口径!H11+京东POP财经口径!H11+'视频号+官网+小程序'!H11+快手!H11+唯品会!H11+'线下门店-直营'!H11+'线下门店-经销'!H11+线下渠道!H11+淘系达播!H11+抖音达播!H11</f>
        <v>1674116.62119616</v>
      </c>
      <c r="I11" s="85">
        <f>淘系!I11+抖音!I11+PDD!I11+得物!I11+京东自营财经口径!I11+京东POP财经口径!I11+'视频号+官网+小程序'!I11+快手!I11+唯品会!I11+'线下门店-直营'!I11+'线下门店-经销'!I11+线下渠道!I11+淘系达播!I11+抖音达播!I11</f>
        <v>1317289.19089376</v>
      </c>
      <c r="J11" s="85">
        <f>淘系!J11+抖音!J11+PDD!J11+得物!J11+京东自营财经口径!J11+京东POP财经口径!J11+'视频号+官网+小程序'!J11+快手!J11+唯品会!J11+'线下门店-直营'!J11+'线下门店-经销'!J11+线下渠道!J11+淘系达播!J11+抖音达播!J11</f>
        <v>1660136.2184492</v>
      </c>
      <c r="K11" s="85">
        <f>淘系!K11+抖音!K11+PDD!K11+得物!K11+京东自营财经口径!K11+京东POP财经口径!K11+'视频号+官网+小程序'!K11+快手!K11+唯品会!K11+'线下门店-直营'!K11+'线下门店-经销'!K11+线下渠道!K11+淘系达播!K11+抖音达播!K11</f>
        <v>1299971.76377208</v>
      </c>
      <c r="L11" s="85">
        <f>淘系!L11+抖音!L11+PDD!L11+得物!L11+京东自营财经口径!L11+京东POP财经口径!L11+'视频号+官网+小程序'!L11+快手!L11+唯品会!L11+'线下门店-直营'!L11+'线下门店-经销'!L11+线下渠道!L11+淘系达播!L11+抖音达播!L11</f>
        <v>1951796.21061715</v>
      </c>
      <c r="M11" s="85">
        <f>淘系!M11+抖音!M11+PDD!M11+得物!M11+京东自营财经口径!M11+京东POP财经口径!M11+'视频号+官网+小程序'!M11+快手!M11+唯品会!M11+'线下门店-直营'!M11+'线下门店-经销'!M11+线下渠道!M11+淘系达播!M11+抖音达播!M11</f>
        <v>2192450.10546958</v>
      </c>
      <c r="N11" s="85">
        <f>淘系!N11+抖音!N11+PDD!N11+得物!N11+京东自营财经口径!N11+京东POP财经口径!N11+'视频号+官网+小程序'!N11+快手!N11+唯品会!N11+'线下门店-直营'!N11+'线下门店-经销'!N11+线下渠道!N11+淘系达播!N11+抖音达播!N11</f>
        <v>2086010.28026412</v>
      </c>
      <c r="O11" s="37">
        <f t="shared" si="1"/>
        <v>18348906.9994777</v>
      </c>
      <c r="P11" s="38">
        <f>O11/O8</f>
        <v>0.0474193676844329</v>
      </c>
      <c r="Q11" s="6" t="s">
        <v>88</v>
      </c>
      <c r="R11" s="20">
        <f>O11/$O$10</f>
        <v>0.0306060988707436</v>
      </c>
      <c r="S11" s="6"/>
      <c r="T11" s="83"/>
      <c r="U11" s="84"/>
      <c r="V11" s="84"/>
    </row>
    <row r="12" ht="16.8" spans="1:22">
      <c r="A12" s="6"/>
      <c r="B12" s="17" t="s">
        <v>25</v>
      </c>
      <c r="C12" s="85">
        <f>淘系!C12+抖音!C12+PDD!C12+得物!C12+京东自营财经口径!C12+京东POP财经口径!C12+'视频号+官网+小程序'!C12+快手!C12+唯品会!C12+'线下门店-直营'!C12+'线下门店-经销'!C12+线下渠道!C12+淘系达播!C12+抖音达播!C12</f>
        <v>3374204.7287499</v>
      </c>
      <c r="D12" s="85">
        <f>淘系!D12+抖音!D12+PDD!D12+得物!D12+京东自营财经口径!D12+京东POP财经口径!D12+'视频号+官网+小程序'!D12+快手!D12+唯品会!D12+'线下门店-直营'!D12+'线下门店-经销'!D12+线下渠道!D12+淘系达播!D12+抖音达播!D12</f>
        <v>3225504.02840925</v>
      </c>
      <c r="E12" s="85">
        <f>淘系!E12+抖音!E12+PDD!E12+得物!E12+京东自营财经口径!E12+京东POP财经口径!E12+'视频号+官网+小程序'!E12+快手!E12+唯品会!E12+'线下门店-直营'!E12+'线下门店-经销'!E12+线下渠道!E12+淘系达播!E12+抖音达播!E12</f>
        <v>2793045.82634499</v>
      </c>
      <c r="F12" s="85">
        <f>淘系!F12+抖音!F12+PDD!F12+得物!F12+京东自营财经口径!F12+京东POP财经口径!F12+'视频号+官网+小程序'!F12+快手!F12+唯品会!F12+'线下门店-直营'!F12+'线下门店-经销'!F12+线下渠道!F12+淘系达播!F12+抖音达播!F12</f>
        <v>2421445.07753509</v>
      </c>
      <c r="G12" s="85">
        <f>淘系!G12+抖音!G12+PDD!G12+得物!G12+京东自营财经口径!G12+京东POP财经口径!G12+'视频号+官网+小程序'!G12+快手!G12+唯品会!G12+'线下门店-直营'!G12+'线下门店-经销'!G12+线下渠道!G12+淘系达播!G12+抖音达播!G12</f>
        <v>5483400.14133421</v>
      </c>
      <c r="H12" s="85">
        <f>淘系!H12+抖音!H12+PDD!H12+得物!H12+京东自营财经口径!H12+京东POP财经口径!H12+'视频号+官网+小程序'!H12+快手!H12+唯品会!H12+'线下门店-直营'!H12+'线下门店-经销'!H12+线下渠道!H12+淘系达播!H12+抖音达播!H12</f>
        <v>4885124.80702923</v>
      </c>
      <c r="I12" s="85">
        <f>淘系!I12+抖音!I12+PDD!I12+得物!I12+京东自营财经口径!I12+京东POP财经口径!I12+'视频号+官网+小程序'!I12+快手!I12+唯品会!I12+'线下门店-直营'!I12+'线下门店-经销'!I12+线下渠道!I12+淘系达播!I12+抖音达播!I12</f>
        <v>3103718.76294483</v>
      </c>
      <c r="J12" s="85">
        <f>淘系!J12+抖音!J12+PDD!J12+得物!J12+京东自营财经口径!J12+京东POP财经口径!J12+'视频号+官网+小程序'!J12+快手!J12+唯品会!J12+'线下门店-直营'!J12+'线下门店-经销'!J12+线下渠道!J12+淘系达播!J12+抖音达播!J12</f>
        <v>4576920.76573863</v>
      </c>
      <c r="K12" s="85">
        <f>淘系!K12+抖音!K12+PDD!K12+得物!K12+京东自营财经口径!K12+京东POP财经口径!K12+'视频号+官网+小程序'!K12+快手!K12+唯品会!K12+'线下门店-直营'!K12+'线下门店-经销'!K12+线下渠道!K12+淘系达播!K12+抖音达播!K12</f>
        <v>3197466.28135588</v>
      </c>
      <c r="L12" s="85">
        <f>淘系!L12+抖音!L12+PDD!L12+得物!L12+京东自营财经口径!L12+京东POP财经口径!L12+'视频号+官网+小程序'!L12+快手!L12+唯品会!L12+'线下门店-直营'!L12+'线下门店-经销'!L12+线下渠道!L12+淘系达播!L12+抖音达播!L12</f>
        <v>6268013.48070518</v>
      </c>
      <c r="M12" s="85">
        <f>淘系!M12+抖音!M12+PDD!M12+得物!M12+京东自营财经口径!M12+京东POP财经口径!M12+'视频号+官网+小程序'!M12+快手!M12+唯品会!M12+'线下门店-直营'!M12+'线下门店-经销'!M12+线下渠道!M12+淘系达播!M12+抖音达播!M12</f>
        <v>5236290.43051779</v>
      </c>
      <c r="N12" s="85">
        <f>淘系!N12+抖音!N12+PDD!N12+得物!N12+京东自营财经口径!N12+京东POP财经口径!N12+'视频号+官网+小程序'!N12+快手!N12+唯品会!N12+'线下门店-直营'!N12+'线下门店-经销'!N12+线下渠道!N12+淘系达播!N12+抖音达播!N12</f>
        <v>4234950.42955383</v>
      </c>
      <c r="O12" s="37">
        <f t="shared" si="1"/>
        <v>48800084.7602188</v>
      </c>
      <c r="P12" s="38">
        <f>O12/O8</f>
        <v>0.126114823206754</v>
      </c>
      <c r="Q12" s="6" t="s">
        <v>83</v>
      </c>
      <c r="R12" s="20">
        <f>O12/$O$10</f>
        <v>0.0813988658351387</v>
      </c>
      <c r="S12" s="6"/>
      <c r="T12" s="83"/>
      <c r="U12" s="84"/>
      <c r="V12" s="84"/>
    </row>
    <row r="13" ht="16.8" spans="1:22">
      <c r="A13" s="6"/>
      <c r="B13" s="17" t="s">
        <v>27</v>
      </c>
      <c r="C13" s="85">
        <f>淘系!C13+抖音!C13+PDD!C13+得物!C13+京东自营财经口径!C13+京东POP财经口径!C13+'视频号+官网+小程序'!C13+快手!C13+唯品会!C13+'线下门店-直营'!C13+'线下门店-经销'!C13+线下渠道!C13+淘系达播!C13+抖音达播!C13</f>
        <v>7394578.68258404</v>
      </c>
      <c r="D13" s="85">
        <f>淘系!D13+抖音!D13+PDD!D13+得物!D13+京东自营财经口径!D13+京东POP财经口径!D13+'视频号+官网+小程序'!D13+快手!D13+唯品会!D13+'线下门店-直营'!D13+'线下门店-经销'!D13+线下渠道!D13+淘系达播!D13+抖音达播!D13</f>
        <v>5584980.13869014</v>
      </c>
      <c r="E13" s="85">
        <f>淘系!E13+抖音!E13+PDD!E13+得物!E13+京东自营财经口径!E13+京东POP财经口径!E13+'视频号+官网+小程序'!E13+快手!E13+唯品会!E13+'线下门店-直营'!E13+'线下门店-经销'!E13+线下渠道!E13+淘系达播!E13+抖音达播!E13</f>
        <v>4178396.8769444</v>
      </c>
      <c r="F13" s="85">
        <f>淘系!F13+抖音!F13+PDD!F13+得物!F13+京东自营财经口径!F13+京东POP财经口径!F13+'视频号+官网+小程序'!F13+快手!F13+唯品会!F13+'线下门店-直营'!F13+'线下门店-经销'!F13+线下渠道!F13+淘系达播!F13+抖音达播!F13</f>
        <v>3877961.28435304</v>
      </c>
      <c r="G13" s="85">
        <f>淘系!G13+抖音!G13+PDD!G13+得物!G13+京东自营财经口径!G13+京东POP财经口径!G13+'视频号+官网+小程序'!G13+快手!G13+唯品会!G13+'线下门店-直营'!G13+'线下门店-经销'!G13+线下渠道!G13+淘系达播!G13+抖音达播!G13</f>
        <v>7290043.4954846</v>
      </c>
      <c r="H13" s="85">
        <f>淘系!H13+抖音!H13+PDD!H13+得物!H13+京东自营财经口径!H13+京东POP财经口径!H13+'视频号+官网+小程序'!H13+快手!H13+唯品会!H13+'线下门店-直营'!H13+'线下门店-经销'!H13+线下渠道!H13+淘系达播!H13+抖音达播!H13</f>
        <v>6829676.21215004</v>
      </c>
      <c r="I13" s="85">
        <f>淘系!I13+抖音!I13+PDD!I13+得物!I13+京东自营财经口径!I13+京东POP财经口径!I13+'视频号+官网+小程序'!I13+快手!I13+唯品会!I13+'线下门店-直营'!I13+'线下门店-经销'!I13+线下渠道!I13+淘系达播!I13+抖音达播!I13</f>
        <v>5145767.98182824</v>
      </c>
      <c r="J13" s="85">
        <f>淘系!J13+抖音!J13+PDD!J13+得物!J13+京东自营财经口径!J13+京东POP财经口径!J13+'视频号+官网+小程序'!J13+快手!J13+唯品会!J13+'线下门店-直营'!J13+'线下门店-经销'!J13+线下渠道!J13+淘系达播!J13+抖音达播!J13</f>
        <v>6751727.89533766</v>
      </c>
      <c r="K13" s="85">
        <f>淘系!K13+抖音!K13+PDD!K13+得物!K13+京东自营财经口径!K13+京东POP财经口径!K13+'视频号+官网+小程序'!K13+快手!K13+唯品会!K13+'线下门店-直营'!K13+'线下门店-经销'!K13+线下渠道!K13+淘系达播!K13+抖音达播!K13</f>
        <v>5162680.46882492</v>
      </c>
      <c r="L13" s="85">
        <f>淘系!L13+抖音!L13+PDD!L13+得物!L13+京东自营财经口径!L13+京东POP财经口径!L13+'视频号+官网+小程序'!L13+快手!L13+唯品会!L13+'线下门店-直营'!L13+'线下门店-经销'!L13+线下渠道!L13+淘系达播!L13+抖音达播!L13</f>
        <v>8339303.60291982</v>
      </c>
      <c r="M13" s="85">
        <f>淘系!M13+抖音!M13+PDD!M13+得物!M13+京东自营财经口径!M13+京东POP财经口径!M13+'视频号+官网+小程序'!M13+快手!M13+唯品会!M13+'线下门店-直营'!M13+'线下门店-经销'!M13+线下渠道!M13+淘系达播!M13+抖音达播!M13</f>
        <v>8250770.24798306</v>
      </c>
      <c r="N13" s="85">
        <f>淘系!N13+抖音!N13+PDD!N13+得物!N13+京东自营财经口径!N13+京东POP财经口径!N13+'视频号+官网+小程序'!N13+快手!N13+唯品会!N13+'线下门店-直营'!N13+'线下门店-经销'!N13+线下渠道!N13+淘系达播!N13+抖音达播!N13</f>
        <v>7015669.86189429</v>
      </c>
      <c r="O13" s="37">
        <f t="shared" si="1"/>
        <v>75821556.7489942</v>
      </c>
      <c r="P13" s="38">
        <f>O13/O8</f>
        <v>0.195946836396794</v>
      </c>
      <c r="Q13" s="11" t="s">
        <v>83</v>
      </c>
      <c r="R13" s="20">
        <f>O13/$O$10</f>
        <v>0.126470860768953</v>
      </c>
      <c r="S13" s="6"/>
      <c r="T13" s="83"/>
      <c r="U13" s="84"/>
      <c r="V13" s="84"/>
    </row>
    <row r="14" ht="16.8" spans="1:22">
      <c r="A14" s="6"/>
      <c r="B14" s="21" t="s">
        <v>28</v>
      </c>
      <c r="C14" s="40">
        <f t="shared" ref="C14:N14" si="2">SUM(C11:C13)</f>
        <v>11963942.6020667</v>
      </c>
      <c r="D14" s="40">
        <f t="shared" si="2"/>
        <v>10111266.3210157</v>
      </c>
      <c r="E14" s="40">
        <f t="shared" si="2"/>
        <v>7988646.57196387</v>
      </c>
      <c r="F14" s="40">
        <f t="shared" si="2"/>
        <v>7247029.35417637</v>
      </c>
      <c r="G14" s="40">
        <f t="shared" si="2"/>
        <v>14479812.0400227</v>
      </c>
      <c r="H14" s="40">
        <f t="shared" si="2"/>
        <v>13388917.6403754</v>
      </c>
      <c r="I14" s="40">
        <f t="shared" si="2"/>
        <v>9566775.93566682</v>
      </c>
      <c r="J14" s="40">
        <f t="shared" si="2"/>
        <v>12988784.8795255</v>
      </c>
      <c r="K14" s="40">
        <f t="shared" si="2"/>
        <v>9660118.51395288</v>
      </c>
      <c r="L14" s="40">
        <f t="shared" si="2"/>
        <v>16559113.2942421</v>
      </c>
      <c r="M14" s="40">
        <f t="shared" si="2"/>
        <v>15679510.7839704</v>
      </c>
      <c r="N14" s="40">
        <f t="shared" si="2"/>
        <v>13336630.5717122</v>
      </c>
      <c r="O14" s="40">
        <f t="shared" si="1"/>
        <v>142970548.508691</v>
      </c>
      <c r="P14" s="41">
        <f>O14/O8</f>
        <v>0.36948102728798</v>
      </c>
      <c r="Q14" s="6"/>
      <c r="R14" s="20">
        <f>O14/$O$10</f>
        <v>0.238475825474835</v>
      </c>
      <c r="S14" s="6"/>
      <c r="T14" s="83"/>
      <c r="U14" s="84"/>
      <c r="V14" s="84"/>
    </row>
    <row r="15" ht="16.8" spans="1:22">
      <c r="A15" s="32"/>
      <c r="B15" s="12" t="s">
        <v>29</v>
      </c>
      <c r="C15" s="12">
        <f t="shared" ref="C15:N15" si="3">C8</f>
        <v>26612865.6506439</v>
      </c>
      <c r="D15" s="12">
        <f t="shared" si="3"/>
        <v>26668867.8334068</v>
      </c>
      <c r="E15" s="12">
        <f t="shared" si="3"/>
        <v>22743367.0721596</v>
      </c>
      <c r="F15" s="12">
        <f t="shared" si="3"/>
        <v>19454083.0102428</v>
      </c>
      <c r="G15" s="12">
        <f t="shared" si="3"/>
        <v>42336462.7824466</v>
      </c>
      <c r="H15" s="12">
        <f t="shared" si="3"/>
        <v>37755913.7118253</v>
      </c>
      <c r="I15" s="12">
        <f t="shared" si="3"/>
        <v>25554440.8607682</v>
      </c>
      <c r="J15" s="12">
        <f t="shared" si="3"/>
        <v>36254155.5843353</v>
      </c>
      <c r="K15" s="12">
        <f t="shared" si="3"/>
        <v>26016586.7676981</v>
      </c>
      <c r="L15" s="12">
        <f t="shared" si="3"/>
        <v>47036928.2865181</v>
      </c>
      <c r="M15" s="12">
        <f t="shared" si="3"/>
        <v>42505194.0483855</v>
      </c>
      <c r="N15" s="12">
        <f t="shared" si="3"/>
        <v>34010769.0131517</v>
      </c>
      <c r="O15" s="12">
        <f t="shared" si="1"/>
        <v>386949634.621582</v>
      </c>
      <c r="P15" s="12"/>
      <c r="Q15" s="6"/>
      <c r="R15" s="6"/>
      <c r="S15" s="6"/>
      <c r="T15" s="83"/>
      <c r="U15" s="84"/>
      <c r="V15" s="84"/>
    </row>
    <row r="16" ht="16.8" spans="1:22">
      <c r="A16" s="32"/>
      <c r="B16" s="12" t="s">
        <v>30</v>
      </c>
      <c r="C16" s="12">
        <f t="shared" ref="C16:N16" si="4">+C8/1.13</f>
        <v>23551208.5403929</v>
      </c>
      <c r="D16" s="12">
        <f t="shared" si="4"/>
        <v>23600767.9941653</v>
      </c>
      <c r="E16" s="12">
        <f t="shared" si="4"/>
        <v>20126873.5151855</v>
      </c>
      <c r="F16" s="12">
        <f t="shared" si="4"/>
        <v>17216002.6639317</v>
      </c>
      <c r="G16" s="12">
        <f t="shared" si="4"/>
        <v>37465896.2676519</v>
      </c>
      <c r="H16" s="12">
        <f t="shared" si="4"/>
        <v>33412313.0193144</v>
      </c>
      <c r="I16" s="12">
        <f t="shared" si="4"/>
        <v>22614549.4343081</v>
      </c>
      <c r="J16" s="12">
        <f t="shared" si="4"/>
        <v>32083323.5259604</v>
      </c>
      <c r="K16" s="12">
        <f t="shared" si="4"/>
        <v>23023528.1130072</v>
      </c>
      <c r="L16" s="12">
        <f t="shared" si="4"/>
        <v>41625600.2535558</v>
      </c>
      <c r="M16" s="12">
        <f t="shared" si="4"/>
        <v>37615215.9720225</v>
      </c>
      <c r="N16" s="12">
        <f t="shared" si="4"/>
        <v>30098025.6753555</v>
      </c>
      <c r="O16" s="12">
        <f t="shared" si="1"/>
        <v>342433304.974851</v>
      </c>
      <c r="P16" s="12"/>
      <c r="Q16" s="6"/>
      <c r="R16" s="6"/>
      <c r="S16" s="6"/>
      <c r="T16" s="53">
        <f>O16-淘系!O16-淘系达播!O16-抖音!O16-抖音达播!O16-快手!O16-京东POP财经口径!O16-京东自营财经口径!O16-PDD!O16-得物!O16-'视频号+官网+小程序'!O16-唯品会!O16-'线下门店-直营'!O16-'线下门店-经销'!O16-线下渠道!O16</f>
        <v>-61590983.0628572</v>
      </c>
      <c r="U16" s="84"/>
      <c r="V16" s="84"/>
    </row>
    <row r="17" spans="1:22">
      <c r="A17" s="6"/>
      <c r="B17" s="6"/>
      <c r="C17" s="52">
        <f>C14/C15</f>
        <v>0.449554841598848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53">
        <f>O17-淘系!O17-淘系达播!O17-抖音!O17-抖音达播!O17-快手!O17-京东POP财经口径!O17-京东自营财经口径!O17-PDD!O17-得物!O17-'视频号+官网+小程序'!O17-唯品会!O17-'线下门店-直营'!O17-'线下门店-经销'!O17-线下渠道!O17</f>
        <v>0</v>
      </c>
      <c r="U17" s="84"/>
      <c r="V17" s="84"/>
    </row>
    <row r="18" ht="16.8" spans="1:22">
      <c r="A18" s="6"/>
      <c r="B18" s="17" t="s">
        <v>31</v>
      </c>
      <c r="C18" s="37">
        <f>淘系!C18+抖音!C18+PDD!C18+得物!C18+京东自营财经口径!C18+京东POP财经口径!C18+'视频号+官网+小程序'!C18+快手!C18+唯品会!C18+'线下门店-直营'!C18+'线下门店-经销'!C18+线下渠道!C18+淘系达播!C18+抖音达播!C18</f>
        <v>13519374.9850739</v>
      </c>
      <c r="D18" s="37">
        <f>淘系!D18+抖音!D18+PDD!D18+得物!D18+京东自营财经口径!D18+京东POP财经口径!D18+'视频号+官网+小程序'!D18+快手!D18+唯品会!D18+'线下门店-直营'!D18+'线下门店-经销'!D18+线下渠道!D18+淘系达播!D18+抖音达播!D18</f>
        <v>13428661.7001208</v>
      </c>
      <c r="E18" s="37">
        <f>淘系!E18+抖音!E18+PDD!E18+得物!E18+京东自营财经口径!E18+京东POP财经口径!E18+'视频号+官网+小程序'!E18+快手!E18+唯品会!E18+'线下门店-直营'!E18+'线下门店-经销'!E18+线下渠道!E18+淘系达播!E18+抖音达播!E18</f>
        <v>11966212.8056056</v>
      </c>
      <c r="F18" s="37">
        <f>淘系!F18+抖音!F18+PDD!F18+得物!F18+京东自营财经口径!F18+京东POP财经口径!F18+'视频号+官网+小程序'!F18+快手!F18+唯品会!F18+'线下门店-直营'!F18+'线下门店-经销'!F18+线下渠道!F18+淘系达播!F18+抖音达播!F18</f>
        <v>10347616.7683095</v>
      </c>
      <c r="G18" s="37">
        <f>淘系!G18+抖音!G18+PDD!G18+得物!G18+京东自营财经口径!G18+京东POP财经口径!G18+'视频号+官网+小程序'!G18+快手!G18+唯品会!G18+'线下门店-直营'!G18+'线下门店-经销'!G18+线下渠道!G18+淘系达播!G18+抖音达播!G18</f>
        <v>19576713.1182192</v>
      </c>
      <c r="H18" s="37">
        <f>淘系!H18+抖音!H18+PDD!H18+得物!H18+京东自营财经口径!H18+京东POP财经口径!H18+'视频号+官网+小程序'!H18+快手!H18+唯品会!H18+'线下门店-直营'!H18+'线下门店-经销'!H18+线下渠道!H18+淘系达播!H18+抖音达播!H18</f>
        <v>17979626.5984226</v>
      </c>
      <c r="I18" s="37">
        <f>淘系!I18+抖音!I18+PDD!I18+得物!I18+京东自营财经口径!I18+京东POP财经口径!I18+'视频号+官网+小程序'!I18+快手!I18+唯品会!I18+'线下门店-直营'!I18+'线下门店-经销'!I18+线下渠道!I18+淘系达播!I18+抖音达播!I18</f>
        <v>11695230.6120084</v>
      </c>
      <c r="J18" s="37">
        <f>淘系!J18+抖音!J18+PDD!J18+得物!J18+京东自营财经口径!J18+京东POP财经口径!J18+'视频号+官网+小程序'!J18+快手!J18+唯品会!J18+'线下门店-直营'!J18+'线下门店-经销'!J18+线下渠道!J18+淘系达播!J18+抖音达播!J18</f>
        <v>16035701.4184799</v>
      </c>
      <c r="K18" s="37">
        <f>淘系!K18+抖音!K18+PDD!K18+得物!K18+京东自营财经口径!K18+京东POP财经口径!K18+'视频号+官网+小程序'!K18+快手!K18+唯品会!K18+'线下门店-直营'!K18+'线下门店-经销'!K18+线下渠道!K18+淘系达播!K18+抖音达播!K18</f>
        <v>11502650.674456</v>
      </c>
      <c r="L18" s="37">
        <f>淘系!L18+抖音!L18+PDD!L18+得物!L18+京东自营财经口径!L18+京东POP财经口径!L18+'视频号+官网+小程序'!L18+快手!L18+唯品会!L18+'线下门店-直营'!L18+'线下门店-经销'!L18+线下渠道!L18+淘系达播!L18+抖音达播!L18</f>
        <v>19921815.475403</v>
      </c>
      <c r="M18" s="37">
        <f>淘系!M18+抖音!M18+PDD!M18+得物!M18+京东自营财经口径!M18+京东POP财经口径!M18+'视频号+官网+小程序'!M18+快手!M18+唯品会!M18+'线下门店-直营'!M18+'线下门店-经销'!M18+线下渠道!M18+淘系达播!M18+抖音达播!M18</f>
        <v>18172578.0000154</v>
      </c>
      <c r="N18" s="37">
        <f>淘系!N18+抖音!N18+PDD!N18+得物!N18+京东自营财经口径!N18+京东POP财经口径!N18+'视频号+官网+小程序'!N18+快手!N18+唯品会!N18+'线下门店-直营'!N18+'线下门店-经销'!N18+线下渠道!N18+淘系达播!N18+抖音达播!N18</f>
        <v>14738371.8009501</v>
      </c>
      <c r="O18" s="37">
        <f>SUM(C18:N18)</f>
        <v>178884553.957064</v>
      </c>
      <c r="P18" s="38">
        <f>O18/O16</f>
        <v>0.522392393958882</v>
      </c>
      <c r="Q18" s="6"/>
      <c r="R18" s="6" t="s">
        <v>89</v>
      </c>
      <c r="S18" s="6"/>
      <c r="T18" s="53">
        <f>O18-淘系!O18-淘系达播!O18-抖音!O18-抖音达播!O18-快手!O18-京东POP财经口径!O18-京东自营财经口径!O18-PDD!O18-得物!O18-'视频号+官网+小程序'!O18-唯品会!O18-'线下门店-直营'!O18-'线下门店-经销'!O18-线下渠道!O18</f>
        <v>0</v>
      </c>
      <c r="U18" s="84"/>
      <c r="V18" s="84"/>
    </row>
    <row r="19" ht="16.8" spans="1:22">
      <c r="A19" s="6"/>
      <c r="B19" s="21" t="s">
        <v>32</v>
      </c>
      <c r="C19" s="40">
        <f t="shared" ref="C19:N19" si="5">C16-C18</f>
        <v>10031833.555319</v>
      </c>
      <c r="D19" s="40">
        <f t="shared" si="5"/>
        <v>10172106.2940445</v>
      </c>
      <c r="E19" s="40">
        <f t="shared" si="5"/>
        <v>8160660.70957992</v>
      </c>
      <c r="F19" s="40">
        <f t="shared" si="5"/>
        <v>6868385.89562217</v>
      </c>
      <c r="G19" s="40">
        <f t="shared" si="5"/>
        <v>17889183.1494327</v>
      </c>
      <c r="H19" s="40">
        <f t="shared" si="5"/>
        <v>15432686.4208919</v>
      </c>
      <c r="I19" s="40">
        <f t="shared" si="5"/>
        <v>10919318.8222997</v>
      </c>
      <c r="J19" s="40">
        <f t="shared" si="5"/>
        <v>16047622.1074805</v>
      </c>
      <c r="K19" s="40">
        <f t="shared" si="5"/>
        <v>11520877.4385512</v>
      </c>
      <c r="L19" s="40">
        <f t="shared" si="5"/>
        <v>21703784.7781528</v>
      </c>
      <c r="M19" s="40">
        <f t="shared" si="5"/>
        <v>19442637.9720071</v>
      </c>
      <c r="N19" s="40">
        <f t="shared" si="5"/>
        <v>15359653.8744054</v>
      </c>
      <c r="O19" s="40">
        <f>SUM(C19:N19)</f>
        <v>163548751.017787</v>
      </c>
      <c r="P19" s="41">
        <f>O19/$O$16</f>
        <v>0.477607606041119</v>
      </c>
      <c r="Q19" s="6"/>
      <c r="R19" s="35">
        <f>O16*0.12</f>
        <v>41091996.5969822</v>
      </c>
      <c r="S19" s="6"/>
      <c r="T19" s="53">
        <f>O19-淘系!O19-淘系达播!O19-抖音!O19-抖音达播!O19-快手!O19-京东POP财经口径!O19-京东自营财经口径!O19-PDD!O19-得物!O19-'视频号+官网+小程序'!O19-唯品会!O19-'线下门店-直营'!O19-'线下门店-经销'!O19-线下渠道!O19</f>
        <v>-61590983.0628572</v>
      </c>
      <c r="U19" s="84"/>
      <c r="V19" s="84"/>
    </row>
    <row r="20" ht="16.8" spans="1:22">
      <c r="A20" s="36"/>
      <c r="B20" s="4" t="s">
        <v>33</v>
      </c>
      <c r="C20" s="36">
        <f t="shared" ref="C20:N20" si="6">C16*2.5%</f>
        <v>588780.213509822</v>
      </c>
      <c r="D20" s="36">
        <f t="shared" si="6"/>
        <v>590019.199854133</v>
      </c>
      <c r="E20" s="36">
        <f t="shared" si="6"/>
        <v>503171.837879638</v>
      </c>
      <c r="F20" s="36">
        <f t="shared" si="6"/>
        <v>430400.066598292</v>
      </c>
      <c r="G20" s="36">
        <f t="shared" si="6"/>
        <v>936647.406691297</v>
      </c>
      <c r="H20" s="36">
        <f t="shared" si="6"/>
        <v>835307.825482861</v>
      </c>
      <c r="I20" s="36">
        <f t="shared" si="6"/>
        <v>565363.735857703</v>
      </c>
      <c r="J20" s="36">
        <f t="shared" si="6"/>
        <v>802083.088149011</v>
      </c>
      <c r="K20" s="36">
        <f t="shared" si="6"/>
        <v>575588.202825179</v>
      </c>
      <c r="L20" s="36">
        <f t="shared" si="6"/>
        <v>1040640.0063389</v>
      </c>
      <c r="M20" s="36">
        <f t="shared" si="6"/>
        <v>940380.399300564</v>
      </c>
      <c r="N20" s="36">
        <f t="shared" si="6"/>
        <v>752450.641883888</v>
      </c>
      <c r="O20" s="36">
        <f>SUM(C20:N20)</f>
        <v>8560832.62437128</v>
      </c>
      <c r="P20" s="42">
        <v>0.025</v>
      </c>
      <c r="Q20" s="6"/>
      <c r="R20" s="35"/>
      <c r="S20" s="6"/>
      <c r="T20" s="53">
        <f>O20-淘系!O20-淘系达播!O20-抖音!O20-抖音达播!O20-快手!O20-京东POP财经口径!O20-京东自营财经口径!O20-PDD!O20-得物!O20-'视频号+官网+小程序'!O20-唯品会!O20-'线下门店-直营'!O20-'线下门店-经销'!O20-线下渠道!O20</f>
        <v>-1499619.870902</v>
      </c>
      <c r="U20" s="84"/>
      <c r="V20" s="84"/>
    </row>
    <row r="21" ht="16.8" spans="1:22">
      <c r="A21" s="6"/>
      <c r="B21" s="21" t="s">
        <v>35</v>
      </c>
      <c r="C21" s="40">
        <f t="shared" ref="C21:N21" si="7">SUM(C18,C20)</f>
        <v>14108155.1985837</v>
      </c>
      <c r="D21" s="40">
        <f t="shared" si="7"/>
        <v>14018680.8999749</v>
      </c>
      <c r="E21" s="40">
        <f t="shared" si="7"/>
        <v>12469384.6434852</v>
      </c>
      <c r="F21" s="40">
        <f t="shared" si="7"/>
        <v>10778016.8349078</v>
      </c>
      <c r="G21" s="40">
        <f t="shared" si="7"/>
        <v>20513360.5249105</v>
      </c>
      <c r="H21" s="40">
        <f t="shared" si="7"/>
        <v>18814934.4239054</v>
      </c>
      <c r="I21" s="40">
        <f t="shared" si="7"/>
        <v>12260594.3478661</v>
      </c>
      <c r="J21" s="40">
        <f t="shared" si="7"/>
        <v>16837784.5066289</v>
      </c>
      <c r="K21" s="40">
        <f t="shared" si="7"/>
        <v>12078238.8772811</v>
      </c>
      <c r="L21" s="40">
        <f t="shared" si="7"/>
        <v>20962455.4817419</v>
      </c>
      <c r="M21" s="40">
        <f t="shared" si="7"/>
        <v>19112958.399316</v>
      </c>
      <c r="N21" s="40">
        <f t="shared" si="7"/>
        <v>15490822.442834</v>
      </c>
      <c r="O21" s="40">
        <f>SUM(C21:N21)</f>
        <v>187445386.581436</v>
      </c>
      <c r="P21" s="41">
        <f>O21/$O$16</f>
        <v>0.547392393958882</v>
      </c>
      <c r="Q21" s="6"/>
      <c r="R21" s="35"/>
      <c r="S21" s="6"/>
      <c r="T21" s="53">
        <f>O21-淘系!O21-淘系达播!O21-抖音!O21-抖音达播!O21-快手!O21-京东POP财经口径!O21-京东自营财经口径!O21-PDD!O21-得物!O21-'视频号+官网+小程序'!O21-唯品会!O21-'线下门店-直营'!O21-'线下门店-经销'!O21-线下渠道!O21</f>
        <v>-1499619.87090196</v>
      </c>
      <c r="U21" s="84"/>
      <c r="V21" s="84"/>
    </row>
    <row r="22" ht="16.8" spans="1:22">
      <c r="A22" s="32"/>
      <c r="B22" s="12" t="s">
        <v>36</v>
      </c>
      <c r="C22" s="12">
        <f t="shared" ref="C22:N22" si="8">C16-C21</f>
        <v>9443053.34180919</v>
      </c>
      <c r="D22" s="12">
        <f t="shared" si="8"/>
        <v>9582087.09419041</v>
      </c>
      <c r="E22" s="12">
        <f t="shared" si="8"/>
        <v>7657488.87170028</v>
      </c>
      <c r="F22" s="12">
        <f t="shared" si="8"/>
        <v>6437985.82902387</v>
      </c>
      <c r="G22" s="12">
        <f t="shared" si="8"/>
        <v>16952535.7427414</v>
      </c>
      <c r="H22" s="12">
        <f t="shared" si="8"/>
        <v>14597378.595409</v>
      </c>
      <c r="I22" s="12">
        <f t="shared" si="8"/>
        <v>10353955.086442</v>
      </c>
      <c r="J22" s="12">
        <f t="shared" si="8"/>
        <v>15245539.0193315</v>
      </c>
      <c r="K22" s="12">
        <f t="shared" si="8"/>
        <v>10945289.235726</v>
      </c>
      <c r="L22" s="12">
        <f t="shared" si="8"/>
        <v>20663144.7718139</v>
      </c>
      <c r="M22" s="12">
        <f t="shared" si="8"/>
        <v>18502257.5727066</v>
      </c>
      <c r="N22" s="12">
        <f t="shared" si="8"/>
        <v>14607203.2325215</v>
      </c>
      <c r="O22" s="12">
        <f>SUM(C22:N22)</f>
        <v>154987918.393416</v>
      </c>
      <c r="P22" s="43">
        <f>O22/$O$16</f>
        <v>0.452607606041118</v>
      </c>
      <c r="Q22" s="6"/>
      <c r="R22" s="6"/>
      <c r="S22" s="6"/>
      <c r="T22" s="53">
        <f>O22-淘系!O22-淘系达播!O22-抖音!O22-抖音达播!O22-快手!O22-京东POP财经口径!O22-京东自营财经口径!O22-PDD!O22-得物!O22-'视频号+官网+小程序'!O22-唯品会!O22-'线下门店-直营'!O22-'线下门店-经销'!O22-线下渠道!O22</f>
        <v>-60091363.1919552</v>
      </c>
      <c r="U22" s="84"/>
      <c r="V22" s="84"/>
    </row>
    <row r="23" ht="16.8" spans="1:22">
      <c r="A23" s="6"/>
      <c r="B23" s="14" t="s">
        <v>37</v>
      </c>
      <c r="C23" s="44">
        <f t="shared" ref="C23:O23" si="9">C19/C16</f>
        <v>0.425958334075015</v>
      </c>
      <c r="D23" s="44">
        <f t="shared" si="9"/>
        <v>0.431007427239627</v>
      </c>
      <c r="E23" s="44">
        <f t="shared" si="9"/>
        <v>0.40546092285137</v>
      </c>
      <c r="F23" s="44">
        <f t="shared" si="9"/>
        <v>0.398953579974273</v>
      </c>
      <c r="G23" s="44">
        <f t="shared" si="9"/>
        <v>0.477479119187073</v>
      </c>
      <c r="H23" s="44">
        <f t="shared" si="9"/>
        <v>0.461886203806686</v>
      </c>
      <c r="I23" s="44">
        <f t="shared" si="9"/>
        <v>0.482844854106809</v>
      </c>
      <c r="J23" s="44">
        <f t="shared" si="9"/>
        <v>0.500185777028227</v>
      </c>
      <c r="K23" s="44">
        <f t="shared" si="9"/>
        <v>0.500395829084183</v>
      </c>
      <c r="L23" s="44">
        <f t="shared" si="9"/>
        <v>0.521404728002663</v>
      </c>
      <c r="M23" s="44">
        <f t="shared" si="9"/>
        <v>0.516882263456048</v>
      </c>
      <c r="N23" s="44">
        <f t="shared" si="9"/>
        <v>0.510320977198912</v>
      </c>
      <c r="O23" s="44">
        <f t="shared" si="9"/>
        <v>0.477607606041119</v>
      </c>
      <c r="P23" s="42"/>
      <c r="Q23" s="6"/>
      <c r="R23" s="6" t="s">
        <v>90</v>
      </c>
      <c r="S23" s="6"/>
      <c r="T23" s="53">
        <f>O23-淘系!O23-淘系达播!O23-抖音!O23-抖音达播!O23-快手!O23-京东POP财经口径!O23-京东自营财经口径!O23-PDD!O23-得物!O23-'视频号+官网+小程序'!O23-唯品会!O23-'线下门店-直营'!O23-'线下门店-经销'!O23-线下渠道!O23</f>
        <v>-7.36069761475287</v>
      </c>
      <c r="U23" s="84"/>
      <c r="V23" s="84"/>
    </row>
    <row r="24" ht="16.8" spans="1:22">
      <c r="A24" s="6"/>
      <c r="B24" s="14" t="s">
        <v>38</v>
      </c>
      <c r="C24" s="44">
        <f t="shared" ref="C24:O24" si="10">IFERROR(1-C21/C16,0)</f>
        <v>0.400958334075015</v>
      </c>
      <c r="D24" s="44">
        <f t="shared" si="10"/>
        <v>0.406007427239627</v>
      </c>
      <c r="E24" s="44">
        <f t="shared" si="10"/>
        <v>0.38046092285137</v>
      </c>
      <c r="F24" s="44">
        <f t="shared" si="10"/>
        <v>0.373953579974273</v>
      </c>
      <c r="G24" s="44">
        <f t="shared" si="10"/>
        <v>0.452479119187073</v>
      </c>
      <c r="H24" s="44">
        <f t="shared" si="10"/>
        <v>0.436886203806686</v>
      </c>
      <c r="I24" s="44">
        <f t="shared" si="10"/>
        <v>0.457844854106809</v>
      </c>
      <c r="J24" s="44">
        <f t="shared" si="10"/>
        <v>0.475185777028227</v>
      </c>
      <c r="K24" s="44">
        <f t="shared" si="10"/>
        <v>0.475395829084183</v>
      </c>
      <c r="L24" s="44">
        <f t="shared" si="10"/>
        <v>0.496404728002663</v>
      </c>
      <c r="M24" s="44">
        <f t="shared" si="10"/>
        <v>0.491882263456048</v>
      </c>
      <c r="N24" s="44">
        <f t="shared" si="10"/>
        <v>0.485320977198912</v>
      </c>
      <c r="O24" s="44">
        <f t="shared" si="10"/>
        <v>0.452607606041118</v>
      </c>
      <c r="P24" s="42"/>
      <c r="Q24" s="6"/>
      <c r="R24" s="6"/>
      <c r="S24" s="6"/>
      <c r="T24" s="53">
        <f>O24-淘系!O24-淘系达播!O24-抖音!O24-抖音达播!O24-快手!O24-京东POP财经口径!O24-京东自营财经口径!O24-PDD!O24-得物!O24-'视频号+官网+小程序'!O24-唯品会!O24-'线下门店-直营'!O24-'线下门店-经销'!O24-线下渠道!O24</f>
        <v>-7.06869761475287</v>
      </c>
      <c r="U24" s="84"/>
      <c r="V24" s="84"/>
    </row>
    <row r="25" ht="16.8" spans="1:22">
      <c r="A25" s="6"/>
      <c r="B25" s="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42"/>
      <c r="Q25" s="6"/>
      <c r="R25" s="6"/>
      <c r="S25" s="6"/>
      <c r="T25" s="53">
        <f>O25-淘系!O25-淘系达播!O25-抖音!O25-抖音达播!O25-快手!O25-京东POP财经口径!O25-京东自营财经口径!O25-PDD!O25-得物!O25-'视频号+官网+小程序'!O25-唯品会!O25-'线下门店-直营'!O25-'线下门店-经销'!O25-线下渠道!O25</f>
        <v>0</v>
      </c>
      <c r="U25" s="84"/>
      <c r="V25" s="84"/>
    </row>
    <row r="26" ht="16.8" spans="1:22">
      <c r="A26" s="6"/>
      <c r="B26" s="86" t="s">
        <v>39</v>
      </c>
      <c r="C26" s="86">
        <f t="shared" ref="C26:N26" si="11">SUM(C27:C31)</f>
        <v>751638.837830772</v>
      </c>
      <c r="D26" s="86">
        <f t="shared" si="11"/>
        <v>2209499.70498667</v>
      </c>
      <c r="E26" s="86">
        <f t="shared" si="11"/>
        <v>3628334.43256354</v>
      </c>
      <c r="F26" s="86">
        <f t="shared" si="11"/>
        <v>2088171.00907326</v>
      </c>
      <c r="G26" s="86">
        <f t="shared" si="11"/>
        <v>8100807.38938975</v>
      </c>
      <c r="H26" s="86">
        <f t="shared" si="11"/>
        <v>4791643.23931378</v>
      </c>
      <c r="I26" s="86">
        <f t="shared" si="11"/>
        <v>1089143.16083901</v>
      </c>
      <c r="J26" s="86">
        <f t="shared" si="11"/>
        <v>1639717.66245094</v>
      </c>
      <c r="K26" s="86">
        <f t="shared" si="11"/>
        <v>1204886.04676431</v>
      </c>
      <c r="L26" s="86">
        <f t="shared" si="11"/>
        <v>4469590.76461686</v>
      </c>
      <c r="M26" s="86">
        <f t="shared" si="11"/>
        <v>1775881.64771413</v>
      </c>
      <c r="N26" s="86">
        <f t="shared" si="11"/>
        <v>1241819.83352515</v>
      </c>
      <c r="O26" s="86">
        <f t="shared" ref="O26:O31" si="12">SUM(C26:N26)</f>
        <v>32991133.7290682</v>
      </c>
      <c r="P26" s="38">
        <f t="shared" ref="P26:P31" si="13">O26/$O$16</f>
        <v>0.0963432389600395</v>
      </c>
      <c r="Q26" s="6"/>
      <c r="R26" s="6"/>
      <c r="S26" s="6"/>
      <c r="T26" s="53">
        <f>O26-淘系!O26-淘系达播!O26-抖音!O26-抖音达播!O26-快手!O26-京东POP财经口径!O26-京东自营财经口径!O26-PDD!O26-得物!O26-'视频号+官网+小程序'!O26-唯品会!O26-'线下门店-直营'!O26-'线下门店-经销'!O26-线下渠道!O26</f>
        <v>0</v>
      </c>
    </row>
    <row r="27" ht="16.8" spans="1:22">
      <c r="A27" s="36"/>
      <c r="B27" s="87" t="s">
        <v>40</v>
      </c>
      <c r="C27" s="87">
        <f>淘系!C27+抖音!C27+PDD!C27+得物!C27+京东自营财经口径!C27+京东POP财经口径!C27+'视频号+官网+小程序'!C27+快手!C27+唯品会!C27+'线下门店-直营'!C27+'线下门店-经销'!C27+线下渠道!C27+淘系达播!C27+抖音达播!C27</f>
        <v>0</v>
      </c>
      <c r="D27" s="87">
        <f>淘系!D27+抖音!D27+PDD!D27+得物!D27+京东自营财经口径!D27+京东POP财经口径!D27+'视频号+官网+小程序'!D27+快手!D27+唯品会!D27+'线下门店-直营'!D27+'线下门店-经销'!D27+线下渠道!D27+淘系达播!D27+抖音达播!D27</f>
        <v>0</v>
      </c>
      <c r="E27" s="87">
        <f>淘系!E27+抖音!E27+PDD!E27+得物!E27+京东自营财经口径!E27+京东POP财经口径!E27+'视频号+官网+小程序'!E27+快手!E27+唯品会!E27+'线下门店-直营'!E27+'线下门店-经销'!E27+线下渠道!E27+淘系达播!E27+抖音达播!E27</f>
        <v>64814.267453294</v>
      </c>
      <c r="F27" s="87">
        <f>淘系!F27+抖音!F27+PDD!F27+得物!F27+京东自营财经口径!F27+京东POP财经口径!F27+'视频号+官网+小程序'!F27+快手!F27+唯品会!F27+'线下门店-直营'!F27+'线下门店-经销'!F27+线下渠道!F27+淘系达播!F27+抖音达播!F27</f>
        <v>54155.0737463127</v>
      </c>
      <c r="G27" s="87">
        <f>淘系!G27+抖音!G27+PDD!G27+得物!G27+京东自营财经口径!G27+京东POP财经口径!G27+'视频号+官网+小程序'!G27+快手!G27+唯品会!G27+'线下门店-直营'!G27+'线下门店-经销'!G27+线下渠道!G27+淘系达播!G27+抖音达播!G27</f>
        <v>115388.163716814</v>
      </c>
      <c r="H27" s="87">
        <f>淘系!H27+抖音!H27+PDD!H27+得物!H27+京东自营财经口径!H27+京东POP财经口径!H27+'视频号+官网+小程序'!H27+快手!H27+唯品会!H27+'线下门店-直营'!H27+'线下门店-经销'!H27+线下渠道!H27+淘系达播!H27+抖音达播!H27</f>
        <v>101584.80199115</v>
      </c>
      <c r="I27" s="87">
        <f>淘系!I27+抖音!I27+PDD!I27+得物!I27+京东自营财经口径!I27+京东POP财经口径!I27+'视频号+官网+小程序'!I27+快手!I27+唯品会!I27+'线下门店-直营'!I27+'线下门店-经销'!I27+线下渠道!I27+淘系达播!I27+抖音达播!I27</f>
        <v>65500.2876106195</v>
      </c>
      <c r="J27" s="87">
        <f>淘系!J27+抖音!J27+PDD!J27+得物!J27+京东自营财经口径!J27+京东POP财经口径!J27+'视频号+官网+小程序'!J27+快手!J27+唯品会!J27+'线下门店-直营'!J27+'线下门店-经销'!J27+线下渠道!J27+淘系达播!J27+抖音达播!J27</f>
        <v>90329.9336283186</v>
      </c>
      <c r="K27" s="87">
        <f>淘系!K27+抖音!K27+PDD!K27+得物!K27+京东自营财经口径!K27+京东POP财经口径!K27+'视频号+官网+小程序'!K27+快手!K27+唯品会!K27+'线下门店-直营'!K27+'线下门店-经销'!K27+线下渠道!K27+淘系达播!K27+抖音达播!K27</f>
        <v>72053.1637168142</v>
      </c>
      <c r="L27" s="87">
        <f>淘系!L27+抖音!L27+PDD!L27+得物!L27+京东自营财经口径!L27+京东POP财经口径!L27+'视频号+官网+小程序'!L27+快手!L27+唯品会!L27+'线下门店-直营'!L27+'线下门店-经销'!L27+线下渠道!L27+淘系达播!L27+抖音达播!L27</f>
        <v>121420.238831432</v>
      </c>
      <c r="M27" s="87">
        <f>淘系!M27+抖音!M27+PDD!M27+得物!M27+京东自营财经口径!M27+京东POP财经口径!M27+'视频号+官网+小程序'!M27+快手!M27+唯品会!M27+'线下门店-直营'!M27+'线下门店-经销'!M27+线下渠道!M27+淘系达播!M27+抖音达播!M27</f>
        <v>91985.613604862</v>
      </c>
      <c r="N27" s="87">
        <f>淘系!N27+抖音!N27+PDD!N27+得物!N27+京东自营财经口径!N27+京东POP财经口径!N27+'视频号+官网+小程序'!N27+快手!N27+唯品会!N27+'线下门店-直营'!N27+'线下门店-经销'!N27+线下渠道!N27+淘系达播!N27+抖音达播!N27</f>
        <v>0</v>
      </c>
      <c r="O27" s="87">
        <f t="shared" si="12"/>
        <v>777231.544299617</v>
      </c>
      <c r="P27" s="42">
        <f t="shared" si="13"/>
        <v>0.00226973116518762</v>
      </c>
      <c r="Q27" s="4"/>
      <c r="R27" s="6"/>
      <c r="S27" s="6"/>
      <c r="T27" s="53">
        <f>O27-淘系!O27-淘系达播!O27-抖音!O27-抖音达播!O27-快手!O27-京东POP财经口径!O27-京东自营财经口径!O27-PDD!O27-得物!O27-'视频号+官网+小程序'!O27-唯品会!O27-'线下门店-直营'!O27-'线下门店-经销'!O27-线下渠道!O27</f>
        <v>-1.60071067512035e-10</v>
      </c>
    </row>
    <row r="28" ht="16.8" spans="1:22">
      <c r="A28" s="36"/>
      <c r="B28" s="87" t="s">
        <v>41</v>
      </c>
      <c r="C28" s="87">
        <f>淘系!C28+抖音!C28+PDD!C28+得物!C28+京东自营财经口径!C28+京东POP财经口径!C28+'视频号+官网+小程序'!C28+快手!C28+唯品会!C28+'线下门店-直营'!C28+'线下门店-经销'!C28+线下渠道!C28+淘系达播!C28+抖音达播!C28</f>
        <v>209195</v>
      </c>
      <c r="D28" s="87">
        <f>淘系!D28+抖音!D28+PDD!D28+得物!D28+京东自营财经口径!D28+京东POP财经口径!D28+'视频号+官网+小程序'!D28+快手!D28+唯品会!D28+'线下门店-直营'!D28+'线下门店-经销'!D28+线下渠道!D28+淘系达播!D28+抖音达播!D28</f>
        <v>209195</v>
      </c>
      <c r="E28" s="87">
        <f>淘系!E28+抖音!E28+PDD!E28+得物!E28+京东自营财经口径!E28+京东POP财经口径!E28+'视频号+官网+小程序'!E28+快手!E28+唯品会!E28+'线下门店-直营'!E28+'线下门店-经销'!E28+线下渠道!E28+淘系达播!E28+抖音达播!E28</f>
        <v>209195</v>
      </c>
      <c r="F28" s="87">
        <f>淘系!F28+抖音!F28+PDD!F28+得物!F28+京东自营财经口径!F28+京东POP财经口径!F28+'视频号+官网+小程序'!F28+快手!F28+唯品会!F28+'线下门店-直营'!F28+'线下门店-经销'!F28+线下渠道!F28+淘系达播!F28+抖音达播!F28</f>
        <v>274181.088495575</v>
      </c>
      <c r="G28" s="87">
        <f>淘系!G28+抖音!G28+PDD!G28+得物!G28+京东自营财经口径!G28+京东POP财经口径!G28+'视频号+官网+小程序'!G28+快手!G28+唯品会!G28+'线下门店-直营'!G28+'线下门店-经销'!G28+线下渠道!G28+淘系达播!G28+抖音达播!G28</f>
        <v>901523.982300886</v>
      </c>
      <c r="H28" s="87">
        <f>淘系!H28+抖音!H28+PDD!H28+得物!H28+京东自营财经口径!H28+京东POP财经口径!H28+'视频号+官网+小程序'!H28+快手!H28+唯品会!H28+'线下门店-直营'!H28+'线下门店-经销'!H28+线下渠道!H28+淘系达播!H28+抖音达播!H28</f>
        <v>534266.366371681</v>
      </c>
      <c r="I28" s="87">
        <f>淘系!I28+抖音!I28+PDD!I28+得物!I28+京东自营财经口径!I28+京东POP财经口径!I28+'视频号+官网+小程序'!I28+快手!I28+唯品会!I28+'线下门店-直营'!I28+'线下门店-经销'!I28+线下渠道!I28+淘系达播!I28+抖音达播!I28</f>
        <v>209195</v>
      </c>
      <c r="J28" s="87">
        <f>淘系!J28+抖音!J28+PDD!J28+得物!J28+京东自营财经口径!J28+京东POP财经口径!J28+'视频号+官网+小程序'!J28+快手!J28+唯品会!J28+'线下门店-直营'!J28+'线下门店-经销'!J28+线下渠道!J28+淘系达播!J28+抖音达播!J28</f>
        <v>317590.920353982</v>
      </c>
      <c r="K28" s="87">
        <f>淘系!K28+抖音!K28+PDD!K28+得物!K28+京东自营财经口径!K28+京东POP财经口径!K28+'视频号+官网+小程序'!K28+快手!K28+唯品会!K28+'线下门店-直营'!K28+'线下门店-经销'!K28+线下渠道!K28+淘系达播!K28+抖音达播!K28</f>
        <v>439765.123893805</v>
      </c>
      <c r="L28" s="87">
        <f>淘系!L28+抖音!L28+PDD!L28+得物!L28+京东自营财经口径!L28+京东POP财经口径!L28+'视频号+官网+小程序'!L28+快手!L28+唯品会!L28+'线下门店-直营'!L28+'线下门店-经销'!L28+线下渠道!L28+淘系达播!L28+抖音达播!L28</f>
        <v>354899.286597718</v>
      </c>
      <c r="M28" s="87">
        <f>淘系!M28+抖音!M28+PDD!M28+得物!M28+京东自营财经口径!M28+京东POP财经口径!M28+'视频号+官网+小程序'!M28+快手!M28+唯品会!M28+'线下门店-直营'!M28+'线下门店-经销'!M28+线下渠道!M28+淘系达播!M28+抖音达播!M28</f>
        <v>319577.736325834</v>
      </c>
      <c r="N28" s="87">
        <f>淘系!N28+抖音!N28+PDD!N28+得物!N28+京东自营财经口径!N28+京东POP财经口径!N28+'视频号+官网+小程序'!N28+快手!N28+唯品会!N28+'线下门店-直营'!N28+'线下门店-经销'!N28+线下渠道!N28+淘系达播!N28+抖音达播!N28</f>
        <v>209195</v>
      </c>
      <c r="O28" s="87">
        <f t="shared" si="12"/>
        <v>4187779.50433948</v>
      </c>
      <c r="P28" s="42">
        <f t="shared" si="13"/>
        <v>0.0122294748889774</v>
      </c>
      <c r="Q28" s="4"/>
      <c r="R28" s="6"/>
      <c r="S28" s="6"/>
      <c r="T28" s="53">
        <f>O28-淘系!O28-淘系达播!O28-抖音!O28-抖音达播!O28-快手!O28-京东POP财经口径!O28-京东自营财经口径!O28-PDD!O28-得物!O28-'视频号+官网+小程序'!O28-唯品会!O28-'线下门店-直营'!O28-'线下门店-经销'!O28-线下渠道!O28</f>
        <v>5.5297277867794e-10</v>
      </c>
    </row>
    <row r="29" ht="16.8" spans="1:22">
      <c r="A29" s="36"/>
      <c r="B29" s="87" t="s">
        <v>42</v>
      </c>
      <c r="C29" s="87">
        <f>淘系!C29+抖音!C29+PDD!C29+得物!C29+京东自营财经口径!C29+京东POP财经口径!C29+'视频号+官网+小程序'!C29+快手!C29+唯品会!C29+'线下门店-直营'!C29+'线下门店-经销'!C29+线下渠道!C29+淘系达播!C29+抖音达播!C29</f>
        <v>31801.7588495575</v>
      </c>
      <c r="D29" s="87">
        <f>淘系!D29+抖音!D29+PDD!D29+得物!D29+京东自营财经口径!D29+京东POP财经口径!D29+'视频号+官网+小程序'!D29+快手!D29+唯品会!D29+'线下门店-直营'!D29+'线下门店-经销'!D29+线下渠道!D29+淘系达播!D29+抖音达播!D29</f>
        <v>25890.0688298918</v>
      </c>
      <c r="E29" s="87">
        <f>淘系!E29+抖音!E29+PDD!E29+得物!E29+京东自营财经口径!E29+京东POP财经口径!E29+'视频号+官网+小程序'!E29+快手!E29+唯品会!E29+'线下门店-直营'!E29+'线下门店-经销'!E29+线下渠道!E29+淘系达播!E29+抖音达播!E29</f>
        <v>25925.7069813176</v>
      </c>
      <c r="F29" s="87">
        <f>淘系!F29+抖音!F29+PDD!F29+得物!F29+京东自营财经口径!F29+京东POP财经口径!F29+'视频号+官网+小程序'!F29+快手!F29+唯品会!F29+'线下门店-直营'!F29+'线下门店-经销'!F29+线下渠道!F29+淘系达播!F29+抖音达播!F29</f>
        <v>108310.147492625</v>
      </c>
      <c r="G29" s="87">
        <f>淘系!G29+抖音!G29+PDD!G29+得物!G29+京东自营财经口径!G29+京东POP财经口径!G29+'视频号+官网+小程序'!G29+快手!G29+唯品会!G29+'线下门店-直营'!G29+'线下门店-经销'!G29+线下渠道!G29+淘系达播!G29+抖音达播!G29</f>
        <v>692328.982300885</v>
      </c>
      <c r="H29" s="87">
        <f>淘系!H29+抖音!H29+PDD!H29+得物!H29+京东自营财经口径!H29+京东POP财经口径!H29+'视频号+官网+小程序'!H29+快手!H29+唯品会!H29+'线下门店-直营'!H29+'线下门店-经销'!H29+线下渠道!H29+淘系达播!H29+抖音达播!H29</f>
        <v>446973.128761062</v>
      </c>
      <c r="I29" s="87">
        <f>淘系!I29+抖音!I29+PDD!I29+得物!I29+京东自营财经口径!I29+京东POP财经口径!I29+'视频号+官网+小程序'!I29+快手!I29+唯品会!I29+'线下门店-直营'!I29+'线下门店-经销'!I29+线下渠道!I29+淘系达播!I29+抖音达播!I29</f>
        <v>0</v>
      </c>
      <c r="J29" s="87">
        <f>淘系!J29+抖音!J29+PDD!J29+得物!J29+京东自营财经口径!J29+京东POP财经口径!J29+'视频号+官网+小程序'!J29+快手!J29+唯品会!J29+'线下门店-直营'!J29+'线下门店-经销'!J29+线下渠道!J29+淘系达播!J29+抖音达播!J29</f>
        <v>108395.920353982</v>
      </c>
      <c r="K29" s="87">
        <f>淘系!K29+抖音!K29+PDD!K29+得物!K29+京东自营财经口径!K29+京东POP财经口径!K29+'视频号+官网+小程序'!K29+快手!K29+唯品会!K29+'线下门店-直营'!K29+'线下门店-经销'!K29+线下渠道!K29+淘系达播!K29+抖音达播!K29</f>
        <v>230570.123893805</v>
      </c>
      <c r="L29" s="87">
        <f>淘系!L29+抖音!L29+PDD!L29+得物!L29+京东自营财经口径!L29+京东POP财经口径!L29+'视频号+官网+小程序'!L29+快手!L29+唯品会!L29+'线下门店-直营'!L29+'线下门店-经销'!L29+线下渠道!L29+淘系达播!L29+抖音达播!L29</f>
        <v>242840.477662864</v>
      </c>
      <c r="M29" s="87">
        <f>淘系!M29+抖音!M29+PDD!M29+得物!M29+京东自营财经口径!M29+京东POP财经口径!M29+'视频号+官网+小程序'!M29+快手!M29+唯品会!M29+'线下门店-直营'!M29+'线下门店-经销'!M29+线下渠道!M29+淘系达播!M29+抖音达播!M29</f>
        <v>183971.227209724</v>
      </c>
      <c r="N29" s="87">
        <f>淘系!N29+抖音!N29+PDD!N29+得物!N29+京东自营财经口径!N29+京东POP财经口径!N29+'视频号+官网+小程序'!N29+快手!N29+唯品会!N29+'线下门店-直营'!N29+'线下门店-经销'!N29+线下渠道!N29+淘系达播!N29+抖音达播!N29</f>
        <v>32181.9618296194</v>
      </c>
      <c r="O29" s="87">
        <f t="shared" si="12"/>
        <v>2129189.50416533</v>
      </c>
      <c r="P29" s="42">
        <f t="shared" si="13"/>
        <v>0.00621782248756938</v>
      </c>
      <c r="Q29" s="6"/>
      <c r="R29" s="6"/>
      <c r="S29" s="6"/>
      <c r="T29" s="53">
        <f>O29-淘系!O29-淘系达播!O29-抖音!O29-抖音达播!O29-快手!O29-京东POP财经口径!O29-京东自营财经口径!O29-PDD!O29-得物!O29-'视频号+官网+小程序'!O29-唯品会!O29-'线下门店-直营'!O29-'线下门店-经销'!O29-线下渠道!O29</f>
        <v>0</v>
      </c>
    </row>
    <row r="30" ht="16.8" spans="1:22">
      <c r="A30" s="36"/>
      <c r="B30" s="87" t="s">
        <v>43</v>
      </c>
      <c r="C30" s="87">
        <f>淘系!C30+抖音!C30+PDD!C30+得物!C30+京东自营财经口径!C30+京东POP财经口径!C30+'视频号+官网+小程序'!C30+快手!C30+唯品会!C30+'线下门店-直营'!C30+'线下门店-经销'!C30+线下渠道!C30+淘系达播!C30+抖音达播!C30</f>
        <v>31801.7588495575</v>
      </c>
      <c r="D30" s="87">
        <f>淘系!D30+抖音!D30+PDD!D30+得物!D30+京东自营财经口径!D30+京东POP财经口径!D30+'视频号+官网+小程序'!D30+快手!D30+唯品会!D30+'线下门店-直营'!D30+'线下门店-经销'!D30+线下渠道!D30+淘系达播!D30+抖音达播!D30</f>
        <v>25890.0688298918</v>
      </c>
      <c r="E30" s="87">
        <f>淘系!E30+抖音!E30+PDD!E30+得物!E30+京东自营财经口径!E30+京东POP财经口径!E30+'视频号+官网+小程序'!E30+快手!E30+唯品会!E30+'线下门店-直营'!E30+'线下门店-经销'!E30+线下渠道!E30+淘系达播!E30+抖音达播!E30</f>
        <v>207405.655850541</v>
      </c>
      <c r="F30" s="87">
        <f>淘系!F30+抖音!F30+PDD!F30+得物!F30+京东自营财经口径!F30+京东POP财经口径!F30+'视频号+官网+小程序'!F30+快手!F30+唯品会!F30+'线下门店-直营'!F30+'线下门店-经销'!F30+线下渠道!F30+淘系达播!F30+抖音达播!F30</f>
        <v>21662.0294985251</v>
      </c>
      <c r="G30" s="87">
        <f>淘系!G30+抖音!G30+PDD!G30+得物!G30+京东自营财经口径!G30+京东POP财经口径!G30+'视频号+官网+小程序'!G30+快手!G30+唯品会!G30+'线下门店-直营'!G30+'线下门店-经销'!G30+线下渠道!G30+淘系达播!G30+抖音达播!G30</f>
        <v>138465.796460177</v>
      </c>
      <c r="H30" s="87">
        <f>淘系!H30+抖音!H30+PDD!H30+得物!H30+京东自营财经口径!H30+京东POP财经口径!H30+'视频号+官网+小程序'!H30+快手!H30+唯品会!H30+'线下门店-直营'!H30+'线下门店-经销'!H30+线下渠道!H30+淘系达播!H30+抖音达播!H30</f>
        <v>40633.9207964602</v>
      </c>
      <c r="I30" s="87">
        <f>淘系!I30+抖音!I30+PDD!I30+得物!I30+京东自营财经口径!I30+京东POP财经口径!I30+'视频号+官网+小程序'!I30+快手!I30+唯品会!I30+'线下门店-直营'!I30+'线下门店-经销'!I30+线下渠道!I30+淘系达播!I30+抖音达播!I30</f>
        <v>26200.1150442478</v>
      </c>
      <c r="J30" s="87">
        <f>淘系!J30+抖音!J30+PDD!J30+得物!J30+京东自营财经口径!J30+京东POP财经口径!J30+'视频号+官网+小程序'!J30+快手!J30+唯品会!J30+'线下门店-直营'!J30+'线下门店-经销'!J30+线下渠道!J30+淘系达播!J30+抖音达播!J30</f>
        <v>36131.9734513274</v>
      </c>
      <c r="K30" s="87">
        <f>淘系!K30+抖音!K30+PDD!K30+得物!K30+京东自营财经口径!K30+京东POP财经口径!K30+'视频号+官网+小程序'!K30+快手!K30+唯品会!K30+'线下门店-直营'!K30+'线下门店-经销'!K30+线下渠道!K30+淘系达播!K30+抖音达播!K30</f>
        <v>28821.2654867257</v>
      </c>
      <c r="L30" s="87">
        <f>淘系!L30+抖音!L30+PDD!L30+得物!L30+京东自营财经口径!L30+京东POP财经口径!L30+'视频号+官网+小程序'!L30+快手!L30+唯品会!L30+'线下门店-直营'!L30+'线下门店-经销'!L30+线下渠道!L30+淘系达播!L30+抖音达播!L30</f>
        <v>97136.1910651456</v>
      </c>
      <c r="M30" s="87">
        <f>淘系!M30+抖音!M30+PDD!M30+得物!M30+京东自营财经口径!M30+京东POP财经口径!M30+'视频号+官网+小程序'!M30+快手!M30+唯品会!M30+'线下门店-直营'!M30+'线下门店-经销'!M30+线下渠道!M30+淘系达播!M30+抖音达播!M30</f>
        <v>73588.4908838896</v>
      </c>
      <c r="N30" s="87">
        <f>淘系!N30+抖音!N30+PDD!N30+得物!N30+京东自营财经口径!N30+京东POP财经口径!N30+'视频号+官网+小程序'!N30+快手!N30+唯品会!N30+'线下门店-直营'!N30+'线下门店-经销'!N30+线下渠道!N30+淘系达播!N30+抖音达播!N30</f>
        <v>32181.9618296194</v>
      </c>
      <c r="O30" s="87">
        <f t="shared" si="12"/>
        <v>759919.228046108</v>
      </c>
      <c r="P30" s="42">
        <f t="shared" si="13"/>
        <v>0.00221917441150158</v>
      </c>
      <c r="Q30" s="6"/>
      <c r="R30" s="6"/>
      <c r="S30" s="6"/>
      <c r="T30" s="53">
        <f>O30-淘系!O30-淘系达播!O30-抖音!O30-抖音达播!O30-快手!O30-京东POP财经口径!O30-京东自营财经口径!O30-PDD!O30-得物!O30-'视频号+官网+小程序'!O30-唯品会!O30-'线下门店-直营'!O30-'线下门店-经销'!O30-线下渠道!O30</f>
        <v>0</v>
      </c>
    </row>
    <row r="31" ht="16.8" collapsed="1" spans="1:22">
      <c r="A31" s="36"/>
      <c r="B31" s="87" t="s">
        <v>44</v>
      </c>
      <c r="C31" s="87">
        <f>淘系!C31+抖音!C31+PDD!C31+得物!C31+京东自营财经口径!C31+京东POP财经口径!C31+'视频号+官网+小程序'!C31+快手!C31+唯品会!C31+'线下门店-直营'!C31+'线下门店-经销'!C31+线下渠道!C31+淘系达播!C31+抖音达播!C31</f>
        <v>478840.320131657</v>
      </c>
      <c r="D31" s="87">
        <f>淘系!D31+抖音!D31+PDD!D31+得物!D31+京东自营财经口径!D31+京东POP财经口径!D31+'视频号+官网+小程序'!D31+快手!D31+唯品会!D31+'线下门店-直营'!D31+'线下门店-经销'!D31+线下渠道!D31+淘系达播!D31+抖音达播!D31</f>
        <v>1948524.56732689</v>
      </c>
      <c r="E31" s="87">
        <f>淘系!E31+抖音!E31+PDD!E31+得物!E31+京东自营财经口径!E31+京东POP财经口径!E31+'视频号+官网+小程序'!E31+快手!E31+唯品会!E31+'线下门店-直营'!E31+'线下门店-经销'!E31+线下渠道!E31+淘系达播!E31+抖音达播!E31</f>
        <v>3120993.80227839</v>
      </c>
      <c r="F31" s="87">
        <f>淘系!F31+抖音!F31+PDD!F31+得物!F31+京东自营财经口径!F31+京东POP财经口径!F31+'视频号+官网+小程序'!F31+快手!F31+唯品会!F31+'线下门店-直营'!F31+'线下门店-经销'!F31+线下渠道!F31+淘系达播!F31+抖音达播!F31</f>
        <v>1629862.66984022</v>
      </c>
      <c r="G31" s="87">
        <f>淘系!G31+抖音!G31+PDD!G31+得物!G31+京东自营财经口径!G31+京东POP财经口径!G31+'视频号+官网+小程序'!G31+快手!G31+唯品会!G31+'线下门店-直营'!G31+'线下门店-经销'!G31+线下渠道!G31+淘系达播!G31+抖音达播!G31</f>
        <v>6253100.46461099</v>
      </c>
      <c r="H31" s="87">
        <f>淘系!H31+抖音!H31+PDD!H31+得物!H31+京东自营财经口径!H31+京东POP财经口径!H31+'视频号+官网+小程序'!H31+快手!H31+唯品会!H31+'线下门店-直营'!H31+'线下门店-经销'!H31+线下渠道!H31+淘系达播!H31+抖音达播!H31</f>
        <v>3668185.02139343</v>
      </c>
      <c r="I31" s="87">
        <f>淘系!I31+抖音!I31+PDD!I31+得物!I31+京东自营财经口径!I31+京东POP财经口径!I31+'视频号+官网+小程序'!I31+快手!I31+唯品会!I31+'线下门店-直营'!I31+'线下门店-经销'!I31+线下渠道!I31+淘系达播!I31+抖音达播!I31</f>
        <v>788247.758184143</v>
      </c>
      <c r="J31" s="87">
        <f>淘系!J31+抖音!J31+PDD!J31+得物!J31+京东自营财经口径!J31+京东POP财经口径!J31+'视频号+官网+小程序'!J31+快手!J31+唯品会!J31+'线下门店-直营'!J31+'线下门店-经销'!J31+线下渠道!J31+淘系达播!J31+抖音达播!J31</f>
        <v>1087268.91466333</v>
      </c>
      <c r="K31" s="87">
        <f>淘系!K31+抖音!K31+PDD!K31+得物!K31+京东自营财经口径!K31+京东POP财经口径!K31+'视频号+官网+小程序'!K31+快手!K31+唯品会!K31+'线下门店-直营'!K31+'线下门店-经销'!K31+线下渠道!K31+淘系达播!K31+抖音达播!K31</f>
        <v>433676.369773156</v>
      </c>
      <c r="L31" s="87">
        <f>淘系!L31+抖音!L31+PDD!L31+得物!L31+京东自营财经口径!L31+京东POP财经口径!L31+'视频号+官网+小程序'!L31+快手!L31+唯品会!L31+'线下门店-直营'!L31+'线下门店-经销'!L31+线下渠道!L31+淘系达播!L31+抖音达播!L31</f>
        <v>3653294.5704597</v>
      </c>
      <c r="M31" s="87">
        <f>淘系!M31+抖音!M31+PDD!M31+得物!M31+京东自营财经口径!M31+京东POP财经口径!M31+'视频号+官网+小程序'!M31+快手!M31+唯品会!M31+'线下门店-直营'!M31+'线下门店-经销'!M31+线下渠道!M31+淘系达播!M31+抖音达播!M31</f>
        <v>1106758.57968982</v>
      </c>
      <c r="N31" s="87">
        <f>淘系!N31+抖音!N31+PDD!N31+得物!N31+京东自营财经口径!N31+京东POP财经口径!N31+'视频号+官网+小程序'!N31+快手!N31+唯品会!N31+'线下门店-直营'!N31+'线下门店-经销'!N31+线下渠道!N31+淘系达播!N31+抖音达播!N31</f>
        <v>968260.909865913</v>
      </c>
      <c r="O31" s="87">
        <f t="shared" si="12"/>
        <v>25137013.9482176</v>
      </c>
      <c r="P31" s="42">
        <f t="shared" si="13"/>
        <v>0.0734070360068035</v>
      </c>
      <c r="Q31" s="6"/>
      <c r="R31" s="6"/>
      <c r="S31" s="6"/>
      <c r="T31" s="53">
        <f>O31-淘系!O31-淘系达播!O31-抖音!O31-抖音达播!O31-快手!O31-京东POP财经口径!O31-京东自营财经口径!O31-PDD!O31-得物!O31-'视频号+官网+小程序'!O31-唯品会!O31-'线下门店-直营'!O31-'线下门店-经销'!O31-线下渠道!O31</f>
        <v>0</v>
      </c>
    </row>
    <row r="32" ht="16.8" hidden="1" outlineLevel="1" spans="1:22">
      <c r="A32" s="36"/>
      <c r="B32" s="87" t="s">
        <v>45</v>
      </c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42"/>
      <c r="Q32" s="6"/>
      <c r="R32" s="6"/>
      <c r="S32" s="6"/>
      <c r="T32" s="53">
        <f>O32-淘系!O32-淘系达播!O32-抖音!O32-抖音达播!O32-快手!O32-京东POP财经口径!O32-京东自营财经口径!O32-PDD!O32-得物!O32-'视频号+官网+小程序'!O32-唯品会!O32-'线下门店-直营'!O32-'线下门店-经销'!O32-线下渠道!O32</f>
        <v>0</v>
      </c>
    </row>
    <row r="33" ht="16.8" hidden="1" outlineLevel="1" spans="1:22">
      <c r="A33" s="36"/>
      <c r="B33" s="87" t="s">
        <v>46</v>
      </c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42"/>
      <c r="Q33" s="6"/>
      <c r="R33" s="6"/>
      <c r="S33" s="6"/>
      <c r="T33" s="53">
        <f>O33-淘系!O33-淘系达播!O33-抖音!O33-抖音达播!O33-快手!O33-京东POP财经口径!O33-京东自营财经口径!O33-PDD!O33-得物!O33-'视频号+官网+小程序'!O33-唯品会!O33-'线下门店-直营'!O33-'线下门店-经销'!O33-线下渠道!O33</f>
        <v>0</v>
      </c>
    </row>
    <row r="34" ht="16.8" hidden="1" outlineLevel="1" spans="1:22">
      <c r="A34" s="36"/>
      <c r="B34" s="87" t="s">
        <v>47</v>
      </c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42"/>
      <c r="Q34" s="6"/>
      <c r="T34" s="53">
        <f>O34-淘系!O34-淘系达播!O34-抖音!O34-抖音达播!O34-快手!O34-京东POP财经口径!O34-京东自营财经口径!O34-PDD!O34-得物!O34-'视频号+官网+小程序'!O34-唯品会!O34-'线下门店-直营'!O34-'线下门店-经销'!O34-线下渠道!O34</f>
        <v>0</v>
      </c>
    </row>
    <row r="35" ht="16.8" hidden="1" outlineLevel="1" spans="1:22">
      <c r="A35" s="36"/>
      <c r="B35" s="87" t="s">
        <v>48</v>
      </c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42"/>
      <c r="Q35" s="6"/>
      <c r="T35" s="53">
        <f>O35-淘系!O35-淘系达播!O35-抖音!O35-抖音达播!O35-快手!O35-京东POP财经口径!O35-京东自营财经口径!O35-PDD!O35-得物!O35-'视频号+官网+小程序'!O35-唯品会!O35-'线下门店-直营'!O35-'线下门店-经销'!O35-线下渠道!O35</f>
        <v>0</v>
      </c>
    </row>
    <row r="36" ht="16.8" hidden="1" outlineLevel="1" spans="1:22">
      <c r="A36" s="36"/>
      <c r="B36" s="87" t="s">
        <v>49</v>
      </c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42"/>
      <c r="Q36" s="6"/>
      <c r="T36" s="53">
        <f>O36-淘系!O36-淘系达播!O36-抖音!O36-抖音达播!O36-快手!O36-京东POP财经口径!O36-京东自营财经口径!O36-PDD!O36-得物!O36-'视频号+官网+小程序'!O36-唯品会!O36-'线下门店-直营'!O36-'线下门店-经销'!O36-线下渠道!O36</f>
        <v>0</v>
      </c>
    </row>
    <row r="37" ht="16.8" spans="1:22">
      <c r="A37" s="6"/>
      <c r="B37" s="86" t="s">
        <v>50</v>
      </c>
      <c r="C37" s="86">
        <f t="shared" ref="C37:N37" si="14">SUM(C38:C40)</f>
        <v>5289161.06036241</v>
      </c>
      <c r="D37" s="86">
        <f t="shared" si="14"/>
        <v>6011795.26225013</v>
      </c>
      <c r="E37" s="86">
        <f t="shared" si="14"/>
        <v>4469411.69885126</v>
      </c>
      <c r="F37" s="86">
        <f t="shared" si="14"/>
        <v>3799706.23403942</v>
      </c>
      <c r="G37" s="86">
        <f t="shared" si="14"/>
        <v>9797097.20364332</v>
      </c>
      <c r="H37" s="86">
        <f t="shared" si="14"/>
        <v>8746822.96721701</v>
      </c>
      <c r="I37" s="86">
        <f t="shared" si="14"/>
        <v>4912801.7229974</v>
      </c>
      <c r="J37" s="86">
        <f t="shared" si="14"/>
        <v>8629549.865097</v>
      </c>
      <c r="K37" s="86">
        <f t="shared" si="14"/>
        <v>5128807.85392751</v>
      </c>
      <c r="L37" s="86">
        <f t="shared" si="14"/>
        <v>10396130.7919437</v>
      </c>
      <c r="M37" s="86">
        <f t="shared" si="14"/>
        <v>8977635.30427918</v>
      </c>
      <c r="N37" s="86">
        <f t="shared" si="14"/>
        <v>6666059.04176329</v>
      </c>
      <c r="O37" s="86">
        <f>SUM(C37:N37)</f>
        <v>82824979.0063717</v>
      </c>
      <c r="P37" s="38">
        <f>O37/$O$16</f>
        <v>0.241871855929593</v>
      </c>
      <c r="Q37" s="6"/>
      <c r="R37">
        <f>O16*20.5%</f>
        <v>70198827.5198445</v>
      </c>
      <c r="S37" s="67"/>
      <c r="T37" s="53">
        <f>O37-淘系!O37-淘系达播!O37-抖音!O37-抖音达播!O37-快手!O37-京东POP财经口径!O37-京东自营财经口径!O37-PDD!O37-得物!O37-'视频号+官网+小程序'!O37-唯品会!O37-'线下门店-直营'!O37-'线下门店-经销'!O37-线下渠道!O37</f>
        <v>-2.3283064365387e-10</v>
      </c>
      <c r="U37" s="84"/>
      <c r="V37" s="84"/>
    </row>
    <row r="38" ht="16.8" spans="1:22">
      <c r="A38" s="36"/>
      <c r="B38" s="87" t="s">
        <v>51</v>
      </c>
      <c r="C38" s="87">
        <f>淘系!C38+抖音!C38+PDD!C38+得物!C38+京东自营财经口径!C38+京东POP财经口径!C38+'视频号+官网+小程序'!C38+快手!C38+唯品会!C38+'线下门店-直营'!C38+'线下门店-经销'!C38+线下渠道!C38+淘系达播!C38+抖音达播!C38</f>
        <v>2292019.75051535</v>
      </c>
      <c r="D38" s="87">
        <f>淘系!D38+抖音!D38+PDD!D38+得物!D38+京东自营财经口径!D38+京东POP财经口径!D38+'视频号+官网+小程序'!D38+快手!D38+唯品会!D38+'线下门店-直营'!D38+'线下门店-经销'!D38+线下渠道!D38+淘系达播!D38+抖音达播!D38</f>
        <v>2749177.43198473</v>
      </c>
      <c r="E38" s="87">
        <f>淘系!E38+抖音!E38+PDD!E38+得物!E38+京东自营财经口径!E38+京东POP财经口径!E38+'视频号+官网+小程序'!E38+快手!E38+唯品会!E38+'线下门店-直营'!E38+'线下门店-经销'!E38+线下渠道!E38+淘系达播!E38+抖音达播!E38</f>
        <v>2219902.56234978</v>
      </c>
      <c r="F38" s="87">
        <f>淘系!F38+抖音!F38+PDD!F38+得物!F38+京东自营财经口径!F38+京东POP财经口径!F38+'视频号+官网+小程序'!F38+快手!F38+唯品会!F38+'线下门店-直营'!F38+'线下门店-经销'!F38+线下渠道!F38+淘系达播!F38+抖音达播!F38</f>
        <v>1900621.98868592</v>
      </c>
      <c r="G38" s="87">
        <f>淘系!G38+抖音!G38+PDD!G38+得物!G38+京东自营财经口径!G38+京东POP财经口径!G38+'视频号+官网+小程序'!G38+快手!G38+唯品会!G38+'线下门店-直营'!G38+'线下门店-经销'!G38+线下渠道!G38+淘系达播!G38+抖音达播!G38</f>
        <v>4748153.49034533</v>
      </c>
      <c r="H38" s="87">
        <f>淘系!H38+抖音!H38+PDD!H38+得物!H38+京东自营财经口径!H38+京东POP财经口径!H38+'视频号+官网+小程序'!H38+快手!H38+唯品会!H38+'线下门店-直营'!H38+'线下门店-经销'!H38+线下渠道!H38+淘系达播!H38+抖音达播!H38</f>
        <v>4563874.82963346</v>
      </c>
      <c r="I38" s="87">
        <f>淘系!I38+抖音!I38+PDD!I38+得物!I38+京东自营财经口径!I38+京东POP财经口径!I38+'视频号+官网+小程序'!I38+快手!I38+唯品会!I38+'线下门店-直营'!I38+'线下门店-经销'!I38+线下渠道!I38+淘系达播!I38+抖音达播!I38</f>
        <v>2576178.91809479</v>
      </c>
      <c r="J38" s="87">
        <f>淘系!J38+抖音!J38+PDD!J38+得物!J38+京东自营财经口径!J38+京东POP财经口径!J38+'视频号+官网+小程序'!J38+快手!J38+唯品会!J38+'线下门店-直营'!J38+'线下门店-经销'!J38+线下渠道!J38+淘系达播!J38+抖音达播!J38</f>
        <v>4648298.75713734</v>
      </c>
      <c r="K38" s="87">
        <f>淘系!K38+抖音!K38+PDD!K38+得物!K38+京东自营财经口径!K38+京东POP财经口径!K38+'视频号+官网+小程序'!K38+快手!K38+唯品会!K38+'线下门店-直营'!K38+'线下门店-经销'!K38+线下渠道!K38+淘系达播!K38+抖音达播!K38</f>
        <v>2731039.37716828</v>
      </c>
      <c r="L38" s="87">
        <f>淘系!L38+抖音!L38+PDD!L38+得物!L38+京东自营财经口径!L38+京东POP财经口径!L38+'视频号+官网+小程序'!L38+快手!L38+唯品会!L38+'线下门店-直营'!L38+'线下门店-经销'!L38+线下渠道!L38+淘系达播!L38+抖音达播!L38</f>
        <v>5541694.53167599</v>
      </c>
      <c r="M38" s="87">
        <f>淘系!M38+抖音!M38+PDD!M38+得物!M38+京东自营财经口径!M38+京东POP财经口径!M38+'视频号+官网+小程序'!M38+快手!M38+唯品会!M38+'线下门店-直营'!M38+'线下门店-经销'!M38+线下渠道!M38+淘系达播!M38+抖音达播!M38</f>
        <v>4773752.36634482</v>
      </c>
      <c r="N38" s="87">
        <f>淘系!N38+抖音!N38+PDD!N38+得物!N38+京东自营财经口径!N38+京东POP财经口径!N38+'视频号+官网+小程序'!N38+快手!N38+唯品会!N38+'线下门店-直营'!N38+'线下门店-经销'!N38+线下渠道!N38+淘系达播!N38+抖音达播!N38</f>
        <v>3186379.58890018</v>
      </c>
      <c r="O38" s="87">
        <f>SUM(C38:N38)</f>
        <v>41931093.592836</v>
      </c>
      <c r="P38" s="42">
        <f>O38/$O$16</f>
        <v>0.122450395401567</v>
      </c>
      <c r="Q38" s="6" t="s">
        <v>91</v>
      </c>
      <c r="S38" s="67"/>
      <c r="T38" s="53">
        <f>O38-淘系!O38-淘系达播!O38-抖音!O38-抖音达播!O38-快手!O38-京东POP财经口径!O38-京东自营财经口径!O38-PDD!O38-得物!O38-'视频号+官网+小程序'!O38-唯品会!O38-'线下门店-直营'!O38-'线下门店-经销'!O38-线下渠道!O38</f>
        <v>-1.32713466882706e-8</v>
      </c>
      <c r="U38" s="84"/>
      <c r="V38" s="84"/>
    </row>
    <row r="39" ht="16.8" spans="1:22">
      <c r="A39" s="36"/>
      <c r="B39" s="87" t="s">
        <v>53</v>
      </c>
      <c r="C39" s="87">
        <f>淘系!C39+抖音!C39+PDD!C39+得物!C39+京东自营财经口径!C39+京东POP财经口径!C39+'视频号+官网+小程序'!C39+快手!C39+唯品会!C39+'线下门店-直营'!C39+'线下门店-经销'!C39+线下渠道!C39+淘系达播!C39+抖音达播!C39</f>
        <v>2298503.00864808</v>
      </c>
      <c r="D39" s="87">
        <f>淘系!D39+抖音!D39+PDD!D39+得物!D39+京东自营财经口径!D39+京东POP财经口径!D39+'视频号+官网+小程序'!D39+快手!D39+唯品会!D39+'线下门店-直营'!D39+'线下门店-经销'!D39+线下渠道!D39+淘系达播!D39+抖音达播!D39</f>
        <v>2468200.77653974</v>
      </c>
      <c r="E39" s="87">
        <f>淘系!E39+抖音!E39+PDD!E39+得物!E39+京东自营财经口径!E39+京东POP财经口径!E39+'视频号+官网+小程序'!E39+快手!E39+唯品会!E39+'线下门店-直营'!E39+'线下门店-经销'!E39+线下渠道!E39+淘系达播!E39+抖音达播!E39</f>
        <v>1582066.5670413</v>
      </c>
      <c r="F39" s="87">
        <f>淘系!F39+抖音!F39+PDD!F39+得物!F39+京东自营财经口径!F39+京东POP财经口径!F39+'视频号+官网+小程序'!F39+快手!F39+唯品会!F39+'线下门店-直营'!F39+'线下门店-经销'!F39+线下渠道!F39+淘系达播!F39+抖音达播!F39</f>
        <v>1336204.87081191</v>
      </c>
      <c r="G39" s="87">
        <f>淘系!G39+抖音!G39+PDD!G39+得物!G39+京东自营财经口径!G39+京东POP财经口径!G39+'视频号+官网+小程序'!G39+快手!G39+唯品会!G39+'线下门店-直营'!G39+'线下门店-经销'!G39+线下渠道!G39+淘系达播!G39+抖音达播!G39</f>
        <v>3070752.37989253</v>
      </c>
      <c r="H39" s="87">
        <f>淘系!H39+抖音!H39+PDD!H39+得物!H39+京东自营财经口径!H39+京东POP财经口径!H39+'视频号+官网+小程序'!H39+快手!H39+唯品会!H39+'线下门店-直营'!H39+'线下门店-经销'!H39+线下渠道!H39+淘系达播!H39+抖音达播!H39</f>
        <v>2791593.07262957</v>
      </c>
      <c r="I39" s="87">
        <f>淘系!I39+抖音!I39+PDD!I39+得物!I39+京东自营财经口径!I39+京东POP财经口径!I39+'视频号+官网+小程序'!I39+快手!I39+唯品会!I39+'线下门店-直营'!I39+'线下门店-经销'!I39+线下渠道!I39+淘系达播!I39+抖音达播!I39</f>
        <v>1603445.84497429</v>
      </c>
      <c r="J39" s="87">
        <f>淘系!J39+抖音!J39+PDD!J39+得物!J39+京东自营财经口径!J39+京东POP财经口径!J39+'视频号+官网+小程序'!J39+快手!J39+唯品会!J39+'线下门店-直营'!J39+'线下门店-经销'!J39+线下渠道!J39+淘系达播!J39+抖音达播!J39</f>
        <v>2583206.54748962</v>
      </c>
      <c r="K39" s="87">
        <f>淘系!K39+抖音!K39+PDD!K39+得物!K39+京东自营财经口径!K39+京东POP财经口径!K39+'视频号+官网+小程序'!K39+快手!K39+唯品会!K39+'线下门店-直营'!K39+'线下门店-经销'!K39+线下渠道!K39+淘系达播!K39+抖音达播!K39</f>
        <v>1594158.1573787</v>
      </c>
      <c r="L39" s="87">
        <f>淘系!L39+抖音!L39+PDD!L39+得物!L39+京东自营财经口径!L39+京东POP财经口径!L39+'视频号+官网+小程序'!L39+快手!L39+唯品会!L39+'线下门店-直营'!L39+'线下门店-经销'!L39+线下渠道!L39+淘系达播!L39+抖音达播!L39</f>
        <v>3070752.37989253</v>
      </c>
      <c r="M39" s="87">
        <f>淘系!M39+抖音!M39+PDD!M39+得物!M39+京东自营财经口径!M39+京东POP财经口径!M39+'视频号+官网+小程序'!M39+快手!M39+唯品会!M39+'线下门店-直营'!M39+'线下门店-经销'!M39+线下渠道!M39+淘系达播!M39+抖音达播!M39</f>
        <v>2780534.82542285</v>
      </c>
      <c r="N39" s="87">
        <f>淘系!N39+抖音!N39+PDD!N39+得物!N39+京东自营财经口径!N39+京东POP财经口径!N39+'视频号+官网+小程序'!N39+快手!N39+唯品会!N39+'线下门店-直营'!N39+'线下门店-经销'!N39+线下渠道!N39+淘系达播!N39+抖音达播!N39</f>
        <v>2571042.47556223</v>
      </c>
      <c r="O39" s="87">
        <f>SUM(C39:N39)</f>
        <v>27750460.9062833</v>
      </c>
      <c r="P39" s="42">
        <f>O39/$O$16</f>
        <v>0.0810390242512228</v>
      </c>
      <c r="Q39" s="6" t="s">
        <v>91</v>
      </c>
      <c r="S39" s="67"/>
      <c r="T39" s="53">
        <f>O39-淘系!O39-淘系达播!O39-抖音!O39-抖音达播!O39-快手!O39-京东POP财经口径!O39-京东自营财经口径!O39-PDD!O39-得物!O39-'视频号+官网+小程序'!O39-唯品会!O39-'线下门店-直营'!O39-'线下门店-经销'!O39-线下渠道!O39</f>
        <v>0</v>
      </c>
      <c r="U39" s="84"/>
      <c r="V39" s="84"/>
    </row>
    <row r="40" ht="16.8" collapsed="1" spans="1:22">
      <c r="A40" s="36"/>
      <c r="B40" s="87" t="s">
        <v>55</v>
      </c>
      <c r="C40" s="87">
        <f>淘系!C40+抖音!C40+PDD!C40+得物!C40+京东自营财经口径!C40+京东POP财经口径!C40+'视频号+官网+小程序'!C40+快手!C40+唯品会!C40+'线下门店-直营'!C40+'线下门店-经销'!C40+线下渠道!C40+淘系达播!C40+抖音达播!C40</f>
        <v>698638.301198982</v>
      </c>
      <c r="D40" s="87">
        <f>淘系!D40+抖音!D40+PDD!D40+得物!D40+京东自营财经口径!D40+京东POP财经口径!D40+'视频号+官网+小程序'!D40+快手!D40+唯品会!D40+'线下门店-直营'!D40+'线下门店-经销'!D40+线下渠道!D40+淘系达播!D40+抖音达播!D40</f>
        <v>794417.053725664</v>
      </c>
      <c r="E40" s="87">
        <f>淘系!E40+抖音!E40+PDD!E40+得物!E40+京东自营财经口径!E40+京东POP财经口径!E40+'视频号+官网+小程序'!E40+快手!E40+唯品会!E40+'线下门店-直营'!E40+'线下门店-经销'!E40+线下渠道!E40+淘系达播!E40+抖音达播!E40</f>
        <v>667442.569460177</v>
      </c>
      <c r="F40" s="87">
        <f>淘系!F40+抖音!F40+PDD!F40+得物!F40+京东自营财经口径!F40+京东POP财经口径!F40+'视频号+官网+小程序'!F40+快手!F40+唯品会!F40+'线下门店-直营'!F40+'线下门店-经销'!F40+线下渠道!F40+淘系达播!F40+抖音达播!F40</f>
        <v>562879.374541593</v>
      </c>
      <c r="G40" s="87">
        <f>淘系!G40+抖音!G40+PDD!G40+得物!G40+京东自营财经口径!G40+京东POP财经口径!G40+'视频号+官网+小程序'!G40+快手!G40+唯品会!G40+'线下门店-直营'!G40+'线下门店-经销'!G40+线下渠道!G40+淘系达播!G40+抖音达播!G40</f>
        <v>1978191.33340547</v>
      </c>
      <c r="H40" s="87">
        <f>淘系!H40+抖音!H40+PDD!H40+得物!H40+京东自营财经口径!H40+京东POP财经口径!H40+'视频号+官网+小程序'!H40+快手!H40+唯品会!H40+'线下门店-直营'!H40+'线下门店-经销'!H40+线下渠道!H40+淘系达播!H40+抖音达播!H40</f>
        <v>1391355.06495398</v>
      </c>
      <c r="I40" s="87">
        <f>淘系!I40+抖音!I40+PDD!I40+得物!I40+京东自营财经口径!I40+京东POP财经口径!I40+'视频号+官网+小程序'!I40+快手!I40+唯品会!I40+'线下门店-直营'!I40+'线下门店-经销'!I40+线下渠道!I40+淘系达播!I40+抖音达播!I40</f>
        <v>733176.959928319</v>
      </c>
      <c r="J40" s="87">
        <f>淘系!J40+抖音!J40+PDD!J40+得物!J40+京东自营财经口径!J40+京东POP财经口径!J40+'视频号+官网+小程序'!J40+快手!J40+唯品会!J40+'线下门店-直营'!J40+'线下门店-经销'!J40+线下渠道!J40+淘系达播!J40+抖音达播!J40</f>
        <v>1398044.56047005</v>
      </c>
      <c r="K40" s="87">
        <f>淘系!K40+抖音!K40+PDD!K40+得物!K40+京东自营财经口径!K40+京东POP财经口径!K40+'视频号+官网+小程序'!K40+快手!K40+唯品会!K40+'线下门店-直营'!K40+'线下门店-经销'!K40+线下渠道!K40+淘系达播!K40+抖音达播!K40</f>
        <v>803610.319380531</v>
      </c>
      <c r="L40" s="87">
        <f>淘系!L40+抖音!L40+PDD!L40+得物!L40+京东自营财经口径!L40+京东POP财经口径!L40+'视频号+官网+小程序'!L40+快手!L40+唯品会!L40+'线下门店-直营'!L40+'线下门店-经销'!L40+线下渠道!L40+淘系达播!L40+抖音达播!L40</f>
        <v>1783683.88037522</v>
      </c>
      <c r="M40" s="87">
        <f>淘系!M40+抖音!M40+PDD!M40+得物!M40+京东自营财经口径!M40+京东POP财经口径!M40+'视频号+官网+小程序'!M40+快手!M40+唯品会!M40+'线下门店-直营'!M40+'线下门店-经销'!M40+线下渠道!M40+淘系达播!M40+抖音达播!M40</f>
        <v>1423348.1125115</v>
      </c>
      <c r="N40" s="87">
        <f>淘系!N40+抖音!N40+PDD!N40+得物!N40+京东自营财经口径!N40+京东POP财经口径!N40+'视频号+官网+小程序'!N40+快手!N40+唯品会!N40+'线下门店-直营'!N40+'线下门店-经销'!N40+线下渠道!N40+淘系达播!N40+抖音达播!N40</f>
        <v>908636.977300885</v>
      </c>
      <c r="O40" s="87">
        <f>SUM(C40:N40)</f>
        <v>13143424.5072524</v>
      </c>
      <c r="P40" s="42">
        <f>O40/$O$16</f>
        <v>0.0383824362768033</v>
      </c>
      <c r="Q40" s="6" t="s">
        <v>91</v>
      </c>
      <c r="T40" s="53">
        <f>O40-淘系!O40-淘系达播!O40-抖音!O40-抖音达播!O40-快手!O40-京东POP财经口径!O40-京东自营财经口径!O40-PDD!O40-得物!O40-'视频号+官网+小程序'!O40-唯品会!O40-'线下门店-直营'!O40-'线下门店-经销'!O40-线下渠道!O40</f>
        <v>0</v>
      </c>
      <c r="U40" s="84"/>
      <c r="V40" s="84"/>
    </row>
    <row r="41" ht="16.8" hidden="1" outlineLevel="1" spans="1:22">
      <c r="A41" s="36"/>
      <c r="B41" s="87" t="s">
        <v>57</v>
      </c>
      <c r="C41" s="87">
        <f t="shared" ref="C41:N41" si="15">C38/C$16</f>
        <v>0.0973206851183151</v>
      </c>
      <c r="D41" s="87">
        <f t="shared" si="15"/>
        <v>0.116486778424515</v>
      </c>
      <c r="E41" s="87">
        <f t="shared" si="15"/>
        <v>0.110295449547834</v>
      </c>
      <c r="F41" s="87">
        <f t="shared" si="15"/>
        <v>0.110398564973959</v>
      </c>
      <c r="G41" s="87">
        <f t="shared" si="15"/>
        <v>0.126732681274327</v>
      </c>
      <c r="H41" s="87">
        <f t="shared" si="15"/>
        <v>0.13659260366067</v>
      </c>
      <c r="I41" s="87">
        <f t="shared" si="15"/>
        <v>0.113916880173899</v>
      </c>
      <c r="J41" s="87">
        <f t="shared" si="15"/>
        <v>0.144882083471687</v>
      </c>
      <c r="K41" s="87">
        <f t="shared" si="15"/>
        <v>0.118619499312331</v>
      </c>
      <c r="L41" s="87">
        <f t="shared" si="15"/>
        <v>0.133131882733693</v>
      </c>
      <c r="M41" s="87">
        <f t="shared" si="15"/>
        <v>0.12691014109544</v>
      </c>
      <c r="N41" s="87">
        <f t="shared" si="15"/>
        <v>0.105866731036422</v>
      </c>
      <c r="O41" s="87">
        <f>O38/$O$16</f>
        <v>0.122450395401567</v>
      </c>
      <c r="P41" s="42"/>
      <c r="Q41" s="6" t="s">
        <v>91</v>
      </c>
      <c r="T41" s="53">
        <f>O41-淘系!O41-淘系达播!O41-抖音!O41-抖音达播!O41-快手!O41-京东POP财经口径!O41-京东自营财经口径!O41-PDD!O41-得物!O41-'视频号+官网+小程序'!O41-唯品会!O41-'线下门店-直营'!O41-'线下门店-经销'!O41-线下渠道!O41</f>
        <v>-0.976041916960037</v>
      </c>
    </row>
    <row r="42" ht="16.8" hidden="1" outlineLevel="1" spans="1:22">
      <c r="A42" s="36"/>
      <c r="B42" s="87" t="s">
        <v>58</v>
      </c>
      <c r="C42" s="87">
        <f t="shared" ref="C42:N42" si="16">C39/C$16</f>
        <v>0.0975959685765553</v>
      </c>
      <c r="D42" s="87">
        <f t="shared" si="16"/>
        <v>0.10458137536668</v>
      </c>
      <c r="E42" s="87">
        <f t="shared" si="16"/>
        <v>0.0786046857127436</v>
      </c>
      <c r="F42" s="87">
        <f t="shared" si="16"/>
        <v>0.077614118497514</v>
      </c>
      <c r="G42" s="87">
        <f t="shared" si="16"/>
        <v>0.0819612684014134</v>
      </c>
      <c r="H42" s="87">
        <f t="shared" si="16"/>
        <v>0.0835498299987748</v>
      </c>
      <c r="I42" s="87">
        <f t="shared" si="16"/>
        <v>0.0709032850569082</v>
      </c>
      <c r="J42" s="87">
        <f t="shared" si="16"/>
        <v>0.0805155533652677</v>
      </c>
      <c r="K42" s="87">
        <f t="shared" si="16"/>
        <v>0.0692403939810632</v>
      </c>
      <c r="L42" s="87">
        <f t="shared" si="16"/>
        <v>0.0737707651346172</v>
      </c>
      <c r="M42" s="87">
        <f t="shared" si="16"/>
        <v>0.0739204801453475</v>
      </c>
      <c r="N42" s="87">
        <f t="shared" si="16"/>
        <v>0.0854222965750014</v>
      </c>
      <c r="O42" s="87">
        <f>O39/$O$16</f>
        <v>0.0810390242512228</v>
      </c>
      <c r="P42" s="42"/>
      <c r="Q42" s="6" t="s">
        <v>91</v>
      </c>
      <c r="T42" s="53">
        <f>O42-淘系!O42-淘系达播!O42-抖音!O42-抖音达播!O42-快手!O42-京东POP财经口径!O42-京东自营财经口径!O42-PDD!O42-得物!O42-'视频号+官网+小程序'!O42-唯品会!O42-'线下门店-直营'!O42-'线下门店-经销'!O42-线下渠道!O42</f>
        <v>-0.283666858101718</v>
      </c>
    </row>
    <row r="43" ht="16.8" hidden="1" outlineLevel="1" spans="1:22">
      <c r="A43" s="36"/>
      <c r="B43" s="87" t="s">
        <v>59</v>
      </c>
      <c r="C43" s="87">
        <f t="shared" ref="C43:N43" si="17">C40/C$16</f>
        <v>0.0296646475700277</v>
      </c>
      <c r="D43" s="87">
        <f t="shared" si="17"/>
        <v>0.0336606441757346</v>
      </c>
      <c r="E43" s="87">
        <f t="shared" si="17"/>
        <v>0.0331617610135324</v>
      </c>
      <c r="F43" s="87">
        <f t="shared" si="17"/>
        <v>0.0326951258970732</v>
      </c>
      <c r="G43" s="87">
        <f t="shared" si="17"/>
        <v>0.0527997867520239</v>
      </c>
      <c r="H43" s="87">
        <f t="shared" si="17"/>
        <v>0.0416419858197094</v>
      </c>
      <c r="I43" s="87">
        <f t="shared" si="17"/>
        <v>0.0324205866695725</v>
      </c>
      <c r="J43" s="87">
        <f t="shared" si="17"/>
        <v>0.0435754281921201</v>
      </c>
      <c r="K43" s="87">
        <f t="shared" si="17"/>
        <v>0.0349038737866822</v>
      </c>
      <c r="L43" s="87">
        <f t="shared" si="17"/>
        <v>0.0428506464654009</v>
      </c>
      <c r="M43" s="87">
        <f t="shared" si="17"/>
        <v>0.0378396900225207</v>
      </c>
      <c r="N43" s="87">
        <f t="shared" si="17"/>
        <v>0.0301892551724708</v>
      </c>
      <c r="O43" s="87">
        <f>O40/$O$16</f>
        <v>0.0383824362768033</v>
      </c>
      <c r="P43" s="42"/>
      <c r="Q43" s="6" t="s">
        <v>91</v>
      </c>
      <c r="T43" s="53">
        <f>O43-淘系!O43-淘系达播!O43-抖音!O43-抖音达播!O43-快手!O43-京东POP财经口径!O43-京东自营财经口径!O43-PDD!O43-得物!O43-'视频号+官网+小程序'!O43-唯品会!O43-'线下门店-直营'!O43-'线下门店-经销'!O43-线下渠道!O43</f>
        <v>-0.0846516267061368</v>
      </c>
    </row>
    <row r="44" ht="16.8" spans="1:22">
      <c r="A44" s="6"/>
      <c r="B44" s="86" t="s">
        <v>60</v>
      </c>
      <c r="C44" s="86">
        <f t="shared" ref="C44:N44" si="18">SUM(C45:C46)</f>
        <v>873457.067637389</v>
      </c>
      <c r="D44" s="86">
        <f t="shared" si="18"/>
        <v>891315.704904132</v>
      </c>
      <c r="E44" s="86">
        <f t="shared" si="18"/>
        <v>784090.163295593</v>
      </c>
      <c r="F44" s="86">
        <f t="shared" si="18"/>
        <v>610146.643503439</v>
      </c>
      <c r="G44" s="86">
        <f t="shared" si="18"/>
        <v>1521937.33443377</v>
      </c>
      <c r="H44" s="86">
        <f t="shared" si="18"/>
        <v>1188479.91072996</v>
      </c>
      <c r="I44" s="86">
        <f t="shared" si="18"/>
        <v>779366.809232135</v>
      </c>
      <c r="J44" s="86">
        <f t="shared" si="18"/>
        <v>1264018.59042331</v>
      </c>
      <c r="K44" s="86">
        <f t="shared" si="18"/>
        <v>822841.275072908</v>
      </c>
      <c r="L44" s="86">
        <f t="shared" si="18"/>
        <v>2071368.97492832</v>
      </c>
      <c r="M44" s="86">
        <f t="shared" si="18"/>
        <v>1291114.684877</v>
      </c>
      <c r="N44" s="86">
        <f t="shared" si="18"/>
        <v>1089471.61056944</v>
      </c>
      <c r="O44" s="86">
        <f t="shared" ref="O44:O60" si="19">SUM(C44:N44)</f>
        <v>13187608.7696074</v>
      </c>
      <c r="P44" s="38">
        <f t="shared" ref="P44:P60" si="20">O44/$O$16</f>
        <v>0.0385114665484302</v>
      </c>
      <c r="Q44" s="6"/>
      <c r="T44" s="53">
        <f>O44-淘系!O44-淘系达播!O44-抖音!O44-抖音达播!O44-快手!O44-京东POP财经口径!O44-京东自营财经口径!O44-PDD!O44-得物!O44-'视频号+官网+小程序'!O44-唯品会!O44-'线下门店-直营'!O44-'线下门店-经销'!O44-线下渠道!O44</f>
        <v>-1.28056854009628e-9</v>
      </c>
    </row>
    <row r="45" ht="16.8" spans="1:22">
      <c r="A45" s="36"/>
      <c r="B45" s="87" t="s">
        <v>61</v>
      </c>
      <c r="C45" s="87">
        <f>淘系!C45+抖音!C45+PDD!C45+得物!C45+京东自营财经口径!C45+京东POP财经口径!C45+'视频号+官网+小程序'!C45+快手!C45+唯品会!C45+'线下门店-直营'!C45+'线下门店-经销'!C45+线下渠道!C45+淘系达播!C45+抖音达播!C45</f>
        <v>162529.488822359</v>
      </c>
      <c r="D45" s="87">
        <f>淘系!D45+抖音!D45+PDD!D45+得物!D45+京东自营财经口径!D45+京东POP财经口径!D45+'视频号+官网+小程序'!D45+快手!D45+唯品会!D45+'线下门店-直营'!D45+'线下门店-经销'!D45+线下渠道!D45+淘系达播!D45+抖音达播!D45</f>
        <v>155166.98701243</v>
      </c>
      <c r="E45" s="87">
        <f>淘系!E45+抖音!E45+PDD!E45+得物!E45+京东自营财经口径!E45+京东POP财经口径!E45+'视频号+官网+小程序'!E45+快手!E45+唯品会!E45+'线下门店-直营'!E45+'线下门店-经销'!E45+线下渠道!E45+淘系达播!E45+抖音达播!E45</f>
        <v>194579.218911321</v>
      </c>
      <c r="F45" s="87">
        <f>淘系!F45+抖音!F45+PDD!F45+得物!F45+京东自营财经口径!F45+京东POP财经口径!F45+'视频号+官网+小程序'!F45+快手!F45+唯品会!F45+'线下门店-直营'!F45+'线下门店-经销'!F45+线下渠道!F45+淘系达播!F45+抖音达播!F45</f>
        <v>106561.309839184</v>
      </c>
      <c r="G45" s="87">
        <f>淘系!G45+抖音!G45+PDD!G45+得物!G45+京东自营财经口径!G45+京东POP财经口径!G45+'视频号+官网+小程序'!G45+快手!G45+唯品会!G45+'线下门店-直营'!G45+'线下门店-经销'!G45+线下渠道!G45+淘系达播!G45+抖音达播!G45</f>
        <v>442337.329917363</v>
      </c>
      <c r="H45" s="87">
        <f>淘系!H45+抖音!H45+PDD!H45+得物!H45+京东自营财经口径!H45+京东POP财经口径!H45+'视频号+官网+小程序'!H45+快手!H45+唯品会!H45+'线下门店-直营'!H45+'线下门店-经销'!H45+线下渠道!H45+淘系达播!H45+抖音达播!H45</f>
        <v>242039.409556093</v>
      </c>
      <c r="I45" s="87">
        <f>淘系!I45+抖音!I45+PDD!I45+得物!I45+京东自营财经口径!I45+京东POP财经口径!I45+'视频号+官网+小程序'!I45+快手!I45+唯品会!I45+'线下门店-直营'!I45+'线下门店-经销'!I45+线下渠道!I45+淘系达播!I45+抖音达播!I45</f>
        <v>126179.026245701</v>
      </c>
      <c r="J45" s="87">
        <f>淘系!J45+抖音!J45+PDD!J45+得物!J45+京东自营财经口径!J45+京东POP财经口径!J45+'视频号+官网+小程序'!J45+快手!J45+唯品会!J45+'线下门店-直营'!J45+'线下门店-经销'!J45+线下渠道!J45+淘系达播!J45+抖音达播!J45</f>
        <v>326056.341315885</v>
      </c>
      <c r="K45" s="87">
        <f>淘系!K45+抖音!K45+PDD!K45+得物!K45+京东自营财经口径!K45+京东POP财经口径!K45+'视频号+官网+小程序'!K45+快手!K45+唯品会!K45+'线下门店-直营'!K45+'线下门店-经销'!K45+线下渠道!K45+淘系达播!K45+抖音达播!K45</f>
        <v>160579.676976833</v>
      </c>
      <c r="L45" s="87">
        <f>淘系!L45+抖音!L45+PDD!L45+得物!L45+京东自营财经口径!L45+京东POP财经口径!L45+'视频号+官网+小程序'!L45+快手!L45+唯品会!L45+'线下门店-直营'!L45+'线下门店-经销'!L45+线下渠道!L45+淘系达播!L45+抖音达播!L45</f>
        <v>861365.922370193</v>
      </c>
      <c r="M45" s="87">
        <f>淘系!M45+抖音!M45+PDD!M45+得物!M45+京东自营财经口径!M45+京东POP财经口径!M45+'视频号+官网+小程序'!M45+快手!M45+唯品会!M45+'线下门店-直营'!M45+'线下门店-经销'!M45+线下渠道!M45+淘系达播!M45+抖音达播!M45</f>
        <v>219019.155230439</v>
      </c>
      <c r="N45" s="87">
        <f>淘系!N45+抖音!N45+PDD!N45+得物!N45+京东自营财经口径!N45+京东POP财经口径!N45+'视频号+官网+小程序'!N45+快手!N45+唯品会!N45+'线下门店-直营'!N45+'线下门店-经销'!N45+线下渠道!N45+淘系达播!N45+抖音达播!N45</f>
        <v>174825.025677513</v>
      </c>
      <c r="O45" s="87">
        <f t="shared" si="19"/>
        <v>3171238.89187531</v>
      </c>
      <c r="P45" s="42">
        <f t="shared" si="20"/>
        <v>0.00926089502920346</v>
      </c>
      <c r="Q45" s="6" t="s">
        <v>92</v>
      </c>
      <c r="T45" s="53">
        <f>O45-淘系!O45-淘系达播!O45-抖音!O45-抖音达播!O45-快手!O45-京东POP财经口径!O45-京东自营财经口径!O45-PDD!O45-得物!O45-'视频号+官网+小程序'!O45-唯品会!O45-'线下门店-直营'!O45-'线下门店-经销'!O45-线下渠道!O45</f>
        <v>-5.38420863449574e-10</v>
      </c>
    </row>
    <row r="46" ht="16.8" spans="1:22">
      <c r="A46" s="36"/>
      <c r="B46" s="87" t="s">
        <v>63</v>
      </c>
      <c r="C46" s="87">
        <f>淘系!C46+抖音!C46+PDD!C46+得物!C46+京东自营财经口径!C46+京东POP财经口径!C46+'视频号+官网+小程序'!C46+快手!C46+唯品会!C46+'线下门店-直营'!C46+'线下门店-经销'!C46+线下渠道!C46+淘系达播!C46+抖音达播!C46</f>
        <v>710927.57881503</v>
      </c>
      <c r="D46" s="87">
        <f>淘系!D46+抖音!D46+PDD!D46+得物!D46+京东自营财经口径!D46+京东POP财经口径!D46+'视频号+官网+小程序'!D46+快手!D46+唯品会!D46+'线下门店-直营'!D46+'线下门店-经销'!D46+线下渠道!D46+淘系达播!D46+抖音达播!D46</f>
        <v>736148.717891702</v>
      </c>
      <c r="E46" s="87">
        <f>淘系!E46+抖音!E46+PDD!E46+得物!E46+京东自营财经口径!E46+京东POP财经口径!E46+'视频号+官网+小程序'!E46+快手!E46+唯品会!E46+'线下门店-直营'!E46+'线下门店-经销'!E46+线下渠道!E46+淘系达播!E46+抖音达播!E46</f>
        <v>589510.944384271</v>
      </c>
      <c r="F46" s="87">
        <f>淘系!F46+抖音!F46+PDD!F46+得物!F46+京东自营财经口径!F46+京东POP财经口径!F46+'视频号+官网+小程序'!F46+快手!F46+唯品会!F46+'线下门店-直营'!F46+'线下门店-经销'!F46+线下渠道!F46+淘系达播!F46+抖音达播!F46</f>
        <v>503585.333664255</v>
      </c>
      <c r="G46" s="87">
        <f>淘系!G46+抖音!G46+PDD!G46+得物!G46+京东自营财经口径!G46+京东POP财经口径!G46+'视频号+官网+小程序'!G46+快手!G46+唯品会!G46+'线下门店-直营'!G46+'线下门店-经销'!G46+线下渠道!G46+淘系达播!G46+抖音达播!G46</f>
        <v>1079600.00451641</v>
      </c>
      <c r="H46" s="87">
        <f>淘系!H46+抖音!H46+PDD!H46+得物!H46+京东自营财经口径!H46+京东POP财经口径!H46+'视频号+官网+小程序'!H46+快手!H46+唯品会!H46+'线下门店-直营'!H46+'线下门店-经销'!H46+线下渠道!H46+淘系达播!H46+抖音达播!H46</f>
        <v>946440.501173864</v>
      </c>
      <c r="I46" s="87">
        <f>淘系!I46+抖音!I46+PDD!I46+得物!I46+京东自营财经口径!I46+京东POP财经口径!I46+'视频号+官网+小程序'!I46+快手!I46+唯品会!I46+'线下门店-直营'!I46+'线下门店-经销'!I46+线下渠道!I46+淘系达播!I46+抖音达播!I46</f>
        <v>653187.782986435</v>
      </c>
      <c r="J46" s="87">
        <f>淘系!J46+抖音!J46+PDD!J46+得物!J46+京东自营财经口径!J46+京东POP财经口径!J46+'视频号+官网+小程序'!J46+快手!J46+唯品会!J46+'线下门店-直营'!J46+'线下门店-经销'!J46+线下渠道!J46+淘系达播!J46+抖音达播!J46</f>
        <v>937962.249107427</v>
      </c>
      <c r="K46" s="87">
        <f>淘系!K46+抖音!K46+PDD!K46+得物!K46+京东自营财经口径!K46+京东POP财经口径!K46+'视频号+官网+小程序'!K46+快手!K46+唯品会!K46+'线下门店-直营'!K46+'线下门店-经销'!K46+线下渠道!K46+淘系达播!K46+抖音达播!K46</f>
        <v>662261.598096076</v>
      </c>
      <c r="L46" s="87">
        <f>淘系!L46+抖音!L46+PDD!L46+得物!L46+京东自营财经口径!L46+京东POP财经口径!L46+'视频号+官网+小程序'!L46+快手!L46+唯品会!L46+'线下门店-直营'!L46+'线下门店-经销'!L46+线下渠道!L46+淘系达播!L46+抖音达播!L46</f>
        <v>1210003.05255813</v>
      </c>
      <c r="M46" s="87">
        <f>淘系!M46+抖音!M46+PDD!M46+得物!M46+京东自营财经口径!M46+京东POP财经口径!M46+'视频号+官网+小程序'!M46+快手!M46+唯品会!M46+'线下门店-直营'!M46+'线下门店-经销'!M46+线下渠道!M46+淘系达播!M46+抖音达播!M46</f>
        <v>1072095.52964656</v>
      </c>
      <c r="N46" s="87">
        <f>淘系!N46+抖音!N46+PDD!N46+得物!N46+京东自营财经口径!N46+京东POP财经口径!N46+'视频号+官网+小程序'!N46+快手!N46+唯品会!N46+'线下门店-直营'!N46+'线下门店-经销'!N46+线下渠道!N46+淘系达播!N46+抖音达播!N46</f>
        <v>914646.584891926</v>
      </c>
      <c r="O46" s="87">
        <f t="shared" si="19"/>
        <v>10016369.8777321</v>
      </c>
      <c r="P46" s="42">
        <f t="shared" si="20"/>
        <v>0.0292505715192268</v>
      </c>
      <c r="Q46" s="4" t="s">
        <v>83</v>
      </c>
      <c r="T46" s="53">
        <f>O46-淘系!O46-淘系达播!O46-抖音!O46-抖音达播!O46-快手!O46-京东POP财经口径!O46-京东自营财经口径!O46-PDD!O46-得物!O46-'视频号+官网+小程序'!O46-唯品会!O46-'线下门店-直营'!O46-'线下门店-经销'!O46-线下渠道!O46</f>
        <v>-18223.0698760723</v>
      </c>
    </row>
    <row r="47" ht="16.8" spans="1:22">
      <c r="A47" s="6"/>
      <c r="B47" s="86" t="s">
        <v>65</v>
      </c>
      <c r="C47" s="86">
        <f t="shared" ref="C47:N47" si="21">SUM(C48:C51)</f>
        <v>657080.283668148</v>
      </c>
      <c r="D47" s="86">
        <f t="shared" si="21"/>
        <v>636510.42427804</v>
      </c>
      <c r="E47" s="86">
        <f t="shared" si="21"/>
        <v>641266.508697088</v>
      </c>
      <c r="F47" s="86">
        <f t="shared" si="21"/>
        <v>662889.290044293</v>
      </c>
      <c r="G47" s="86">
        <f t="shared" si="21"/>
        <v>717270.269065751</v>
      </c>
      <c r="H47" s="86">
        <f t="shared" si="21"/>
        <v>966198.144021873</v>
      </c>
      <c r="I47" s="86">
        <f t="shared" si="21"/>
        <v>933219.492245947</v>
      </c>
      <c r="J47" s="86">
        <f t="shared" si="21"/>
        <v>963447.111509864</v>
      </c>
      <c r="K47" s="86">
        <f t="shared" si="21"/>
        <v>881708.222221685</v>
      </c>
      <c r="L47" s="86">
        <f t="shared" si="21"/>
        <v>1332901.34315578</v>
      </c>
      <c r="M47" s="86">
        <f t="shared" si="21"/>
        <v>1431607.07564887</v>
      </c>
      <c r="N47" s="86">
        <f t="shared" si="21"/>
        <v>1542325.93216576</v>
      </c>
      <c r="O47" s="86">
        <f t="shared" si="19"/>
        <v>11366424.0967231</v>
      </c>
      <c r="P47" s="38">
        <f t="shared" si="20"/>
        <v>0.0331931033914994</v>
      </c>
      <c r="Q47" s="6"/>
      <c r="T47" s="53">
        <f>O47-淘系!O47-淘系达播!O47-抖音!O47-抖音达播!O47-快手!O47-京东POP财经口径!O47-京东自营财经口径!O47-PDD!O47-得物!O47-'视频号+官网+小程序'!O47-唯品会!O47-'线下门店-直营'!O47-'线下门店-经销'!O47-线下渠道!O47</f>
        <v>0</v>
      </c>
    </row>
    <row r="48" ht="16.8" spans="1:22">
      <c r="A48" s="36"/>
      <c r="B48" s="87" t="s">
        <v>66</v>
      </c>
      <c r="C48" s="87">
        <f>淘系!C48+抖音!C48+PDD!C48+得物!C48+京东自营财经口径!C48+京东POP财经口径!C48+'视频号+官网+小程序'!C48+快手!C48+唯品会!C48+'线下门店-直营'!C48+'线下门店-经销'!C48+线下渠道!C48+淘系达播!C48+抖音达播!C48</f>
        <v>273499.09091418</v>
      </c>
      <c r="D48" s="87">
        <f>淘系!D48+抖音!D48+PDD!D48+得物!D48+京东自营财经口径!D48+京东POP财经口径!D48+'视频号+官网+小程序'!D48+快手!D48+唯品会!D48+'线下门店-直营'!D48+'线下门店-经销'!D48+线下渠道!D48+淘系达播!D48+抖音达播!D48</f>
        <v>282312.630706612</v>
      </c>
      <c r="E48" s="87">
        <f>淘系!E48+抖音!E48+PDD!E48+得物!E48+京东自营财经口径!E48+京东POP财经口径!E48+'视频号+官网+小程序'!E48+快手!E48+唯品会!E48+'线下门店-直营'!E48+'线下门店-经销'!E48+线下渠道!E48+淘系达播!E48+抖音达播!E48</f>
        <v>248013.188268517</v>
      </c>
      <c r="F48" s="87">
        <f>淘系!F48+抖音!F48+PDD!F48+得物!F48+京东自营财经口径!F48+京东POP财经口径!F48+'视频号+官网+小程序'!F48+快手!F48+唯品会!F48+'线下门店-直营'!F48+'线下门店-经销'!F48+线下渠道!F48+淘系达播!F48+抖音达播!F48</f>
        <v>271172.87271096</v>
      </c>
      <c r="G48" s="87">
        <f>淘系!G48+抖音!G48+PDD!G48+得物!G48+京东自营财经口径!G48+京东POP财经口径!G48+'视频号+官网+小程序'!G48+快手!G48+唯品会!G48+'线下门店-直营'!G48+'线下门店-经销'!G48+线下渠道!G48+淘系达播!G48+抖音达播!G48</f>
        <v>411814.033732418</v>
      </c>
      <c r="H48" s="87">
        <f>淘系!H48+抖音!H48+PDD!H48+得物!H48+京东自营财经口径!H48+京东POP财经口径!H48+'视频号+官网+小程序'!H48+快手!H48+唯品会!H48+'线下门店-直营'!H48+'线下门店-经销'!H48+线下渠道!H48+淘系达播!H48+抖音达播!H48</f>
        <v>560242.137021873</v>
      </c>
      <c r="I48" s="87">
        <f>淘系!I48+抖音!I48+PDD!I48+得物!I48+京东自营财经口径!I48+京东POP财经口径!I48+'视频号+官网+小程序'!I48+快手!I48+唯品会!I48+'线下门店-直营'!I48+'线下门店-经销'!I48+线下渠道!I48+淘系达播!I48+抖音达播!I48</f>
        <v>548529.708245947</v>
      </c>
      <c r="J48" s="87">
        <f>淘系!J48+抖音!J48+PDD!J48+得物!J48+京东自营财经口径!J48+京东POP财经口径!J48+'视频号+官网+小程序'!J48+快手!J48+唯品会!J48+'线下门店-直营'!J48+'线下门店-经销'!J48+线下渠道!J48+淘系达播!J48+抖音达播!J48</f>
        <v>616741.814843197</v>
      </c>
      <c r="K48" s="87">
        <f>淘系!K48+抖音!K48+PDD!K48+得物!K48+京东自营财经口径!K48+京东POP财经口径!K48+'视频号+官网+小程序'!K48+快手!K48+唯品会!K48+'线下门店-直营'!K48+'线下门店-经销'!K48+线下渠道!K48+淘系达播!K48+抖音达播!K48</f>
        <v>540262.257221685</v>
      </c>
      <c r="L48" s="87">
        <f>淘系!L48+抖音!L48+PDD!L48+得物!L48+京东自营财经口径!L48+京东POP财经口径!L48+'视频号+官网+小程序'!L48+快手!L48+唯品会!L48+'线下门店-直营'!L48+'线下门店-经销'!L48+线下渠道!L48+淘系达播!L48+抖音达播!L48</f>
        <v>874444.448155779</v>
      </c>
      <c r="M48" s="87">
        <f>淘系!M48+抖音!M48+PDD!M48+得物!M48+京东自营财经口径!M48+京东POP财经口径!M48+'视频号+官网+小程序'!M48+快手!M48+唯品会!M48+'线下门店-直营'!M48+'线下门店-经销'!M48+线下渠道!M48+淘系达播!M48+抖音达播!M48</f>
        <v>942170.295648869</v>
      </c>
      <c r="N48" s="87">
        <f>淘系!N48+抖音!N48+PDD!N48+得物!N48+京东自营财经口径!N48+京东POP财经口径!N48+'视频号+官网+小程序'!N48+快手!N48+唯品会!N48+'线下门店-直营'!N48+'线下门店-经销'!N48+线下渠道!N48+淘系达播!N48+抖音达播!N48</f>
        <v>1012182.70799909</v>
      </c>
      <c r="O48" s="87">
        <f t="shared" si="19"/>
        <v>6581385.18546913</v>
      </c>
      <c r="P48" s="42">
        <f t="shared" si="20"/>
        <v>0.0192194657758318</v>
      </c>
      <c r="Q48" s="4" t="s">
        <v>95</v>
      </c>
      <c r="T48" s="53">
        <f>O48-淘系!O48-淘系达播!O48-抖音!O48-抖音达播!O48-快手!O48-京东POP财经口径!O48-京东自营财经口径!O48-PDD!O48-得物!O48-'视频号+官网+小程序'!O48-唯品会!O48-'线下门店-直营'!O48-'线下门店-经销'!O48-线下渠道!O48</f>
        <v>0</v>
      </c>
    </row>
    <row r="49" ht="16.8" spans="1:22">
      <c r="A49" s="36"/>
      <c r="B49" s="87" t="s">
        <v>67</v>
      </c>
      <c r="C49" s="87">
        <f>淘系!C49+抖音!C49+PDD!C49+得物!C49+京东自营财经口径!C49+京东POP财经口径!C49+'视频号+官网+小程序'!C49+快手!C49+唯品会!C49+'线下门店-直营'!C49+'线下门店-经销'!C49+线下渠道!C49+淘系达播!C49+抖音达播!C49</f>
        <v>151958.471673633</v>
      </c>
      <c r="D49" s="87">
        <f>淘系!D49+抖音!D49+PDD!D49+得物!D49+京东自营财经口径!D49+京东POP财经口径!D49+'视频号+官网+小程序'!D49+快手!D49+唯品会!D49+'线下门店-直营'!D49+'线下门店-经销'!D49+线下渠道!D49+淘系达播!D49+抖音达播!D49</f>
        <v>132683.535</v>
      </c>
      <c r="E49" s="87">
        <f>淘系!E49+抖音!E49+PDD!E49+得物!E49+京东自营财经口径!E49+京东POP财经口径!E49+'视频号+官网+小程序'!E49+快手!E49+唯品会!E49+'线下门店-直营'!E49+'线下门店-经销'!E49+线下渠道!E49+淘系达播!E49+抖音达播!E49</f>
        <v>144087.636</v>
      </c>
      <c r="F49" s="87">
        <f>淘系!F49+抖音!F49+PDD!F49+得物!F49+京东自营财经口径!F49+京东POP财经口径!F49+'视频号+官网+小程序'!F49+快手!F49+唯品会!F49+'线下门店-直营'!F49+'线下门店-经销'!F49+线下渠道!F49+淘系达播!F49+抖音达播!F49</f>
        <v>135605.015</v>
      </c>
      <c r="G49" s="87">
        <f>淘系!G49+抖音!G49+PDD!G49+得物!G49+京东自营财经口径!G49+京东POP财经口径!G49+'视频号+官网+小程序'!G49+快手!G49+唯品会!G49+'线下门店-直营'!G49+'线下门店-经销'!G49+线下渠道!G49+淘系达播!G49+抖音达播!G49</f>
        <v>102872.77</v>
      </c>
      <c r="H49" s="87">
        <f>淘系!H49+抖音!H49+PDD!H49+得物!H49+京东自营财经口径!H49+京东POP财经口径!H49+'视频号+官网+小程序'!H49+快手!H49+唯品会!H49+'线下门店-直营'!H49+'线下门店-经销'!H49+线下渠道!H49+淘系达播!H49+抖音达播!H49</f>
        <v>143943.345</v>
      </c>
      <c r="I49" s="87">
        <f>淘系!I49+抖音!I49+PDD!I49+得物!I49+京东自营财经口径!I49+京东POP财经口径!I49+'视频号+官网+小程序'!I49+快手!I49+唯品会!I49+'线下门店-直营'!I49+'线下门店-经销'!I49+线下渠道!I49+淘系达播!I49+抖音达播!I49</f>
        <v>131789.64</v>
      </c>
      <c r="J49" s="87">
        <f>淘系!J49+抖音!J49+PDD!J49+得物!J49+京东自营财经口径!J49+京东POP财经口径!J49+'视频号+官网+小程序'!J49+快手!J49+唯品会!J49+'线下门店-直营'!J49+'线下门店-经销'!J49+线下渠道!J49+淘系达播!J49+抖音达播!J49</f>
        <v>112127.73</v>
      </c>
      <c r="K49" s="87">
        <f>淘系!K49+抖音!K49+PDD!K49+得物!K49+京东自营财经口径!K49+京东POP财经口径!K49+'视频号+官网+小程序'!K49+快手!K49+唯品会!K49+'线下门店-直营'!K49+'线下门店-经销'!K49+线下渠道!K49+淘系达播!K49+抖音达播!K49</f>
        <v>107031.015</v>
      </c>
      <c r="L49" s="87">
        <f>淘系!L49+抖音!L49+PDD!L49+得物!L49+京东自营财经口径!L49+京东POP财经口径!L49+'视频号+官网+小程序'!L49+快手!L49+唯品会!L49+'线下门店-直营'!L49+'线下门店-经销'!L49+线下渠道!L49+淘系达播!L49+抖音达播!L49</f>
        <v>130051.305</v>
      </c>
      <c r="M49" s="87">
        <f>淘系!M49+抖音!M49+PDD!M49+得物!M49+京东自营财经口径!M49+京东POP财经口径!M49+'视频号+官网+小程序'!M49+快手!M49+唯品会!M49+'线下门店-直营'!M49+'线下门店-经销'!M49+线下渠道!M49+淘系达播!M49+抖音达播!M49</f>
        <v>134868.02</v>
      </c>
      <c r="N49" s="87">
        <f>淘系!N49+抖音!N49+PDD!N49+得物!N49+京东自营财经口径!N49+京东POP财经口径!N49+'视频号+官网+小程序'!N49+快手!N49+唯品会!N49+'线下门店-直营'!N49+'线下门店-经销'!N49+线下渠道!N49+淘系达播!N49+抖音达播!N49</f>
        <v>139684.735</v>
      </c>
      <c r="O49" s="87">
        <f t="shared" si="19"/>
        <v>1566703.21767363</v>
      </c>
      <c r="P49" s="42">
        <f t="shared" si="20"/>
        <v>0.00457520689405107</v>
      </c>
      <c r="Q49" s="4" t="s">
        <v>95</v>
      </c>
      <c r="T49" s="53">
        <f>O49-淘系!O49-淘系达播!O49-抖音!O49-抖音达播!O49-快手!O49-京东POP财经口径!O49-京东自营财经口径!O49-PDD!O49-得物!O49-'视频号+官网+小程序'!O49-唯品会!O49-'线下门店-直营'!O49-'线下门店-经销'!O49-线下渠道!O49</f>
        <v>0</v>
      </c>
    </row>
    <row r="50" ht="16.8" spans="1:22">
      <c r="A50" s="36"/>
      <c r="B50" s="87" t="s">
        <v>68</v>
      </c>
      <c r="C50" s="87">
        <f>淘系!C50+抖音!C50+PDD!C50+得物!C50+京东自营财经口径!C50+京东POP财经口径!C50+'视频号+官网+小程序'!C50+快手!C50+唯品会!C50+'线下门店-直营'!C50+'线下门店-经销'!C50+线下渠道!C50+淘系达播!C50+抖音达播!C50</f>
        <v>112000</v>
      </c>
      <c r="D50" s="87">
        <f>淘系!D50+抖音!D50+PDD!D50+得物!D50+京东自营财经口径!D50+京东POP财经口径!D50+'视频号+官网+小程序'!D50+快手!D50+唯品会!D50+'线下门店-直营'!D50+'线下门店-经销'!D50+线下渠道!D50+淘系达播!D50+抖音达播!D50</f>
        <v>120000</v>
      </c>
      <c r="E50" s="87">
        <f>淘系!E50+抖音!E50+PDD!E50+得物!E50+京东自营财经口径!E50+京东POP财经口径!E50+'视频号+官网+小程序'!E50+快手!E50+唯品会!E50+'线下门店-直营'!E50+'线下门店-经销'!E50+线下渠道!E50+淘系达播!E50+抖音达播!E50</f>
        <v>132000</v>
      </c>
      <c r="F50" s="87">
        <f>淘系!F50+抖音!F50+PDD!F50+得物!F50+京东自营财经口径!F50+京东POP财经口径!F50+'视频号+官网+小程序'!F50+快手!F50+唯品会!F50+'线下门店-直营'!F50+'线下门店-经销'!F50+线下渠道!F50+淘系达播!F50+抖音达播!F50</f>
        <v>145000</v>
      </c>
      <c r="G50" s="87">
        <f>淘系!G50+抖音!G50+PDD!G50+得物!G50+京东自营财经口径!G50+京东POP财经口径!G50+'视频号+官网+小程序'!G50+快手!G50+唯品会!G50+'线下门店-直营'!G50+'线下门店-经销'!G50+线下渠道!G50+淘系达播!G50+抖音达播!G50</f>
        <v>110000</v>
      </c>
      <c r="H50" s="87">
        <f>淘系!H50+抖音!H50+PDD!H50+得物!H50+京东自营财经口径!H50+京东POP财经口径!H50+'视频号+官网+小程序'!H50+快手!H50+唯品会!H50+'线下门店-直营'!H50+'线下门店-经销'!H50+线下渠道!H50+淘系达播!H50+抖音达播!H50</f>
        <v>135000</v>
      </c>
      <c r="I50" s="87">
        <f>淘系!I50+抖音!I50+PDD!I50+得物!I50+京东自营财经口径!I50+京东POP财经口径!I50+'视频号+官网+小程序'!I50+快手!I50+唯品会!I50+'线下门店-直营'!I50+'线下门店-经销'!I50+线下渠道!I50+淘系达播!I50+抖音达播!I50</f>
        <v>120000</v>
      </c>
      <c r="J50" s="87">
        <f>淘系!J50+抖音!J50+PDD!J50+得物!J50+京东自营财经口径!J50+京东POP财经口径!J50+'视频号+官网+小程序'!J50+快手!J50+唯品会!J50+'线下门店-直营'!J50+'线下门店-经销'!J50+线下渠道!J50+淘系达播!J50+抖音达播!J50</f>
        <v>110000</v>
      </c>
      <c r="K50" s="87">
        <f>淘系!K50+抖音!K50+PDD!K50+得物!K50+京东自营财经口径!K50+京东POP财经口径!K50+'视频号+官网+小程序'!K50+快手!K50+唯品会!K50+'线下门店-直营'!K50+'线下门店-经销'!K50+线下渠道!K50+淘系达播!K50+抖音达播!K50</f>
        <v>105000</v>
      </c>
      <c r="L50" s="87">
        <f>淘系!L50+抖音!L50+PDD!L50+得物!L50+京东自营财经口径!L50+京东POP财经口径!L50+'视频号+官网+小程序'!L50+快手!L50+唯品会!L50+'线下门店-直营'!L50+'线下门店-经销'!L50+线下渠道!L50+淘系达播!L50+抖音达播!L50</f>
        <v>135000</v>
      </c>
      <c r="M50" s="87">
        <f>淘系!M50+抖音!M50+PDD!M50+得物!M50+京东自营财经口径!M50+京东POP财经口径!M50+'视频号+官网+小程序'!M50+快手!M50+唯品会!M50+'线下门店-直营'!M50+'线下门店-经销'!M50+线下渠道!M50+淘系达播!M50+抖音达播!M50</f>
        <v>140000</v>
      </c>
      <c r="N50" s="87">
        <f>淘系!N50+抖音!N50+PDD!N50+得物!N50+京东自营财经口径!N50+京东POP财经口径!N50+'视频号+官网+小程序'!N50+快手!N50+唯品会!N50+'线下门店-直营'!N50+'线下门店-经销'!N50+线下渠道!N50+淘系达播!N50+抖音达播!N50</f>
        <v>145000</v>
      </c>
      <c r="O50" s="87">
        <f t="shared" si="19"/>
        <v>1509000</v>
      </c>
      <c r="P50" s="42">
        <f t="shared" si="20"/>
        <v>0.00440669753227077</v>
      </c>
      <c r="Q50" s="4" t="s">
        <v>95</v>
      </c>
      <c r="T50" s="53">
        <f>O50-淘系!O50-淘系达播!O50-抖音!O50-抖音达播!O50-快手!O50-京东POP财经口径!O50-京东自营财经口径!O50-PDD!O50-得物!O50-'视频号+官网+小程序'!O50-唯品会!O50-'线下门店-直营'!O50-'线下门店-经销'!O50-线下渠道!O50</f>
        <v>0</v>
      </c>
    </row>
    <row r="51" ht="16.8" spans="1:22">
      <c r="A51" s="6"/>
      <c r="B51" s="87" t="s">
        <v>69</v>
      </c>
      <c r="C51" s="87">
        <f>淘系!C51+抖音!C51+PDD!C51+得物!C51+京东自营财经口径!C51+京东POP财经口径!C51+'视频号+官网+小程序'!C51+快手!C51+唯品会!C51+'线下门店-直营'!C51+'线下门店-经销'!C51+线下渠道!C51+淘系达播!C51+抖音达播!C51</f>
        <v>119622.721080335</v>
      </c>
      <c r="D51" s="87">
        <f>淘系!D51+抖音!D51+PDD!D51+得物!D51+京东自营财经口径!D51+京东POP财经口径!D51+'视频号+官网+小程序'!D51+快手!D51+唯品会!D51+'线下门店-直营'!D51+'线下门店-经销'!D51+线下渠道!D51+淘系达播!D51+抖音达播!D51</f>
        <v>101514.258571429</v>
      </c>
      <c r="E51" s="87">
        <f>淘系!E51+抖音!E51+PDD!E51+得物!E51+京东自营财经口径!E51+京东POP财经口径!E51+'视频号+官网+小程序'!E51+快手!E51+唯品会!E51+'线下门店-直营'!E51+'线下门店-经销'!E51+线下渠道!E51+淘系达播!E51+抖音达播!E51</f>
        <v>117165.684428571</v>
      </c>
      <c r="F51" s="87">
        <f>淘系!F51+抖音!F51+PDD!F51+得物!F51+京东自营财经口径!F51+京东POP财经口径!F51+'视频号+官网+小程序'!F51+快手!F51+唯品会!F51+'线下门店-直营'!F51+'线下门店-经销'!F51+线下渠道!F51+淘系达播!F51+抖音达播!F51</f>
        <v>111111.402333333</v>
      </c>
      <c r="G51" s="87">
        <f>淘系!G51+抖音!G51+PDD!G51+得物!G51+京东自营财经口径!G51+京东POP财经口径!G51+'视频号+官网+小程序'!G51+快手!G51+唯品会!G51+'线下门店-直营'!G51+'线下门店-经销'!G51+线下渠道!G51+淘系达播!G51+抖音达播!G51</f>
        <v>92583.4653333333</v>
      </c>
      <c r="H51" s="87">
        <f>淘系!H51+抖音!H51+PDD!H51+得物!H51+京东自营财经口径!H51+京东POP财经口径!H51+'视频号+官网+小程序'!H51+快手!H51+唯品会!H51+'线下门店-直营'!H51+'线下门店-经销'!H51+线下渠道!H51+淘系达播!H51+抖音达播!H51</f>
        <v>127012.662</v>
      </c>
      <c r="I51" s="87">
        <f>淘系!I51+抖音!I51+PDD!I51+得物!I51+京东自营财经口径!I51+京东POP财经口径!I51+'视频号+官网+小程序'!I51+快手!I51+唯品会!I51+'线下门店-直营'!I51+'线下门店-经销'!I51+线下渠道!I51+淘系达播!I51+抖音达播!I51</f>
        <v>132900.144</v>
      </c>
      <c r="J51" s="87">
        <f>淘系!J51+抖音!J51+PDD!J51+得物!J51+京东自营财经口径!J51+京东POP财经口径!J51+'视频号+官网+小程序'!J51+快手!J51+唯品会!J51+'线下门店-直营'!J51+'线下门店-经销'!J51+线下渠道!J51+淘系达播!J51+抖音达播!J51</f>
        <v>124577.566666667</v>
      </c>
      <c r="K51" s="87">
        <f>淘系!K51+抖音!K51+PDD!K51+得物!K51+京东自营财经口径!K51+京东POP财经口径!K51+'视频号+官网+小程序'!K51+快手!K51+唯品会!K51+'线下门店-直营'!K51+'线下门店-经销'!K51+线下渠道!K51+淘系达播!K51+抖音达播!K51</f>
        <v>129414.95</v>
      </c>
      <c r="L51" s="87">
        <f>淘系!L51+抖音!L51+PDD!L51+得物!L51+京东自营财经口径!L51+京东POP财经口径!L51+'视频号+官网+小程序'!L51+快手!L51+唯品会!L51+'线下门店-直营'!L51+'线下门店-经销'!L51+线下渠道!L51+淘系达播!L51+抖音达播!L51</f>
        <v>193405.59</v>
      </c>
      <c r="M51" s="87">
        <f>淘系!M51+抖音!M51+PDD!M51+得物!M51+京东自营财经口径!M51+京东POP财经口径!M51+'视频号+官网+小程序'!M51+快手!M51+唯品会!M51+'线下门店-直营'!M51+'线下门店-经销'!M51+线下渠道!M51+淘系达播!M51+抖音达播!M51</f>
        <v>214568.76</v>
      </c>
      <c r="N51" s="87">
        <f>淘系!N51+抖音!N51+PDD!N51+得物!N51+京东自营财经口径!N51+京东POP财经口径!N51+'视频号+官网+小程序'!N51+快手!N51+唯品会!N51+'线下门店-直营'!N51+'线下门店-经销'!N51+线下渠道!N51+淘系达播!N51+抖音达播!N51</f>
        <v>245458.489166667</v>
      </c>
      <c r="O51" s="87">
        <f t="shared" si="19"/>
        <v>1709335.69358034</v>
      </c>
      <c r="P51" s="42">
        <f t="shared" si="20"/>
        <v>0.00499173318934579</v>
      </c>
      <c r="Q51" s="4" t="s">
        <v>95</v>
      </c>
      <c r="T51" s="53">
        <f>O51-淘系!O51-淘系达播!O51-抖音!O51-抖音达播!O51-快手!O51-京东POP财经口径!O51-京东自营财经口径!O51-PDD!O51-得物!O51-'视频号+官网+小程序'!O51-唯品会!O51-'线下门店-直营'!O51-'线下门店-经销'!O51-线下渠道!O51</f>
        <v>0</v>
      </c>
    </row>
    <row r="52" ht="16.8" spans="1:22">
      <c r="A52" s="6"/>
      <c r="B52" s="88" t="s">
        <v>70</v>
      </c>
      <c r="C52" s="88">
        <f t="shared" ref="C52:N52" si="22">SUM(C26,C37,C44,C47)</f>
        <v>7571337.24949872</v>
      </c>
      <c r="D52" s="88">
        <f t="shared" si="22"/>
        <v>9749121.09641897</v>
      </c>
      <c r="E52" s="88">
        <f t="shared" si="22"/>
        <v>9523102.80340748</v>
      </c>
      <c r="F52" s="88">
        <f t="shared" si="22"/>
        <v>7160913.17666042</v>
      </c>
      <c r="G52" s="88">
        <f t="shared" si="22"/>
        <v>20137112.1965326</v>
      </c>
      <c r="H52" s="88">
        <f t="shared" si="22"/>
        <v>15693144.2612826</v>
      </c>
      <c r="I52" s="88">
        <f t="shared" si="22"/>
        <v>7714531.18531449</v>
      </c>
      <c r="J52" s="88">
        <f t="shared" si="22"/>
        <v>12496733.2294811</v>
      </c>
      <c r="K52" s="88">
        <f t="shared" si="22"/>
        <v>8038243.39798641</v>
      </c>
      <c r="L52" s="88">
        <f t="shared" si="22"/>
        <v>18269991.8746447</v>
      </c>
      <c r="M52" s="88">
        <f t="shared" si="22"/>
        <v>13476238.7125192</v>
      </c>
      <c r="N52" s="88">
        <f t="shared" si="22"/>
        <v>10539676.4180236</v>
      </c>
      <c r="O52" s="88">
        <f t="shared" si="19"/>
        <v>140370145.60177</v>
      </c>
      <c r="P52" s="41">
        <f t="shared" si="20"/>
        <v>0.409919664829562</v>
      </c>
      <c r="Q52" s="6"/>
      <c r="T52" s="53">
        <f>O52-淘系!O52-淘系达播!O52-抖音!O52-抖音达播!O52-快手!O52-京东POP财经口径!O52-京东自营财经口径!O52-PDD!O52-得物!O52-'视频号+官网+小程序'!O52-唯品会!O52-'线下门店-直营'!O52-'线下门店-经销'!O52-线下渠道!O52</f>
        <v>-1.02445483207703e-8</v>
      </c>
    </row>
    <row r="53" ht="16.8" spans="1:22">
      <c r="A53" s="36"/>
      <c r="B53" s="87" t="s">
        <v>71</v>
      </c>
      <c r="C53" s="87">
        <f>淘系!C53+抖音!C53+PDD!C53+得物!C53+京东自营财经口径!C53+京东POP财经口径!C53+'视频号+官网+小程序'!C53+快手!C53+唯品会!C53+'线下门店-直营'!C53+'线下门店-经销'!C53+线下渠道!C53+淘系达播!C53+抖音达播!C53</f>
        <v>545556.883595722</v>
      </c>
      <c r="D53" s="87">
        <f>淘系!D53+抖音!D53+PDD!D53+得物!D53+京东自营财经口径!D53+京东POP财经口径!D53+'视频号+官网+小程序'!D53+快手!D53+唯品会!D53+'线下门店-直营'!D53+'线下门店-经销'!D53+线下渠道!D53+淘系达播!D53+抖音达播!D53</f>
        <v>530099.860723887</v>
      </c>
      <c r="E53" s="87">
        <f>淘系!E53+抖音!E53+PDD!E53+得物!E53+京东自营财经口径!E53+京东POP财经口径!E53+'视频号+官网+小程序'!E53+快手!E53+唯品会!E53+'线下门店-直营'!E53+'线下门店-经销'!E53+线下渠道!E53+淘系达播!E53+抖音达播!E53</f>
        <v>459150.755133381</v>
      </c>
      <c r="F53" s="87">
        <f>淘系!F53+抖音!F53+PDD!F53+得物!F53+京东自营财经口径!F53+京东POP财经口径!F53+'视频号+官网+小程序'!F53+快手!F53+唯品会!F53+'线下门店-直营'!F53+'线下门店-经销'!F53+线下渠道!F53+淘系达播!F53+抖音达播!F53</f>
        <v>386682.703462475</v>
      </c>
      <c r="G53" s="87">
        <f>淘系!G53+抖音!G53+PDD!G53+得物!G53+京东自营财经口径!G53+京东POP财经口径!G53+'视频号+官网+小程序'!G53+快手!G53+唯品会!G53+'线下门店-直营'!G53+'线下门店-经销'!G53+线下渠道!G53+淘系达播!G53+抖音达播!G53</f>
        <v>881670.406427612</v>
      </c>
      <c r="H53" s="87">
        <f>淘系!H53+抖音!H53+PDD!H53+得物!H53+京东自营财经口径!H53+京东POP财经口径!H53+'视频号+官网+小程序'!H53+快手!H53+唯品会!H53+'线下门店-直营'!H53+'线下门店-经销'!H53+线下渠道!H53+淘系达播!H53+抖音达播!H53</f>
        <v>775856.216323882</v>
      </c>
      <c r="I53" s="87">
        <f>淘系!I53+抖音!I53+PDD!I53+得物!I53+京东自营财经口径!I53+京东POP财经口径!I53+'视频号+官网+小程序'!I53+快手!I53+唯品会!I53+'线下门店-直营'!I53+'线下门店-经销'!I53+线下渠道!I53+淘系达播!I53+抖音达播!I53</f>
        <v>507479.604761614</v>
      </c>
      <c r="J53" s="87">
        <f>淘系!J53+抖音!J53+PDD!J53+得物!J53+京东自营财经口径!J53+京东POP财经口径!J53+'视频号+官网+小程序'!J53+快手!J53+唯品会!J53+'线下门店-直营'!J53+'线下门店-经销'!J53+线下渠道!J53+淘系达播!J53+抖音达播!J53</f>
        <v>754147.405577996</v>
      </c>
      <c r="K53" s="87">
        <f>淘系!K53+抖音!K53+PDD!K53+得物!K53+京东自营财经口径!K53+京东POP财经口径!K53+'视频号+官网+小程序'!K53+快手!K53+唯品会!K53+'线下门店-直营'!K53+'线下门店-经销'!K53+线下渠道!K53+淘系达播!K53+抖音达播!K53</f>
        <v>523741.738888572</v>
      </c>
      <c r="L53" s="87">
        <f>淘系!L53+抖音!L53+PDD!L53+得物!L53+京东自营财经口径!L53+京东POP财经口径!L53+'视频号+官网+小程序'!L53+快手!L53+唯品会!L53+'线下门店-直营'!L53+'线下门店-经销'!L53+线下渠道!L53+淘系达播!L53+抖音达播!L53</f>
        <v>1006384.89301648</v>
      </c>
      <c r="M53" s="87">
        <f>淘系!M53+抖音!M53+PDD!M53+得物!M53+京东自营财经口径!M53+京东POP财经口径!M53+'视频号+官网+小程序'!M53+快手!M53+唯品会!M53+'线下门店-直营'!M53+'线下门店-经销'!M53+线下渠道!M53+淘系达播!M53+抖音达播!M53</f>
        <v>835439.317305766</v>
      </c>
      <c r="N53" s="87">
        <f>淘系!N53+抖音!N53+PDD!N53+得物!N53+京东自营财经口径!N53+京东POP财经口径!N53+'视频号+官网+小程序'!N53+快手!N53+唯品会!N53+'线下门店-直营'!N53+'线下门店-经销'!N53+线下渠道!N53+淘系达播!N53+抖音达播!N53</f>
        <v>670023.883873157</v>
      </c>
      <c r="O53" s="87">
        <f t="shared" si="19"/>
        <v>7876233.66909055</v>
      </c>
      <c r="P53" s="42">
        <f t="shared" si="20"/>
        <v>0.023000781625692</v>
      </c>
      <c r="Q53" s="6"/>
      <c r="T53" s="53">
        <f>O53-淘系!O53-淘系达播!O53-抖音!O53-抖音达播!O53-快手!O53-京东POP财经口径!O53-京东自营财经口径!O53-PDD!O53-得物!O53-'视频号+官网+小程序'!O53-唯品会!O53-'线下门店-直营'!O53-'线下门店-经销'!O53-线下渠道!O53</f>
        <v>-1.13504938781261e-9</v>
      </c>
    </row>
    <row r="54" ht="16.8" spans="1:22">
      <c r="A54" s="36"/>
      <c r="B54" s="87" t="s">
        <v>73</v>
      </c>
      <c r="C54" s="87">
        <f>淘系!C54+抖音!C54+PDD!C54+得物!C54+京东自营财经口径!C54+京东POP财经口径!C54+'视频号+官网+小程序'!C54+快手!C54+唯品会!C54+'线下门店-直营'!C54+'线下门店-经销'!C54+线下渠道!C54+淘系达播!C54+抖音达播!C54</f>
        <v>361150.604167027</v>
      </c>
      <c r="D54" s="87">
        <f>淘系!D54+抖音!D54+PDD!D54+得物!D54+京东自营财经口径!D54+京东POP财经口径!D54+'视频号+官网+小程序'!D54+快手!D54+唯品会!D54+'线下门店-直营'!D54+'线下门店-经销'!D54+线下渠道!D54+淘系达播!D54+抖音达播!D54</f>
        <v>365217.223106674</v>
      </c>
      <c r="E54" s="87">
        <f>淘系!E54+抖音!E54+PDD!E54+得物!E54+京东自营财经口径!E54+京东POP财经口径!E54+'视频号+官网+小程序'!E54+快手!E54+唯品会!E54+'线下门店-直营'!E54+'线下门店-经销'!E54+线下渠道!E54+淘系达播!E54+抖音达播!E54</f>
        <v>305035.606701191</v>
      </c>
      <c r="F54" s="87">
        <f>淘系!F54+抖音!F54+PDD!F54+得物!F54+京东自营财经口径!F54+京东POP财经口径!F54+'视频号+官网+小程序'!F54+快手!F54+唯品会!F54+'线下门店-直营'!F54+'线下门店-经销'!F54+线下渠道!F54+淘系达播!F54+抖音达播!F54</f>
        <v>260450.248731551</v>
      </c>
      <c r="G54" s="87">
        <f>淘系!G54+抖音!G54+PDD!G54+得物!G54+京东自营财经口径!G54+京东POP财经口径!G54+'视频号+官网+小程序'!G54+快手!G54+唯品会!G54+'线下门店-直营'!G54+'线下门店-经销'!G54+线下渠道!G54+淘系达播!G54+抖音达播!G54</f>
        <v>464064.907345889</v>
      </c>
      <c r="H54" s="87">
        <f>淘系!H54+抖音!H54+PDD!H54+得物!H54+京东自营财经口径!H54+京东POP财经口径!H54+'视频号+官网+小程序'!H54+快手!H54+唯品会!H54+'线下门店-直营'!H54+'线下门店-经销'!H54+线下渠道!H54+淘系达播!H54+抖音达播!H54</f>
        <v>412716.558019607</v>
      </c>
      <c r="I54" s="87">
        <f>淘系!I54+抖音!I54+PDD!I54+得物!I54+京东自营财经口径!I54+京东POP财经口径!I54+'视频号+官网+小程序'!I54+快手!I54+唯品会!I54+'线下门店-直营'!I54+'线下门店-经销'!I54+线下渠道!I54+淘系达播!I54+抖音达播!I54</f>
        <v>339608.742660318</v>
      </c>
      <c r="J54" s="87">
        <f>淘系!J54+抖音!J54+PDD!J54+得物!J54+京东自营财经口径!J54+京东POP财经口径!J54+'视频号+官网+小程序'!J54+快手!J54+唯品会!J54+'线下门店-直营'!J54+'线下门店-经销'!J54+线下渠道!J54+淘系达播!J54+抖音达播!J54</f>
        <v>483451.935125777</v>
      </c>
      <c r="K54" s="87">
        <f>淘系!K54+抖音!K54+PDD!K54+得物!K54+京东自营财经口径!K54+京东POP财经口径!K54+'视频号+官网+小程序'!K54+快手!K54+唯品会!K54+'线下门店-直营'!K54+'线下门店-经销'!K54+线下渠道!K54+淘系达播!K54+抖音达播!K54</f>
        <v>345370.345221676</v>
      </c>
      <c r="L54" s="87">
        <f>淘系!L54+抖音!L54+PDD!L54+得物!L54+京东自营财经口径!L54+京东POP财经口径!L54+'视频号+官网+小程序'!L54+快手!L54+唯品会!L54+'线下门店-直营'!L54+'线下门店-经销'!L54+线下渠道!L54+淘系达播!L54+抖音达播!L54</f>
        <v>522135.488521389</v>
      </c>
      <c r="M54" s="87">
        <f>淘系!M54+抖音!M54+PDD!M54+得物!M54+京东自营财经口径!M54+京东POP财经口径!M54+'视频号+官网+小程序'!M54+快手!M54+唯品会!M54+'线下门店-直营'!M54+'线下门店-经销'!M54+线下渠道!M54+淘系达播!M54+抖音达播!M54</f>
        <v>468604.863672283</v>
      </c>
      <c r="N54" s="87">
        <f>淘系!N54+抖音!N54+PDD!N54+得物!N54+京东自营财经口径!N54+京东POP财经口径!N54+'视频号+官网+小程序'!N54+快手!N54+唯品会!N54+'线下门店-直营'!N54+'线下门店-经销'!N54+线下渠道!N54+淘系达播!N54+抖音达播!N54</f>
        <v>456461.731459567</v>
      </c>
      <c r="O54" s="87">
        <f t="shared" si="19"/>
        <v>4784268.25473295</v>
      </c>
      <c r="P54" s="42">
        <f t="shared" si="20"/>
        <v>0.0139713870853897</v>
      </c>
      <c r="Q54" s="6"/>
      <c r="T54" s="53">
        <f>O54-淘系!O54-淘系达播!O54-抖音!O54-抖音达播!O54-快手!O54-京东POP财经口径!O54-京东自营财经口径!O54-PDD!O54-得物!O54-'视频号+官网+小程序'!O54-唯品会!O54-'线下门店-直营'!O54-'线下门店-经销'!O54-线下渠道!O54</f>
        <v>3.74711817130446e-10</v>
      </c>
    </row>
    <row r="55" ht="16.8" spans="1:22">
      <c r="A55" s="36"/>
      <c r="B55" s="87" t="s">
        <v>75</v>
      </c>
      <c r="C55" s="87">
        <f>淘系!C55+抖音!C55+PDD!C55+得物!C55+京东自营财经口径!C55+京东POP财经口径!C55+'视频号+官网+小程序'!C55+快手!C55+唯品会!C55+'线下门店-直营'!C55+'线下门店-经销'!C55+线下渠道!C55+淘系达播!C55+抖音达播!C55</f>
        <v>2113042</v>
      </c>
      <c r="D55" s="87">
        <f>淘系!D55+抖音!D55+PDD!D55+得物!D55+京东自营财经口径!D55+京东POP财经口径!D55+'视频号+官网+小程序'!D55+快手!D55+唯品会!D55+'线下门店-直营'!D55+'线下门店-经销'!D55+线下渠道!D55+淘系达播!D55+抖音达播!D55</f>
        <v>1381742</v>
      </c>
      <c r="E55" s="87">
        <f>淘系!E55+抖音!E55+PDD!E55+得物!E55+京东自营财经口径!E55+京东POP财经口径!E55+'视频号+官网+小程序'!E55+快手!E55+唯品会!E55+'线下门店-直营'!E55+'线下门店-经销'!E55+线下渠道!E55+淘系达播!E55+抖音达播!E55</f>
        <v>1077748</v>
      </c>
      <c r="F55" s="87">
        <f>淘系!F55+抖音!F55+PDD!F55+得物!F55+京东自营财经口径!F55+京东POP财经口径!F55+'视频号+官网+小程序'!F55+快手!F55+唯品会!F55+'线下门店-直营'!F55+'线下门店-经销'!F55+线下渠道!F55+淘系达播!F55+抖音达播!F55</f>
        <v>1658593</v>
      </c>
      <c r="G55" s="87">
        <f>淘系!G55+抖音!G55+PDD!G55+得物!G55+京东自营财经口径!G55+京东POP财经口径!G55+'视频号+官网+小程序'!G55+快手!G55+唯品会!G55+'线下门店-直营'!G55+'线下门店-经销'!G55+线下渠道!G55+淘系达播!G55+抖音达播!G55</f>
        <v>1424395</v>
      </c>
      <c r="H55" s="87">
        <f>淘系!H55+抖音!H55+PDD!H55+得物!H55+京东自营财经口径!H55+京东POP财经口径!H55+'视频号+官网+小程序'!H55+快手!H55+唯品会!H55+'线下门店-直营'!H55+'线下门店-经销'!H55+线下渠道!H55+淘系达播!H55+抖音达播!H55</f>
        <v>997887</v>
      </c>
      <c r="I55" s="87">
        <f>淘系!I55+抖音!I55+PDD!I55+得物!I55+京东自营财经口径!I55+京东POP财经口径!I55+'视频号+官网+小程序'!I55+快手!I55+唯品会!I55+'线下门店-直营'!I55+'线下门店-经销'!I55+线下渠道!I55+淘系达播!I55+抖音达播!I55</f>
        <v>1390333</v>
      </c>
      <c r="J55" s="87">
        <f>淘系!J55+抖音!J55+PDD!J55+得物!J55+京东自营财经口径!J55+京东POP财经口径!J55+'视频号+官网+小程序'!J55+快手!J55+唯品会!J55+'线下门店-直营'!J55+'线下门店-经销'!J55+线下渠道!J55+淘系达播!J55+抖音达播!J55</f>
        <v>1075635</v>
      </c>
      <c r="K55" s="87">
        <f>淘系!K55+抖音!K55+PDD!K55+得物!K55+京东自营财经口径!K55+京东POP财经口径!K55+'视频号+官网+小程序'!K55+快手!K55+唯品会!K55+'线下门店-直营'!K55+'线下门店-经销'!K55+线下渠道!K55+淘系达播!K55+抖音达播!K55</f>
        <v>1482157</v>
      </c>
      <c r="L55" s="87">
        <f>淘系!L55+抖音!L55+PDD!L55+得物!L55+京东自营财经口径!L55+京东POP财经口径!L55+'视频号+官网+小程序'!L55+快手!L55+唯品会!L55+'线下门店-直营'!L55+'线下门店-经销'!L55+线下渠道!L55+淘系达播!L55+抖音达播!L55</f>
        <v>1169906</v>
      </c>
      <c r="M55" s="87">
        <f>淘系!M55+抖音!M55+PDD!M55+得物!M55+京东自营财经口径!M55+京东POP财经口径!M55+'视频号+官网+小程序'!M55+快手!M55+唯品会!M55+'线下门店-直营'!M55+'线下门店-经销'!M55+线下渠道!M55+淘系达播!M55+抖音达播!M55</f>
        <v>1024701</v>
      </c>
      <c r="N55" s="87">
        <f>淘系!N55+抖音!N55+PDD!N55+得物!N55+京东自营财经口径!N55+京东POP财经口径!N55+'视频号+官网+小程序'!N55+快手!N55+唯品会!N55+'线下门店-直营'!N55+'线下门店-经销'!N55+线下渠道!N55+淘系达播!N55+抖音达播!N55</f>
        <v>999777</v>
      </c>
      <c r="O55" s="87">
        <f t="shared" si="19"/>
        <v>15795916</v>
      </c>
      <c r="P55" s="42">
        <f t="shared" si="20"/>
        <v>0.0461284453659088</v>
      </c>
      <c r="Q55" s="6"/>
      <c r="T55" s="53">
        <f>O55-淘系!O55-淘系达播!O55-抖音!O55-抖音达播!O55-快手!O55-京东POP财经口径!O55-京东自营财经口径!O55-PDD!O55-得物!O55-'视频号+官网+小程序'!O55-唯品会!O55-'线下门店-直营'!O55-'线下门店-经销'!O55-线下渠道!O55</f>
        <v>1066677.05564126</v>
      </c>
    </row>
    <row r="56" ht="16.8" spans="1:22">
      <c r="A56" s="36"/>
      <c r="B56" s="87" t="s">
        <v>77</v>
      </c>
      <c r="C56" s="87">
        <f>淘系!C56+抖音!C56+PDD!C56+得物!C56+京东自营财经口径!C56+京东POP财经口径!C56+'视频号+官网+小程序'!C56+快手!C56+唯品会!C56+'线下门店-直营'!C56+'线下门店-经销'!C56+线下渠道!C56+淘系达播!C56+抖音达播!C56</f>
        <v>46067.115758025</v>
      </c>
      <c r="D56" s="87">
        <f>淘系!D56+抖音!D56+PDD!D56+得物!D56+京东自营财经口径!D56+京东POP财经口径!D56+'视频号+官网+小程序'!D56+快手!D56+唯品会!D56+'线下门店-直营'!D56+'线下门店-经销'!D56+线下渠道!D56+淘系达播!D56+抖音达播!D56</f>
        <v>49007.40507837</v>
      </c>
      <c r="E56" s="87">
        <f>淘系!E56+抖音!E56+PDD!E56+得物!E56+京东自营财经口径!E56+京东POP财经口径!E56+'视频号+官网+小程序'!E56+快手!E56+唯品会!E56+'线下门店-直营'!E56+'线下门店-经销'!E56+线下渠道!E56+淘系达播!E56+抖音达播!E56</f>
        <v>36750.7941300413</v>
      </c>
      <c r="F56" s="87">
        <f>淘系!F56+抖音!F56+PDD!F56+得物!F56+京东自营财经口径!F56+京东POP财经口径!F56+'视频号+官网+小程序'!F56+快手!F56+唯品会!F56+'线下门店-直营'!F56+'线下门店-经销'!F56+线下渠道!F56+淘系达播!F56+抖音达播!F56</f>
        <v>31207.4457662588</v>
      </c>
      <c r="G56" s="87">
        <f>淘系!G56+抖音!G56+PDD!G56+得物!G56+京东自营财经口径!G56+京东POP财经口径!G56+'视频号+官网+小程序'!G56+快手!G56+唯品会!G56+'线下门店-直营'!G56+'线下门店-经销'!G56+线下渠道!G56+淘系达播!G56+抖音达播!G56</f>
        <v>67320.8370693899</v>
      </c>
      <c r="H56" s="87">
        <f>淘系!H56+抖音!H56+PDD!H56+得物!H56+京东自营财经口径!H56+京东POP财经口径!H56+'视频号+官网+小程序'!H56+快手!H56+唯品会!H56+'线下门店-直营'!H56+'线下门店-经销'!H56+线下渠道!H56+淘系达播!H56+抖音达播!H56</f>
        <v>59261.0261833969</v>
      </c>
      <c r="I56" s="87">
        <f>淘系!I56+抖音!I56+PDD!I56+得物!I56+京东自营财经口径!I56+京东POP财经口径!I56+'视频号+官网+小程序'!I56+快手!I56+唯品会!I56+'线下门店-直营'!I56+'线下门店-经销'!I56+线下渠道!I56+淘系达播!I56+抖音达播!I56</f>
        <v>39012.5068722135</v>
      </c>
      <c r="J56" s="87">
        <f>淘系!J56+抖音!J56+PDD!J56+得物!J56+京东自营财经口径!J56+京东POP财经口径!J56+'视频号+官网+小程序'!J56+快手!J56+唯品会!J56+'线下门店-直营'!J56+'线下门店-经销'!J56+线下渠道!J56+淘系达播!J56+抖音达播!J56</f>
        <v>57007.7861784088</v>
      </c>
      <c r="K56" s="87">
        <f>淘系!K56+抖音!K56+PDD!K56+得物!K56+京东自营财经口径!K56+京东POP财经口径!K56+'视频号+官网+小程序'!K56+快手!K56+唯品会!K56+'线下门店-直营'!K56+'线下门店-经销'!K56+线下渠道!K56+淘系达播!K56+抖音达播!K56</f>
        <v>39423.5650956228</v>
      </c>
      <c r="L56" s="87">
        <f>淘系!L56+抖音!L56+PDD!L56+得物!L56+京东自营财经口径!L56+京东POP财经口径!L56+'视频号+官网+小程序'!L56+快手!L56+唯品会!L56+'线下门店-直营'!L56+'线下门店-经销'!L56+线下渠道!L56+淘系达播!L56+抖音达播!L56</f>
        <v>70819.6466223808</v>
      </c>
      <c r="M56" s="87">
        <f>淘系!M56+抖音!M56+PDD!M56+得物!M56+京东自营财经口径!M56+京东POP财经口径!M56+'视频号+官网+小程序'!M56+快手!M56+唯品会!M56+'线下门店-直营'!M56+'线下门店-经销'!M56+线下渠道!M56+淘系达播!M56+抖音达播!M56</f>
        <v>63623.8355598078</v>
      </c>
      <c r="N56" s="87">
        <f>淘系!N56+抖音!N56+PDD!N56+得物!N56+京东自营财经口径!N56+京东POP财经口径!N56+'视频号+官网+小程序'!N56+快手!N56+唯品会!N56+'线下门店-直营'!N56+'线下门店-经销'!N56+线下渠道!N56+淘系达播!N56+抖音达播!N56</f>
        <v>55104.6430494098</v>
      </c>
      <c r="O56" s="87">
        <f t="shared" si="19"/>
        <v>614606.607363325</v>
      </c>
      <c r="P56" s="42">
        <f t="shared" si="20"/>
        <v>0.00179482135187891</v>
      </c>
      <c r="Q56" s="6"/>
      <c r="T56" s="53">
        <f>O56-淘系!O56-淘系达播!O56-抖音!O56-抖音达播!O56-快手!O56-京东POP财经口径!O56-京东自营财经口径!O56-PDD!O56-得物!O56-'视频号+官网+小程序'!O56-唯品会!O56-'线下门店-直营'!O56-'线下门店-经销'!O56-线下渠道!O56</f>
        <v>6.93489710101858e-11</v>
      </c>
    </row>
    <row r="57" ht="16.8" spans="1:22">
      <c r="A57" s="36"/>
      <c r="B57" s="87" t="s">
        <v>79</v>
      </c>
      <c r="C57" s="87">
        <f>淘系!C57+抖音!C57+PDD!C57+得物!C57+京东自营财经口径!C57+京东POP财经口径!C57+'视频号+官网+小程序'!C57+快手!C57+唯品会!C57+'线下门店-直营'!C57+'线下门店-经销'!C57+线下渠道!C57+淘系达播!C57+抖音达播!C57</f>
        <v>250000</v>
      </c>
      <c r="D57" s="87">
        <f>淘系!D57+抖音!D57+PDD!D57+得物!D57+京东自营财经口径!D57+京东POP财经口径!D57+'视频号+官网+小程序'!D57+快手!D57+唯品会!D57+'线下门店-直营'!D57+'线下门店-经销'!D57+线下渠道!D57+淘系达播!D57+抖音达播!D57</f>
        <v>0</v>
      </c>
      <c r="E57" s="87">
        <f>淘系!E57+抖音!E57+PDD!E57+得物!E57+京东自营财经口径!E57+京东POP财经口径!E57+'视频号+官网+小程序'!E57+快手!E57+唯品会!E57+'线下门店-直营'!E57+'线下门店-经销'!E57+线下渠道!E57+淘系达播!E57+抖音达播!E57</f>
        <v>0</v>
      </c>
      <c r="F57" s="87">
        <f>淘系!F57+抖音!F57+PDD!F57+得物!F57+京东自营财经口径!F57+京东POP财经口径!F57+'视频号+官网+小程序'!F57+快手!F57+唯品会!F57+'线下门店-直营'!F57+'线下门店-经销'!F57+线下渠道!F57+淘系达播!F57+抖音达播!F57</f>
        <v>0</v>
      </c>
      <c r="G57" s="87">
        <f>淘系!G57+抖音!G57+PDD!G57+得物!G57+京东自营财经口径!G57+京东POP财经口径!G57+'视频号+官网+小程序'!G57+快手!G57+唯品会!G57+'线下门店-直营'!G57+'线下门店-经销'!G57+线下渠道!G57+淘系达播!G57+抖音达播!G57</f>
        <v>100000</v>
      </c>
      <c r="H57" s="87">
        <f>淘系!H57+抖音!H57+PDD!H57+得物!H57+京东自营财经口径!H57+京东POP财经口径!H57+'视频号+官网+小程序'!H57+快手!H57+唯品会!H57+'线下门店-直营'!H57+'线下门店-经销'!H57+线下渠道!H57+淘系达播!H57+抖音达播!H57</f>
        <v>0</v>
      </c>
      <c r="I57" s="87">
        <f>淘系!I57+抖音!I57+PDD!I57+得物!I57+京东自营财经口径!I57+京东POP财经口径!I57+'视频号+官网+小程序'!I57+快手!I57+唯品会!I57+'线下门店-直营'!I57+'线下门店-经销'!I57+线下渠道!I57+淘系达播!I57+抖音达播!I57</f>
        <v>0</v>
      </c>
      <c r="J57" s="87">
        <f>淘系!J57+抖音!J57+PDD!J57+得物!J57+京东自营财经口径!J57+京东POP财经口径!J57+'视频号+官网+小程序'!J57+快手!J57+唯品会!J57+'线下门店-直营'!J57+'线下门店-经销'!J57+线下渠道!J57+淘系达播!J57+抖音达播!J57</f>
        <v>0</v>
      </c>
      <c r="K57" s="87">
        <f>淘系!K57+抖音!K57+PDD!K57+得物!K57+京东自营财经口径!K57+京东POP财经口径!K57+'视频号+官网+小程序'!K57+快手!K57+唯品会!K57+'线下门店-直营'!K57+'线下门店-经销'!K57+线下渠道!K57+淘系达播!K57+抖音达播!K57</f>
        <v>0</v>
      </c>
      <c r="L57" s="87">
        <f>淘系!L57+抖音!L57+PDD!L57+得物!L57+京东自营财经口径!L57+京东POP财经口径!L57+'视频号+官网+小程序'!L57+快手!L57+唯品会!L57+'线下门店-直营'!L57+'线下门店-经销'!L57+线下渠道!L57+淘系达播!L57+抖音达播!L57</f>
        <v>100000</v>
      </c>
      <c r="M57" s="87">
        <f>淘系!M57+抖音!M57+PDD!M57+得物!M57+京东自营财经口径!M57+京东POP财经口径!M57+'视频号+官网+小程序'!M57+快手!M57+唯品会!M57+'线下门店-直营'!M57+'线下门店-经销'!M57+线下渠道!M57+淘系达播!M57+抖音达播!M57</f>
        <v>0</v>
      </c>
      <c r="N57" s="87">
        <f>淘系!N57+抖音!N57+PDD!N57+得物!N57+京东自营财经口径!N57+京东POP财经口径!N57+'视频号+官网+小程序'!N57+快手!N57+唯品会!N57+'线下门店-直营'!N57+'线下门店-经销'!N57+线下渠道!N57+淘系达播!N57+抖音达播!N57</f>
        <v>300000</v>
      </c>
      <c r="O57" s="87">
        <f t="shared" si="19"/>
        <v>750000</v>
      </c>
      <c r="P57" s="42">
        <f t="shared" si="20"/>
        <v>0.00219020752100933</v>
      </c>
      <c r="Q57" s="71" t="s">
        <v>96</v>
      </c>
      <c r="T57" s="53">
        <f>O57-淘系!O57-淘系达播!O57-抖音!O57-抖音达播!O57-快手!O57-京东POP财经口径!O57-京东自营财经口径!O57-PDD!O57-得物!O57-'视频号+官网+小程序'!O57-唯品会!O57-'线下门店-直营'!O57-'线下门店-经销'!O57-线下渠道!O57</f>
        <v>0</v>
      </c>
    </row>
    <row r="58" ht="16.8" spans="1:22">
      <c r="A58" s="6"/>
      <c r="B58" s="88" t="s">
        <v>80</v>
      </c>
      <c r="C58" s="88">
        <f t="shared" ref="C58:N58" si="23">SUM(C53:C57)</f>
        <v>3315816.60352078</v>
      </c>
      <c r="D58" s="88">
        <f t="shared" si="23"/>
        <v>2326066.48890893</v>
      </c>
      <c r="E58" s="88">
        <f t="shared" si="23"/>
        <v>1878685.15596461</v>
      </c>
      <c r="F58" s="88">
        <f t="shared" si="23"/>
        <v>2336933.39796028</v>
      </c>
      <c r="G58" s="88">
        <f t="shared" si="23"/>
        <v>2937451.15084289</v>
      </c>
      <c r="H58" s="88">
        <f t="shared" si="23"/>
        <v>2245720.80052689</v>
      </c>
      <c r="I58" s="88">
        <f t="shared" si="23"/>
        <v>2276433.85429415</v>
      </c>
      <c r="J58" s="88">
        <f t="shared" si="23"/>
        <v>2370242.12688218</v>
      </c>
      <c r="K58" s="88">
        <f t="shared" si="23"/>
        <v>2390692.64920587</v>
      </c>
      <c r="L58" s="88">
        <f t="shared" si="23"/>
        <v>2869246.02816025</v>
      </c>
      <c r="M58" s="88">
        <f t="shared" si="23"/>
        <v>2392369.01653786</v>
      </c>
      <c r="N58" s="88">
        <f t="shared" si="23"/>
        <v>2481367.25838213</v>
      </c>
      <c r="O58" s="88">
        <f t="shared" si="19"/>
        <v>29821024.5311868</v>
      </c>
      <c r="P58" s="41">
        <f t="shared" si="20"/>
        <v>0.0870856429498787</v>
      </c>
      <c r="Q58" s="6"/>
      <c r="T58" s="53">
        <f>O58-淘系!O58-淘系达播!O58-抖音!O58-抖音达播!O58-快手!O58-京东POP财经口径!O58-京东自营财经口径!O58-PDD!O58-得物!O58-'视频号+官网+小程序'!O58-唯品会!O58-'线下门店-直营'!O58-'线下门店-经销'!O58-线下渠道!O58</f>
        <v>-4.65661287307739e-9</v>
      </c>
    </row>
    <row r="59" ht="16.8" spans="1:22">
      <c r="A59" s="32"/>
      <c r="B59" s="89" t="s">
        <v>81</v>
      </c>
      <c r="C59" s="89">
        <f t="shared" ref="C59:N59" si="24">SUM(C52,C58)</f>
        <v>10887153.8530195</v>
      </c>
      <c r="D59" s="89">
        <f t="shared" si="24"/>
        <v>12075187.5853279</v>
      </c>
      <c r="E59" s="89">
        <f t="shared" si="24"/>
        <v>11401787.9593721</v>
      </c>
      <c r="F59" s="89">
        <f t="shared" si="24"/>
        <v>9497846.5746207</v>
      </c>
      <c r="G59" s="89">
        <f t="shared" si="24"/>
        <v>23074563.3473755</v>
      </c>
      <c r="H59" s="89">
        <f t="shared" si="24"/>
        <v>17938865.0618095</v>
      </c>
      <c r="I59" s="89">
        <f t="shared" si="24"/>
        <v>9990965.03960864</v>
      </c>
      <c r="J59" s="89">
        <f t="shared" si="24"/>
        <v>14866975.3563633</v>
      </c>
      <c r="K59" s="89">
        <f t="shared" si="24"/>
        <v>10428936.0471923</v>
      </c>
      <c r="L59" s="89">
        <f t="shared" si="24"/>
        <v>21139237.902805</v>
      </c>
      <c r="M59" s="89">
        <f t="shared" si="24"/>
        <v>15868607.729057</v>
      </c>
      <c r="N59" s="89">
        <f t="shared" si="24"/>
        <v>13021043.6764058</v>
      </c>
      <c r="O59" s="89">
        <f t="shared" si="19"/>
        <v>170191170.132957</v>
      </c>
      <c r="P59" s="43">
        <f t="shared" si="20"/>
        <v>0.497005307779441</v>
      </c>
      <c r="Q59" s="32"/>
      <c r="R59" s="33"/>
      <c r="S59" s="33"/>
      <c r="T59" s="53">
        <f>O59-淘系!O59-淘系达播!O59-抖音!O59-抖音达播!O59-快手!O59-京东POP财经口径!O59-京东自营财经口径!O59-PDD!O59-得物!O59-'视频号+官网+小程序'!O59-唯品会!O59-'线下门店-直营'!O59-'线下门店-经销'!O59-线下渠道!O59</f>
        <v>0</v>
      </c>
      <c r="U59" s="33"/>
      <c r="V59" s="33"/>
    </row>
    <row r="60" ht="16.8" spans="1:22">
      <c r="A60" s="32"/>
      <c r="B60" s="89" t="s">
        <v>82</v>
      </c>
      <c r="C60" s="89">
        <f t="shared" ref="C60:N60" si="25">C22-C59</f>
        <v>-1444100.51121031</v>
      </c>
      <c r="D60" s="89">
        <f t="shared" si="25"/>
        <v>-2493100.4911375</v>
      </c>
      <c r="E60" s="89">
        <f t="shared" si="25"/>
        <v>-3744299.08767181</v>
      </c>
      <c r="F60" s="89">
        <f t="shared" si="25"/>
        <v>-3059860.74559683</v>
      </c>
      <c r="G60" s="89">
        <f t="shared" si="25"/>
        <v>-6122027.6046341</v>
      </c>
      <c r="H60" s="89">
        <f t="shared" si="25"/>
        <v>-3341486.46640051</v>
      </c>
      <c r="I60" s="89">
        <f t="shared" si="25"/>
        <v>362990.046833392</v>
      </c>
      <c r="J60" s="89">
        <f t="shared" si="25"/>
        <v>378563.662968216</v>
      </c>
      <c r="K60" s="89">
        <f t="shared" si="25"/>
        <v>516353.188533749</v>
      </c>
      <c r="L60" s="89">
        <f t="shared" si="25"/>
        <v>-476093.130991019</v>
      </c>
      <c r="M60" s="89">
        <f t="shared" si="25"/>
        <v>2633649.84364953</v>
      </c>
      <c r="N60" s="89">
        <f t="shared" si="25"/>
        <v>1586159.55611571</v>
      </c>
      <c r="O60" s="89">
        <f t="shared" si="19"/>
        <v>-15203251.7395415</v>
      </c>
      <c r="P60" s="43">
        <f t="shared" si="20"/>
        <v>-0.0443977017383225</v>
      </c>
      <c r="Q60" s="32" t="s">
        <v>97</v>
      </c>
      <c r="R60" s="34"/>
      <c r="S60" s="34"/>
      <c r="T60" s="53">
        <f>O60-淘系!O60-淘系达播!O60-抖音!O60-抖音达播!O60-快手!O60-京东POP财经口径!O60-京东自营财经口径!O60-PDD!O60-得物!O60-'视频号+官网+小程序'!O60-唯品会!O60-'线下门店-直营'!O60-'线下门店-经销'!O60-线下渠道!O60</f>
        <v>-60091363.1919552</v>
      </c>
      <c r="U60" s="34"/>
      <c r="V60" s="34"/>
    </row>
    <row r="61" spans="1:22">
      <c r="A61" s="6"/>
      <c r="B61" s="6"/>
      <c r="C61" s="90">
        <f t="shared" ref="C61:O61" si="26">C60/C16</f>
        <v>-0.0613174694934879</v>
      </c>
      <c r="D61" s="90">
        <f t="shared" si="26"/>
        <v>-0.105636413685938</v>
      </c>
      <c r="E61" s="90">
        <f t="shared" si="26"/>
        <v>-0.186034809869838</v>
      </c>
      <c r="F61" s="90">
        <f t="shared" si="26"/>
        <v>-0.177733519524098</v>
      </c>
      <c r="G61" s="90">
        <f t="shared" si="26"/>
        <v>-0.163402673217773</v>
      </c>
      <c r="H61" s="90">
        <f t="shared" si="26"/>
        <v>-0.100007636839417</v>
      </c>
      <c r="I61" s="90">
        <f t="shared" si="26"/>
        <v>0.0160511730683746</v>
      </c>
      <c r="J61" s="90">
        <f t="shared" si="26"/>
        <v>0.0117993905045997</v>
      </c>
      <c r="K61" s="90">
        <f t="shared" si="26"/>
        <v>0.0224271964748111</v>
      </c>
      <c r="L61" s="90">
        <f t="shared" si="26"/>
        <v>-0.0114375078819518</v>
      </c>
      <c r="M61" s="90">
        <f t="shared" si="26"/>
        <v>0.0700155449222565</v>
      </c>
      <c r="N61" s="90">
        <f t="shared" si="26"/>
        <v>0.0526997874619554</v>
      </c>
      <c r="O61" s="90">
        <f t="shared" si="26"/>
        <v>-0.0443977017383225</v>
      </c>
      <c r="P61" s="6"/>
      <c r="Q61" s="6"/>
      <c r="R61" s="6"/>
      <c r="S61" s="6"/>
      <c r="T61" s="6"/>
    </row>
    <row r="62" spans="1:2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70"/>
      <c r="V62" s="70"/>
    </row>
    <row r="63" ht="16.8" spans="1:22">
      <c r="A63" s="6"/>
      <c r="B63" s="91" t="s">
        <v>98</v>
      </c>
      <c r="C63" s="92">
        <f t="shared" ref="C63:N63" si="27">C64+C65</f>
        <v>4000000</v>
      </c>
      <c r="D63" s="92">
        <f t="shared" si="27"/>
        <v>4000000</v>
      </c>
      <c r="E63" s="92">
        <f t="shared" si="27"/>
        <v>3800000</v>
      </c>
      <c r="F63" s="92">
        <f t="shared" si="27"/>
        <v>3800000</v>
      </c>
      <c r="G63" s="92">
        <f t="shared" si="27"/>
        <v>3800000</v>
      </c>
      <c r="H63" s="92">
        <f t="shared" si="27"/>
        <v>2800000</v>
      </c>
      <c r="I63" s="92">
        <f t="shared" si="27"/>
        <v>2300000</v>
      </c>
      <c r="J63" s="92">
        <f t="shared" si="27"/>
        <v>2300000</v>
      </c>
      <c r="K63" s="92">
        <f t="shared" si="27"/>
        <v>2300000</v>
      </c>
      <c r="L63" s="92">
        <f t="shared" si="27"/>
        <v>2300000</v>
      </c>
      <c r="M63" s="92">
        <f t="shared" si="27"/>
        <v>2300000</v>
      </c>
      <c r="N63" s="92">
        <f t="shared" si="27"/>
        <v>2300000</v>
      </c>
      <c r="O63" s="93">
        <f>SUM(C63:N63)</f>
        <v>36000000</v>
      </c>
      <c r="P63" s="94">
        <f>O63/$O$16</f>
        <v>0.105129961008448</v>
      </c>
      <c r="Q63" s="6"/>
      <c r="R63" s="6"/>
      <c r="S63" s="6"/>
      <c r="T63" s="6"/>
    </row>
    <row r="64" ht="16.8" spans="1:22">
      <c r="A64" s="6"/>
      <c r="B64" s="95" t="s">
        <v>99</v>
      </c>
      <c r="C64" s="96">
        <v>500000</v>
      </c>
      <c r="D64" s="97">
        <v>500000</v>
      </c>
      <c r="E64" s="97">
        <v>500000</v>
      </c>
      <c r="F64" s="97">
        <v>500000</v>
      </c>
      <c r="G64" s="97">
        <v>500000</v>
      </c>
      <c r="H64" s="97">
        <v>500000</v>
      </c>
      <c r="I64" s="97">
        <v>500000</v>
      </c>
      <c r="J64" s="97">
        <v>500000</v>
      </c>
      <c r="K64" s="97">
        <v>500000</v>
      </c>
      <c r="L64" s="97">
        <v>500000</v>
      </c>
      <c r="M64" s="97">
        <v>500000</v>
      </c>
      <c r="N64" s="97">
        <v>500000</v>
      </c>
      <c r="O64" s="98">
        <f>SUM(C64:N64)</f>
        <v>6000000</v>
      </c>
      <c r="P64" s="99">
        <f>O64/$O$16</f>
        <v>0.0175216601680746</v>
      </c>
      <c r="Q64" s="6"/>
      <c r="R64" s="6"/>
      <c r="S64" s="6"/>
      <c r="T64" s="6"/>
    </row>
    <row r="65" ht="16.8" spans="1:20">
      <c r="A65" s="6"/>
      <c r="B65" s="95" t="s">
        <v>100</v>
      </c>
      <c r="C65" s="96">
        <v>3500000</v>
      </c>
      <c r="D65" s="96">
        <v>3500000</v>
      </c>
      <c r="E65" s="96">
        <v>3300000</v>
      </c>
      <c r="F65" s="96">
        <v>3300000</v>
      </c>
      <c r="G65" s="96">
        <v>3300000</v>
      </c>
      <c r="H65" s="96">
        <v>2300000</v>
      </c>
      <c r="I65" s="96">
        <v>1800000</v>
      </c>
      <c r="J65" s="96">
        <v>1800000</v>
      </c>
      <c r="K65" s="96">
        <v>1800000</v>
      </c>
      <c r="L65" s="96">
        <v>1800000</v>
      </c>
      <c r="M65" s="96">
        <v>1800000</v>
      </c>
      <c r="N65" s="96">
        <v>1800000</v>
      </c>
      <c r="O65" s="98">
        <f>SUM(C65:N65)</f>
        <v>30000000</v>
      </c>
      <c r="P65" s="99">
        <f>O65/$O$16</f>
        <v>0.0876083008403731</v>
      </c>
      <c r="Q65" s="6"/>
      <c r="R65" s="6"/>
      <c r="S65" s="6"/>
      <c r="T65" s="6"/>
    </row>
    <row r="66" ht="16.8" spans="1:20">
      <c r="A66" s="6"/>
      <c r="B66" s="100" t="s">
        <v>101</v>
      </c>
      <c r="C66" s="101">
        <f t="shared" ref="C66:N66" si="28">C60-C63</f>
        <v>-5444100.51121031</v>
      </c>
      <c r="D66" s="101">
        <f t="shared" si="28"/>
        <v>-6493100.4911375</v>
      </c>
      <c r="E66" s="101">
        <f t="shared" si="28"/>
        <v>-7544299.08767181</v>
      </c>
      <c r="F66" s="101">
        <f t="shared" si="28"/>
        <v>-6859860.74559683</v>
      </c>
      <c r="G66" s="101">
        <f t="shared" si="28"/>
        <v>-9922027.6046341</v>
      </c>
      <c r="H66" s="101">
        <f t="shared" si="28"/>
        <v>-6141486.46640051</v>
      </c>
      <c r="I66" s="101">
        <f t="shared" si="28"/>
        <v>-1937009.95316661</v>
      </c>
      <c r="J66" s="101">
        <f t="shared" si="28"/>
        <v>-1921436.33703178</v>
      </c>
      <c r="K66" s="101">
        <f t="shared" si="28"/>
        <v>-1783646.81146625</v>
      </c>
      <c r="L66" s="101">
        <f t="shared" si="28"/>
        <v>-2776093.13099102</v>
      </c>
      <c r="M66" s="101">
        <f t="shared" si="28"/>
        <v>333649.843649525</v>
      </c>
      <c r="N66" s="101">
        <f t="shared" si="28"/>
        <v>-713840.443884289</v>
      </c>
      <c r="O66" s="102">
        <f>SUM(C66:N66)</f>
        <v>-51203251.7395415</v>
      </c>
      <c r="P66" s="103">
        <f>O66/$O$16</f>
        <v>-0.14952766274677</v>
      </c>
      <c r="Q66" s="6"/>
      <c r="R66" s="6"/>
      <c r="S66" s="6"/>
      <c r="T66" s="6"/>
    </row>
    <row r="67" ht="16.8" spans="1:20">
      <c r="A67" s="6"/>
      <c r="B67" s="104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105"/>
      <c r="Q67" s="6"/>
      <c r="R67" s="6"/>
      <c r="S67" s="6"/>
      <c r="T67" s="6"/>
    </row>
    <row r="68" ht="16.8" spans="1:20">
      <c r="A68" s="6"/>
      <c r="B68" s="91" t="s">
        <v>102</v>
      </c>
      <c r="C68" s="92">
        <v>2800000</v>
      </c>
      <c r="D68" s="92">
        <v>2800000</v>
      </c>
      <c r="E68" s="92">
        <v>2800000</v>
      </c>
      <c r="F68" s="92">
        <v>2800000</v>
      </c>
      <c r="G68" s="92">
        <v>2800000</v>
      </c>
      <c r="H68" s="92">
        <v>2800000</v>
      </c>
      <c r="I68" s="92">
        <v>2800000</v>
      </c>
      <c r="J68" s="92">
        <v>2800000</v>
      </c>
      <c r="K68" s="92">
        <v>2800000</v>
      </c>
      <c r="L68" s="92">
        <v>2800000</v>
      </c>
      <c r="M68" s="92">
        <v>2800000</v>
      </c>
      <c r="N68" s="92">
        <v>2800000</v>
      </c>
      <c r="O68" s="93">
        <f>SUM(C68:N68)</f>
        <v>33600000</v>
      </c>
      <c r="P68" s="94">
        <f>O68/$O$16</f>
        <v>0.0981212969412179</v>
      </c>
      <c r="Q68" s="6"/>
      <c r="R68" s="6"/>
      <c r="S68" s="6"/>
      <c r="T68" s="6"/>
    </row>
    <row r="69" ht="16.8" spans="1:20">
      <c r="A69" s="6"/>
      <c r="B69" s="100" t="s">
        <v>103</v>
      </c>
      <c r="C69" s="106">
        <f t="shared" ref="C69:N69" si="29">C66-C68</f>
        <v>-8244100.51121031</v>
      </c>
      <c r="D69" s="106">
        <f t="shared" si="29"/>
        <v>-9293100.4911375</v>
      </c>
      <c r="E69" s="106">
        <f t="shared" si="29"/>
        <v>-10344299.0876718</v>
      </c>
      <c r="F69" s="106">
        <f t="shared" si="29"/>
        <v>-9659860.74559683</v>
      </c>
      <c r="G69" s="106">
        <f t="shared" si="29"/>
        <v>-12722027.6046341</v>
      </c>
      <c r="H69" s="106">
        <f t="shared" si="29"/>
        <v>-8941486.46640051</v>
      </c>
      <c r="I69" s="106">
        <f t="shared" si="29"/>
        <v>-4737009.95316661</v>
      </c>
      <c r="J69" s="106">
        <f t="shared" si="29"/>
        <v>-4721436.33703178</v>
      </c>
      <c r="K69" s="106">
        <f t="shared" si="29"/>
        <v>-4583646.81146625</v>
      </c>
      <c r="L69" s="106">
        <f t="shared" si="29"/>
        <v>-5576093.13099102</v>
      </c>
      <c r="M69" s="106">
        <f t="shared" si="29"/>
        <v>-2466350.15635047</v>
      </c>
      <c r="N69" s="106">
        <f t="shared" si="29"/>
        <v>-3513840.44388429</v>
      </c>
      <c r="O69" s="102">
        <f>SUM(C69:N69)</f>
        <v>-84803251.7395415</v>
      </c>
      <c r="P69" s="103">
        <f>O69/$O$16</f>
        <v>-0.247648959687988</v>
      </c>
      <c r="Q69" s="6"/>
      <c r="R69" s="6"/>
      <c r="S69" s="6"/>
      <c r="T69" s="6"/>
    </row>
    <row r="70" spans="1:20">
      <c r="A70" s="6"/>
      <c r="B70" s="107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105"/>
      <c r="Q70" s="6"/>
      <c r="R70" s="6"/>
      <c r="S70" s="6"/>
      <c r="T70" s="6"/>
    </row>
    <row r="71" ht="16.8" spans="1:20">
      <c r="A71" s="6"/>
      <c r="B71" s="108" t="s">
        <v>104</v>
      </c>
      <c r="C71" s="92">
        <v>1200000</v>
      </c>
      <c r="D71" s="92">
        <v>1200000</v>
      </c>
      <c r="E71" s="92">
        <v>1200000</v>
      </c>
      <c r="F71" s="92">
        <v>1200000</v>
      </c>
      <c r="G71" s="92">
        <v>1200000</v>
      </c>
      <c r="H71" s="92">
        <v>1200000</v>
      </c>
      <c r="I71" s="92">
        <v>1200000</v>
      </c>
      <c r="J71" s="92">
        <v>1200000</v>
      </c>
      <c r="K71" s="92">
        <v>1200000</v>
      </c>
      <c r="L71" s="92">
        <v>1200000</v>
      </c>
      <c r="M71" s="92">
        <v>1200000</v>
      </c>
      <c r="N71" s="92">
        <v>1200000</v>
      </c>
      <c r="O71" s="109">
        <f>SUM(C71:N71)</f>
        <v>14400000</v>
      </c>
      <c r="P71" s="94">
        <f>O71/$O$16</f>
        <v>0.0420519844033791</v>
      </c>
      <c r="Q71" s="6"/>
      <c r="R71" s="6"/>
      <c r="S71" s="6"/>
      <c r="T71" s="6"/>
    </row>
    <row r="72" spans="1:20">
      <c r="A72" s="6"/>
      <c r="B72" s="107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105"/>
      <c r="Q72" s="6"/>
      <c r="R72" s="6"/>
      <c r="S72" s="6"/>
      <c r="T72" s="6"/>
    </row>
    <row r="73" ht="16.8" spans="1:20">
      <c r="A73" s="6"/>
      <c r="B73" s="110" t="s">
        <v>105</v>
      </c>
      <c r="C73" s="106">
        <f t="shared" ref="C73:N73" si="30">C69-C71</f>
        <v>-9444100.51121031</v>
      </c>
      <c r="D73" s="106">
        <f t="shared" si="30"/>
        <v>-10493100.4911375</v>
      </c>
      <c r="E73" s="106">
        <f t="shared" si="30"/>
        <v>-11544299.0876718</v>
      </c>
      <c r="F73" s="106">
        <f t="shared" si="30"/>
        <v>-10859860.7455968</v>
      </c>
      <c r="G73" s="106">
        <f t="shared" si="30"/>
        <v>-13922027.6046341</v>
      </c>
      <c r="H73" s="106">
        <f t="shared" si="30"/>
        <v>-10141486.4664005</v>
      </c>
      <c r="I73" s="106">
        <f t="shared" si="30"/>
        <v>-5937009.95316661</v>
      </c>
      <c r="J73" s="106">
        <f t="shared" si="30"/>
        <v>-5921436.33703178</v>
      </c>
      <c r="K73" s="106">
        <f t="shared" si="30"/>
        <v>-5783646.81146625</v>
      </c>
      <c r="L73" s="106">
        <f t="shared" si="30"/>
        <v>-6776093.13099102</v>
      </c>
      <c r="M73" s="106">
        <f t="shared" si="30"/>
        <v>-3666350.15635047</v>
      </c>
      <c r="N73" s="106">
        <f t="shared" si="30"/>
        <v>-4713840.44388429</v>
      </c>
      <c r="O73" s="102">
        <f>SUM(C73:N73)</f>
        <v>-99203251.7395415</v>
      </c>
      <c r="P73" s="111">
        <f>O73/$O$16</f>
        <v>-0.289700944091367</v>
      </c>
      <c r="Q73" s="6"/>
      <c r="R73" s="6"/>
      <c r="S73" s="6"/>
      <c r="T73" s="6"/>
    </row>
    <row r="74" ht="16.8" spans="1:20">
      <c r="A74" s="6"/>
      <c r="B74" s="112" t="s">
        <v>106</v>
      </c>
      <c r="C74" s="113">
        <f t="shared" ref="C74:N74" si="31">C73/C16</f>
        <v>-0.401002797585213</v>
      </c>
      <c r="D74" s="113">
        <f t="shared" si="31"/>
        <v>-0.44460843366333</v>
      </c>
      <c r="E74" s="113">
        <f t="shared" si="31"/>
        <v>-0.573576371857346</v>
      </c>
      <c r="F74" s="113">
        <f t="shared" si="31"/>
        <v>-0.630800363916575</v>
      </c>
      <c r="G74" s="113">
        <f t="shared" si="31"/>
        <v>-0.371592007439961</v>
      </c>
      <c r="H74" s="113">
        <f t="shared" si="31"/>
        <v>-0.303525423712452</v>
      </c>
      <c r="I74" s="113">
        <f t="shared" si="31"/>
        <v>-0.262530543463301</v>
      </c>
      <c r="J74" s="113">
        <f t="shared" si="31"/>
        <v>-0.184564305884346</v>
      </c>
      <c r="K74" s="113">
        <f t="shared" si="31"/>
        <v>-0.251205930866815</v>
      </c>
      <c r="L74" s="113">
        <f t="shared" si="31"/>
        <v>-0.162786676701729</v>
      </c>
      <c r="M74" s="113">
        <f t="shared" si="31"/>
        <v>-0.0974698685520624</v>
      </c>
      <c r="N74" s="113">
        <f t="shared" si="31"/>
        <v>-0.156616267615986</v>
      </c>
      <c r="O74" s="113"/>
      <c r="P74" s="114"/>
      <c r="Q74" s="6"/>
      <c r="R74" s="6"/>
      <c r="S74" s="6"/>
      <c r="T74" s="6"/>
    </row>
    <row r="75" spans="1:20">
      <c r="A75" s="6"/>
      <c r="B75" s="105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ht="16.8" spans="1:20">
      <c r="A76" s="6"/>
      <c r="B76" s="115" t="s">
        <v>107</v>
      </c>
      <c r="C76" s="115" t="s">
        <v>108</v>
      </c>
      <c r="D76" s="115" t="s">
        <v>30</v>
      </c>
      <c r="E76" s="116" t="s">
        <v>109</v>
      </c>
      <c r="F76" s="116" t="s">
        <v>110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ht="16.8" spans="1:20">
      <c r="A77" s="6"/>
      <c r="B77" s="117" t="s">
        <v>111</v>
      </c>
      <c r="C77" s="118">
        <f>O6</f>
        <v>507449213.741284</v>
      </c>
      <c r="D77" s="119">
        <f>O16</f>
        <v>342433304.974851</v>
      </c>
      <c r="E77" s="118">
        <f>O73</f>
        <v>-99203251.7395415</v>
      </c>
      <c r="F77" s="120">
        <f>E77/D77</f>
        <v>-0.289700944091367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ht="16.8" spans="1:20">
      <c r="A78" s="6"/>
      <c r="B78" s="117" t="s">
        <v>112</v>
      </c>
      <c r="C78" s="118">
        <f>SUM(C6:H6)</f>
        <v>226761829.184918</v>
      </c>
      <c r="D78" s="119">
        <f>SUM(C16:H16)</f>
        <v>155373062.000642</v>
      </c>
      <c r="E78" s="118">
        <f>SUM(C73:H73)</f>
        <v>-66404874.906651</v>
      </c>
      <c r="F78" s="120">
        <f>E78/D78</f>
        <v>-0.427389883752029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ht="16.8" spans="1:20">
      <c r="A79" s="6"/>
      <c r="B79" s="117" t="s">
        <v>113</v>
      </c>
      <c r="C79" s="118">
        <f>SUM(I6:N6)</f>
        <v>280687384.556366</v>
      </c>
      <c r="D79" s="119">
        <f>SUM(I16:N16)</f>
        <v>187060242.97421</v>
      </c>
      <c r="E79" s="118">
        <f>SUM(I73:N73)</f>
        <v>-32798376.8328904</v>
      </c>
      <c r="F79" s="120">
        <f>E79/D79</f>
        <v>-0.175335904152612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>
      <c r="A82" s="6"/>
      <c r="B82" s="6"/>
      <c r="C82" s="53">
        <f t="shared" ref="C82:O82" si="32">C16-C18-C20-C26-C37-C44-C47-C58-C60</f>
        <v>-1.86264514923096e-9</v>
      </c>
      <c r="D82" s="35">
        <f t="shared" si="32"/>
        <v>0</v>
      </c>
      <c r="E82" s="35">
        <f t="shared" si="32"/>
        <v>0</v>
      </c>
      <c r="F82" s="35">
        <f t="shared" si="32"/>
        <v>0</v>
      </c>
      <c r="G82" s="35">
        <f t="shared" si="32"/>
        <v>0</v>
      </c>
      <c r="H82" s="35">
        <f t="shared" si="32"/>
        <v>0</v>
      </c>
      <c r="I82" s="35">
        <f t="shared" si="32"/>
        <v>1.39698386192322e-9</v>
      </c>
      <c r="J82" s="35">
        <f t="shared" si="32"/>
        <v>-1.86264514923096e-9</v>
      </c>
      <c r="K82" s="35">
        <f t="shared" si="32"/>
        <v>0</v>
      </c>
      <c r="L82" s="35">
        <f t="shared" si="32"/>
        <v>-1.39698386192322e-9</v>
      </c>
      <c r="M82" s="35">
        <f t="shared" si="32"/>
        <v>-3.72529029846191e-9</v>
      </c>
      <c r="N82" s="35">
        <f t="shared" si="32"/>
        <v>0</v>
      </c>
      <c r="O82" s="35">
        <f t="shared" si="32"/>
        <v>-4.4703483581543e-8</v>
      </c>
      <c r="P82" s="6"/>
      <c r="Q82" s="6"/>
      <c r="R82" s="6"/>
      <c r="S82" s="6"/>
      <c r="T82" s="6"/>
    </row>
    <row r="83" spans="1:20">
      <c r="A83" s="6"/>
      <c r="B83" s="6"/>
      <c r="C83" s="53">
        <f t="shared" ref="C83:O83" si="33">C10-C11-C12-C13-C15</f>
        <v>4592221.84690032</v>
      </c>
      <c r="D83" s="53">
        <f t="shared" si="33"/>
        <v>4539630.47318019</v>
      </c>
      <c r="E83" s="53">
        <f t="shared" si="33"/>
        <v>3917159.37382087</v>
      </c>
      <c r="F83" s="53">
        <f t="shared" si="33"/>
        <v>3648276.8069908</v>
      </c>
      <c r="G83" s="53">
        <f t="shared" si="33"/>
        <v>5956857.25187296</v>
      </c>
      <c r="H83" s="53">
        <f t="shared" si="33"/>
        <v>6166704.23928599</v>
      </c>
      <c r="I83" s="53">
        <f t="shared" si="33"/>
        <v>5119527.25385927</v>
      </c>
      <c r="J83" s="53">
        <f t="shared" si="33"/>
        <v>6210889.0574156</v>
      </c>
      <c r="K83" s="53">
        <f t="shared" si="33"/>
        <v>5041723.25638751</v>
      </c>
      <c r="L83" s="53">
        <f t="shared" si="33"/>
        <v>7634287.35177447</v>
      </c>
      <c r="M83" s="53">
        <f t="shared" si="33"/>
        <v>8666228.59874368</v>
      </c>
      <c r="N83" s="53">
        <f t="shared" si="33"/>
        <v>8104305.37007713</v>
      </c>
      <c r="O83" s="53">
        <f t="shared" si="33"/>
        <v>69597810.8803089</v>
      </c>
      <c r="P83" s="6"/>
      <c r="Q83" s="6"/>
      <c r="R83" s="6"/>
      <c r="S83" s="6"/>
      <c r="T83" s="6"/>
    </row>
    <row r="84" spans="1:20">
      <c r="A84" s="6"/>
      <c r="B84" s="35"/>
      <c r="C84" s="35">
        <f>C60-淘系!C60-淘系达播!C60-抖音!C60-抖音达播!C60-快手!C60-京东POP财经口径!C60-京东自营财经口径!C60-PDD!C60-得物!C60-'视频号+官网+小程序'!C60-唯品会!C60-'线下门店-直营'!C60-'线下门店-经销'!C60-线下渠道!C60</f>
        <v>-3965527.72028078</v>
      </c>
      <c r="D84" s="35">
        <f>D60-淘系!D60-淘系达播!D60-抖音!D60-抖音达播!D60-快手!D60-京东POP财经口径!D60-京东自营财经口径!D60-PDD!D60-得物!D60-'视频号+官网+小程序'!D60-唯品会!D60-'线下门店-直营'!D60-'线下门店-经销'!D60-线下渠道!D60</f>
        <v>-3920363.2043272</v>
      </c>
      <c r="E84" s="35">
        <f>E60-淘系!E60-淘系达播!E60-抖音!E60-抖音达播!E60-快手!E60-京东POP财经口径!E60-京东自营财经口径!E60-PDD!E60-得物!E60-'视频号+官网+小程序'!E60-唯品会!E60-'线下门店-直营'!E60-'线下门店-经销'!E60-线下渠道!E60</f>
        <v>-3382636.2269713</v>
      </c>
      <c r="F84" s="35">
        <f>F60-淘系!F60-淘系达播!F60-抖音!F60-抖音达播!F60-快手!F60-京东POP财经口径!F60-京东自营财经口径!F60-PDD!F60-得物!F60-'视频号+官网+小程序'!F60-唯品会!F60-'线下门店-直营'!F60-'线下门店-经销'!F60-线下渠道!F60</f>
        <v>-3150422.78612723</v>
      </c>
      <c r="G84" s="35">
        <f>G60-淘系!G60-淘系达播!G60-抖音!G60-抖音达播!G60-快手!G60-京东POP财经口径!G60-京东自营财经口径!G60-PDD!G60-得物!G60-'视频号+官网+小程序'!G60-唯品会!G60-'线下门店-直营'!G60-'线下门店-经销'!G60-线下渠道!G60</f>
        <v>-5143240.55863908</v>
      </c>
      <c r="H84" s="35">
        <f>H60-淘系!H60-淘系达播!H60-抖音!H60-抖音达播!H60-快手!H60-京东POP财经口径!H60-京东自营财经口径!H60-PDD!H60-得物!H60-'视频号+官网+小程序'!H60-唯品会!H60-'线下门店-直营'!H60-'线下门店-经销'!H60-线下渠道!H60</f>
        <v>-5324278.75404498</v>
      </c>
      <c r="I84" s="35">
        <f>I60-淘系!I60-淘系达播!I60-抖音!I60-抖音达播!I60-快手!I60-京东POP财经口径!I60-京东自营财经口径!I60-PDD!I60-得物!I60-'视频号+官网+小程序'!I60-唯品会!I60-'线下门店-直营'!I60-'线下门店-经销'!I60-线下渠道!I60</f>
        <v>-4419889.00854405</v>
      </c>
      <c r="J84" s="35">
        <f>J60-淘系!J60-淘系达播!J60-抖音!J60-抖音达播!J60-快手!J60-京东POP财经口径!J60-京东自营财经口径!J60-PDD!J60-得物!J60-'视频号+官网+小程序'!J60-唯品会!J60-'线下门店-直营'!J60-'线下门店-经销'!J60-线下渠道!J60</f>
        <v>-5363509.53430976</v>
      </c>
      <c r="K84" s="35">
        <f>K60-淘系!K60-淘系达播!K60-抖音!K60-抖音达播!K60-快手!K60-京东POP财经口径!K60-京东自营财经口径!K60-PDD!K60-得物!K60-'视频号+官网+小程序'!K60-唯品会!K60-'线下门店-直营'!K60-'线下门店-经销'!K60-线下渠道!K60</f>
        <v>-4352945.77442211</v>
      </c>
      <c r="L84" s="35">
        <f>L60-淘系!L60-淘系达播!L60-抖音!L60-抖音达播!L60-快手!L60-京东POP财经口径!L60-京东自营财经口径!L60-PDD!L60-得物!L60-'视频号+官网+小程序'!L60-唯品会!L60-'线下门店-直营'!L60-'线下门店-经销'!L60-线下渠道!L60</f>
        <v>-6590957.74228023</v>
      </c>
      <c r="M84" s="35">
        <f>M60-淘系!M60-淘系达播!M60-抖音!M60-抖音达播!M60-快手!M60-京东POP财经口径!M60-京东自营财经口径!M60-PDD!M60-得物!M60-'视频号+官网+小程序'!M60-唯品会!M60-'线下门店-直营'!M60-'线下门店-经销'!M60-线下渠道!M60</f>
        <v>-7480948.00716277</v>
      </c>
      <c r="N84" s="35">
        <f>N60-淘系!N60-淘系达播!N60-抖音!N60-抖音达播!N60-快手!N60-京东POP财经口径!N60-京东自营财经口径!N60-PDD!N60-得物!N60-'视频号+官网+小程序'!N60-唯品会!N60-'线下门店-直营'!N60-'线下门店-经销'!N60-线下渠道!N60</f>
        <v>-6996643.87484568</v>
      </c>
      <c r="O84" s="35">
        <f>O60-淘系!O60-淘系达播!O60-抖音!O60-抖音达播!O60-快手!O60-京东POP财经口径!O60-京东自营财经口径!O60-PDD!O60-得物!O60-'视频号+官网+小程序'!O60-唯品会!O60-'线下门店-直营'!O60-'线下门店-经销'!O60-线下渠道!O60</f>
        <v>-60091363.1919552</v>
      </c>
      <c r="P84" s="6"/>
      <c r="Q84" s="6"/>
      <c r="R84" s="6"/>
      <c r="S84" s="6"/>
      <c r="T84" s="6"/>
    </row>
    <row r="85" spans="1:20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ht="16.8" spans="1:20">
      <c r="A92" s="6"/>
      <c r="B92" s="86" t="s">
        <v>39</v>
      </c>
      <c r="C92" s="86">
        <v>590816.10619469</v>
      </c>
      <c r="D92" s="86">
        <v>1555478.57915438</v>
      </c>
      <c r="E92" s="86">
        <v>2581397.18879056</v>
      </c>
      <c r="F92" s="86">
        <v>1541409.81415929</v>
      </c>
      <c r="G92" s="86">
        <v>6001680.81858407</v>
      </c>
      <c r="H92" s="86">
        <v>3561493.46570796</v>
      </c>
      <c r="I92" s="86">
        <v>824897.703539823</v>
      </c>
      <c r="J92" s="86">
        <v>1275088.21681416</v>
      </c>
      <c r="K92" s="86">
        <v>1059422.33185841</v>
      </c>
      <c r="L92" s="86">
        <v>3244700.9707858</v>
      </c>
      <c r="M92" s="86">
        <v>1405007.97686321</v>
      </c>
      <c r="N92" s="86">
        <v>917198.160251626</v>
      </c>
      <c r="O92" s="86">
        <v>24558591.332704</v>
      </c>
      <c r="P92" s="38">
        <v>0.0615948703018541</v>
      </c>
      <c r="Q92" s="6"/>
      <c r="R92" s="6"/>
      <c r="S92" s="6"/>
      <c r="T92" s="6"/>
    </row>
    <row r="93" ht="16.8" spans="1:20">
      <c r="A93" s="6"/>
      <c r="B93" s="87" t="s">
        <v>40</v>
      </c>
      <c r="C93" s="87">
        <v>0</v>
      </c>
      <c r="D93" s="87">
        <v>0</v>
      </c>
      <c r="E93" s="87">
        <v>64814.267453294</v>
      </c>
      <c r="F93" s="87">
        <v>54155.0737463127</v>
      </c>
      <c r="G93" s="87">
        <v>115388.163716814</v>
      </c>
      <c r="H93" s="87">
        <v>101584.80199115</v>
      </c>
      <c r="I93" s="87">
        <v>65500.2876106195</v>
      </c>
      <c r="J93" s="87">
        <v>90329.9336283186</v>
      </c>
      <c r="K93" s="87">
        <v>72053.1637168141</v>
      </c>
      <c r="L93" s="87">
        <v>121420.238831432</v>
      </c>
      <c r="M93" s="87">
        <v>91985.613604862</v>
      </c>
      <c r="N93" s="87">
        <v>0</v>
      </c>
      <c r="O93" s="87">
        <v>777231.544299618</v>
      </c>
      <c r="P93" s="42">
        <v>0.00194935757988256</v>
      </c>
      <c r="Q93" s="6"/>
      <c r="R93" s="6"/>
      <c r="S93" s="6"/>
      <c r="T93" s="6"/>
    </row>
    <row r="94" ht="16.8" spans="1:20">
      <c r="A94" s="6"/>
      <c r="B94" s="87" t="s">
        <v>41</v>
      </c>
      <c r="C94" s="87">
        <v>209195</v>
      </c>
      <c r="D94" s="87">
        <v>209195</v>
      </c>
      <c r="E94" s="87">
        <v>209195</v>
      </c>
      <c r="F94" s="87">
        <v>274181.088495575</v>
      </c>
      <c r="G94" s="87">
        <v>901523.982300886</v>
      </c>
      <c r="H94" s="87">
        <v>534266.366371681</v>
      </c>
      <c r="I94" s="87">
        <v>209195</v>
      </c>
      <c r="J94" s="87">
        <v>317590.920353982</v>
      </c>
      <c r="K94" s="87">
        <v>439765.123893805</v>
      </c>
      <c r="L94" s="87">
        <v>354899.286597718</v>
      </c>
      <c r="M94" s="87">
        <v>319577.736325834</v>
      </c>
      <c r="N94" s="87">
        <v>209195</v>
      </c>
      <c r="O94" s="87">
        <v>4187779.50433948</v>
      </c>
      <c r="P94" s="42">
        <v>0.0105032789514704</v>
      </c>
      <c r="Q94" s="6"/>
      <c r="R94" s="6"/>
      <c r="S94" s="6"/>
      <c r="T94" s="6"/>
    </row>
    <row r="95" ht="16.8" spans="1:20">
      <c r="A95" s="6"/>
      <c r="B95" s="87" t="s">
        <v>42</v>
      </c>
      <c r="C95" s="87">
        <v>31801.7588495575</v>
      </c>
      <c r="D95" s="87">
        <v>25890.0688298918</v>
      </c>
      <c r="E95" s="87">
        <v>25925.7069813176</v>
      </c>
      <c r="F95" s="87">
        <v>108310.147492625</v>
      </c>
      <c r="G95" s="87">
        <v>692328.982300885</v>
      </c>
      <c r="H95" s="87">
        <v>446973.128761062</v>
      </c>
      <c r="I95" s="87">
        <v>0</v>
      </c>
      <c r="J95" s="87">
        <v>108395.920353982</v>
      </c>
      <c r="K95" s="87">
        <v>230570.123893805</v>
      </c>
      <c r="L95" s="87">
        <v>242840.477662864</v>
      </c>
      <c r="M95" s="87">
        <v>183971.227209724</v>
      </c>
      <c r="N95" s="87">
        <v>32181.9618296194</v>
      </c>
      <c r="O95" s="87">
        <v>2129189.50416533</v>
      </c>
      <c r="P95" s="42">
        <v>0.00534017401814443</v>
      </c>
      <c r="Q95" s="6"/>
      <c r="R95" s="6"/>
      <c r="S95" s="6"/>
      <c r="T95" s="6"/>
    </row>
    <row r="96" ht="16.8" spans="1:20">
      <c r="A96" s="6"/>
      <c r="B96" s="87" t="s">
        <v>43</v>
      </c>
      <c r="C96" s="87">
        <v>31801.7588495575</v>
      </c>
      <c r="D96" s="87">
        <v>25890.0688298918</v>
      </c>
      <c r="E96" s="87">
        <v>207405.655850541</v>
      </c>
      <c r="F96" s="87">
        <v>21662.0294985251</v>
      </c>
      <c r="G96" s="87">
        <v>138465.796460177</v>
      </c>
      <c r="H96" s="87">
        <v>40633.9207964602</v>
      </c>
      <c r="I96" s="87">
        <v>26200.1150442478</v>
      </c>
      <c r="J96" s="87">
        <v>36131.9734513274</v>
      </c>
      <c r="K96" s="87">
        <v>28821.2654867257</v>
      </c>
      <c r="L96" s="87">
        <v>97136.1910651456</v>
      </c>
      <c r="M96" s="87">
        <v>73588.4908838896</v>
      </c>
      <c r="N96" s="87">
        <v>32181.9618296194</v>
      </c>
      <c r="O96" s="87">
        <v>759919.228046108</v>
      </c>
      <c r="P96" s="42">
        <v>0.00190593693495169</v>
      </c>
      <c r="Q96" s="6"/>
      <c r="R96" s="6"/>
      <c r="S96" s="6"/>
      <c r="T96" s="6"/>
    </row>
    <row r="97" ht="16.8" spans="1:20">
      <c r="A97" s="6"/>
      <c r="B97" s="87" t="s">
        <v>44</v>
      </c>
      <c r="C97" s="87">
        <v>318017.588495575</v>
      </c>
      <c r="D97" s="87">
        <v>1294503.44149459</v>
      </c>
      <c r="E97" s="87">
        <v>2074056.55850541</v>
      </c>
      <c r="F97" s="87">
        <v>1083101.47492625</v>
      </c>
      <c r="G97" s="87">
        <v>4153973.89380531</v>
      </c>
      <c r="H97" s="87">
        <v>2438035.24778761</v>
      </c>
      <c r="I97" s="87">
        <v>524002.300884956</v>
      </c>
      <c r="J97" s="87">
        <v>722639.469026548</v>
      </c>
      <c r="K97" s="87">
        <v>288212.654867257</v>
      </c>
      <c r="L97" s="87">
        <v>2428404.77662864</v>
      </c>
      <c r="M97" s="87">
        <v>735884.908838896</v>
      </c>
      <c r="N97" s="87">
        <v>643639.236592387</v>
      </c>
      <c r="O97" s="87">
        <v>16704471.5518534</v>
      </c>
      <c r="P97" s="42">
        <v>0.041896122817405</v>
      </c>
      <c r="Q97" s="6"/>
      <c r="R97" s="6"/>
      <c r="S97" s="6"/>
      <c r="T97" s="6"/>
    </row>
    <row r="98" spans="1:20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1:2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</sheetData>
  <pageMargins left="0.75" right="0.75" top="1" bottom="1" header="0.5" footer="0.5"/>
  <headerFooter/>
  <legacy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4C724"/>
    <outlinePr summaryBelow="0" summaryRight="0"/>
  </sheetPr>
  <dimension ref="A1:T201"/>
  <sheetViews>
    <sheetView tabSelected="1" workbookViewId="0">
      <selection activeCell="A1" sqref="A1"/>
    </sheetView>
  </sheetViews>
  <sheetFormatPr defaultColWidth="14" defaultRowHeight="14.4"/>
  <cols>
    <col min="1" max="1" width="17" customWidth="1"/>
    <col min="2" max="2" width="30" customWidth="1"/>
    <col min="3" max="15" width="19" customWidth="1"/>
    <col min="16" max="17" width="14" customWidth="1"/>
    <col min="18" max="18" width="11" customWidth="1"/>
    <col min="19" max="20" width="14" customWidth="1"/>
  </cols>
  <sheetData>
    <row r="1" ht="17" spans="1:20">
      <c r="A1" s="6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0"/>
      <c r="S1" s="6"/>
      <c r="T1" s="6"/>
    </row>
    <row r="2" ht="16.8" spans="1:20">
      <c r="A2" s="6"/>
      <c r="B2" s="4" t="s">
        <v>16</v>
      </c>
      <c r="C2" s="36">
        <f>淘系!C2+淘系达播!C2</f>
        <v>27455.1263520066</v>
      </c>
      <c r="D2" s="36">
        <f>淘系!D2+淘系达播!D2</f>
        <v>25041.4888705115</v>
      </c>
      <c r="E2" s="36">
        <f>淘系!E2+淘系达播!E2</f>
        <v>29265.3544631279</v>
      </c>
      <c r="F2" s="36">
        <f>淘系!F2+淘系达播!F2</f>
        <v>24287.2271575443</v>
      </c>
      <c r="G2" s="36">
        <f>淘系!G2+淘系达播!G2</f>
        <v>42389.5082687574</v>
      </c>
      <c r="H2" s="36">
        <f>淘系!H2+淘系达播!H2</f>
        <v>36657.1192502066</v>
      </c>
      <c r="I2" s="36">
        <f>淘系!I2+淘系达播!I2</f>
        <v>23834.670129764</v>
      </c>
      <c r="J2" s="36">
        <f>淘系!J2+淘系达播!J2</f>
        <v>29959.2752390578</v>
      </c>
      <c r="K2" s="36">
        <f>淘系!K2+淘系达播!K2</f>
        <v>33036.663027964</v>
      </c>
      <c r="L2" s="36">
        <f>淘系!L2+淘系达播!L2</f>
        <v>43777.3498206171</v>
      </c>
      <c r="M2" s="36">
        <f>淘系!M2+淘系达播!M2</f>
        <v>34032.2884890807</v>
      </c>
      <c r="N2" s="36">
        <f>淘系!N2+淘系达播!N2</f>
        <v>30411.8322668381</v>
      </c>
      <c r="O2" s="36">
        <f>SUM(C2:N2)</f>
        <v>380147.903335476</v>
      </c>
      <c r="P2" s="36"/>
      <c r="Q2" s="6"/>
      <c r="R2" s="20"/>
      <c r="S2" s="6"/>
      <c r="T2" s="6"/>
    </row>
    <row r="3" ht="16.8" spans="1:20">
      <c r="A3" s="32"/>
      <c r="B3" s="8" t="s">
        <v>17</v>
      </c>
      <c r="C3" s="8">
        <f>淘系!C3+淘系达播!C3</f>
        <v>13544475.930676</v>
      </c>
      <c r="D3" s="8">
        <f>淘系!D3+淘系达播!D3</f>
        <v>11297924.183784</v>
      </c>
      <c r="E3" s="8">
        <f>淘系!E3+淘系达播!E3</f>
        <v>11747442.631352</v>
      </c>
      <c r="F3" s="8">
        <f>淘系!F3+淘系达播!F3</f>
        <v>9094878.617784</v>
      </c>
      <c r="G3" s="8">
        <f>淘系!G3+淘系达播!G3</f>
        <v>26756263.941826</v>
      </c>
      <c r="H3" s="8">
        <f>淘系!H3+淘系达播!H3</f>
        <v>19371067.252906</v>
      </c>
      <c r="I3" s="8">
        <f>淘系!I3+淘系达播!I3</f>
        <v>13073501.79223</v>
      </c>
      <c r="J3" s="8">
        <f>淘系!J3+淘系达播!J3</f>
        <v>22797499.494258</v>
      </c>
      <c r="K3" s="8">
        <f>淘系!K3+淘系达播!K3</f>
        <v>16249898.33446</v>
      </c>
      <c r="L3" s="8">
        <f>淘系!L3+淘系达播!L3</f>
        <v>33722277.238788</v>
      </c>
      <c r="M3" s="8">
        <f>淘系!M3+淘系达播!M3</f>
        <v>23389283.65446</v>
      </c>
      <c r="N3" s="8">
        <f>淘系!N3+淘系达播!N3</f>
        <v>15582527.110676</v>
      </c>
      <c r="O3" s="8">
        <f>SUM(C3:N3)</f>
        <v>216627040.1832</v>
      </c>
      <c r="P3" s="8"/>
      <c r="Q3" s="10" t="s">
        <v>83</v>
      </c>
      <c r="R3" s="20"/>
      <c r="S3" s="6"/>
      <c r="T3" s="6"/>
    </row>
    <row r="4" ht="16.8" spans="1:20">
      <c r="A4" s="32"/>
      <c r="B4" s="8" t="s">
        <v>84</v>
      </c>
      <c r="C4" s="8">
        <f>淘系!C4+淘系达播!C4</f>
        <v>10413469.0796</v>
      </c>
      <c r="D4" s="8">
        <f>淘系!D4+淘系达播!D4</f>
        <v>8688893.394</v>
      </c>
      <c r="E4" s="8">
        <f>淘系!E4+淘系达播!E4</f>
        <v>8898451.3857</v>
      </c>
      <c r="F4" s="8">
        <f>淘系!F4+淘系达播!F4</f>
        <v>7347177.6784</v>
      </c>
      <c r="G4" s="8">
        <f>淘系!G4+淘系达播!G4</f>
        <v>20245409.656</v>
      </c>
      <c r="H4" s="8">
        <f>淘系!H4+淘系达播!H4</f>
        <v>15627226.7412</v>
      </c>
      <c r="I4" s="8">
        <f>淘系!I4+淘系达播!I4</f>
        <v>9794222.7887</v>
      </c>
      <c r="J4" s="8">
        <f>淘系!J4+淘系达播!J4</f>
        <v>16186224.2571</v>
      </c>
      <c r="K4" s="8">
        <f>淘系!K4+淘系达播!K4</f>
        <v>10434397.7488</v>
      </c>
      <c r="L4" s="8">
        <f>淘系!L4+淘系达播!L4</f>
        <v>24230243.388</v>
      </c>
      <c r="M4" s="8">
        <f>淘系!M4+淘系达播!M4</f>
        <v>16378341.6292</v>
      </c>
      <c r="N4" s="8">
        <f>淘系!N4+淘系达播!N4</f>
        <v>11675094.7265</v>
      </c>
      <c r="O4" s="8">
        <f>SUM(C4:N4)</f>
        <v>159919152.4732</v>
      </c>
      <c r="P4" s="8"/>
      <c r="Q4" s="10" t="s">
        <v>83</v>
      </c>
      <c r="R4" s="20"/>
      <c r="S4" s="6"/>
      <c r="T4" s="6"/>
    </row>
    <row r="5" ht="16.8" spans="1:20">
      <c r="A5" s="32"/>
      <c r="B5" s="8" t="s">
        <v>18</v>
      </c>
      <c r="C5" s="8">
        <f>淘系!C5+淘系达播!C5</f>
        <v>1562020.36194</v>
      </c>
      <c r="D5" s="8">
        <f>淘系!D5+淘系达播!D5</f>
        <v>1303334.0091</v>
      </c>
      <c r="E5" s="8">
        <f>淘系!E5+淘系达播!E5</f>
        <v>1334767.707855</v>
      </c>
      <c r="F5" s="8">
        <f>淘系!F5+淘系达播!F5</f>
        <v>1102076.65176</v>
      </c>
      <c r="G5" s="8">
        <f>淘系!G5+淘系达播!G5</f>
        <v>3036811.4484</v>
      </c>
      <c r="H5" s="8">
        <f>淘系!H5+淘系达播!H5</f>
        <v>2344084.01118</v>
      </c>
      <c r="I5" s="8">
        <f>淘系!I5+淘系达播!I5</f>
        <v>1469133.418305</v>
      </c>
      <c r="J5" s="8">
        <f>淘系!J5+淘系达播!J5</f>
        <v>2427933.638565</v>
      </c>
      <c r="K5" s="8">
        <f>淘系!K5+淘系达播!K5</f>
        <v>1565159.66232</v>
      </c>
      <c r="L5" s="8">
        <f>淘系!L5+淘系达播!L5</f>
        <v>3634536.5082</v>
      </c>
      <c r="M5" s="8">
        <f>淘系!M5+淘系达播!M5</f>
        <v>2456751.24438</v>
      </c>
      <c r="N5" s="8">
        <f>淘系!N5+淘系达播!N5</f>
        <v>1751264.208975</v>
      </c>
      <c r="O5" s="8">
        <f>SUM(C5:N5)</f>
        <v>23987872.87098</v>
      </c>
      <c r="P5" s="8"/>
      <c r="Q5" s="10" t="s">
        <v>83</v>
      </c>
      <c r="R5" s="20"/>
      <c r="S5" s="6"/>
      <c r="T5" s="6"/>
    </row>
    <row r="6" ht="16.8" spans="1:20">
      <c r="A6" s="32"/>
      <c r="B6" s="12" t="s">
        <v>85</v>
      </c>
      <c r="C6" s="12">
        <f>淘系!C6+淘系达播!C6</f>
        <v>11512804.5410746</v>
      </c>
      <c r="D6" s="12">
        <f>淘系!D6+淘系达播!D6</f>
        <v>9603235.5562164</v>
      </c>
      <c r="E6" s="12">
        <f>淘系!E6+淘系达播!E6</f>
        <v>9985326.2366492</v>
      </c>
      <c r="F6" s="12">
        <f>淘系!F6+淘系达播!F6</f>
        <v>7730646.8251164</v>
      </c>
      <c r="G6" s="12">
        <f>淘系!G6+淘系达播!G6</f>
        <v>22742824.3505521</v>
      </c>
      <c r="H6" s="12">
        <f>淘系!H6+淘系达播!H6</f>
        <v>16465407.1649701</v>
      </c>
      <c r="I6" s="12">
        <f>淘系!I6+淘系达播!I6</f>
        <v>11112476.5233955</v>
      </c>
      <c r="J6" s="12">
        <f>淘系!J6+淘系达播!J6</f>
        <v>19377874.5701193</v>
      </c>
      <c r="K6" s="12">
        <f>淘系!K6+淘系达播!K6</f>
        <v>13812413.584291</v>
      </c>
      <c r="L6" s="12">
        <f>淘系!L6+淘系达播!L6</f>
        <v>28663935.6529698</v>
      </c>
      <c r="M6" s="12">
        <f>淘系!M6+淘系达播!M6</f>
        <v>19880891.106291</v>
      </c>
      <c r="N6" s="12">
        <f>淘系!N6+淘系达播!N6</f>
        <v>13245148.0440746</v>
      </c>
      <c r="O6" s="12">
        <f>SUM(C6:N6)</f>
        <v>184132984.15572</v>
      </c>
      <c r="P6" s="12"/>
      <c r="Q6" s="10" t="s">
        <v>83</v>
      </c>
      <c r="R6" s="20"/>
      <c r="S6" s="6"/>
      <c r="T6" s="6"/>
    </row>
    <row r="7" ht="16.8" spans="1:20">
      <c r="A7" s="32"/>
      <c r="B7" s="14" t="s">
        <v>20</v>
      </c>
      <c r="C7" s="14">
        <v>0.231164863</v>
      </c>
      <c r="D7" s="14">
        <v>0.230930107</v>
      </c>
      <c r="E7" s="14">
        <v>0.242520136</v>
      </c>
      <c r="F7" s="14">
        <v>0.192163201</v>
      </c>
      <c r="G7" s="14">
        <v>0.243339432</v>
      </c>
      <c r="H7" s="14">
        <v>0.193269715</v>
      </c>
      <c r="I7" s="14">
        <v>0.250834024</v>
      </c>
      <c r="J7" s="14">
        <v>0.290000005</v>
      </c>
      <c r="K7" s="14">
        <v>0.357879204</v>
      </c>
      <c r="L7" s="14">
        <v>0.28147665</v>
      </c>
      <c r="M7" s="14">
        <v>0.299750186</v>
      </c>
      <c r="N7" s="14">
        <v>0.250757301</v>
      </c>
      <c r="O7" s="14">
        <f>1-O8/O6</f>
        <v>0.261776589336467</v>
      </c>
      <c r="P7" s="14"/>
      <c r="Q7" s="6" t="s">
        <v>83</v>
      </c>
      <c r="R7" s="20"/>
      <c r="S7" s="6"/>
      <c r="T7" s="6"/>
    </row>
    <row r="8" ht="16.8" spans="1:20">
      <c r="A8" s="32"/>
      <c r="B8" s="12" t="s">
        <v>86</v>
      </c>
      <c r="C8" s="12">
        <f>淘系!C8+淘系达播!C8</f>
        <v>8851448.71507545</v>
      </c>
      <c r="D8" s="12">
        <f>淘系!D8+淘系达播!D8</f>
        <v>7385559.38068562</v>
      </c>
      <c r="E8" s="12">
        <f>淘系!E8+淘系达播!E8</f>
        <v>7563683.67494265</v>
      </c>
      <c r="F8" s="12">
        <f>淘系!F8+淘系达播!F8</f>
        <v>6245101.02632952</v>
      </c>
      <c r="G8" s="12">
        <f>淘系!G8+淘系达播!G8</f>
        <v>17208598.2093332</v>
      </c>
      <c r="H8" s="12">
        <f>淘系!H8+淘系达播!H8</f>
        <v>13283142.7273993</v>
      </c>
      <c r="I8" s="12">
        <f>淘系!I8+淘系达播!I8</f>
        <v>8325089.36799241</v>
      </c>
      <c r="J8" s="12">
        <f>淘系!J8+淘系达播!J8</f>
        <v>13758290.6057699</v>
      </c>
      <c r="K8" s="12">
        <f>淘系!K8+淘系达播!K8</f>
        <v>8869238.08677451</v>
      </c>
      <c r="L8" s="12">
        <f>淘系!L8+淘系达播!L8</f>
        <v>20595706.8708473</v>
      </c>
      <c r="M8" s="12">
        <f>淘系!M8+淘系达播!M8</f>
        <v>13921590.3878935</v>
      </c>
      <c r="N8" s="12">
        <f>淘系!N8+淘系达播!N8</f>
        <v>9923830.52604651</v>
      </c>
      <c r="O8" s="12">
        <f>SUM(C8:N8)</f>
        <v>135931279.57909</v>
      </c>
      <c r="P8" s="12"/>
      <c r="Q8" s="6" t="s">
        <v>83</v>
      </c>
      <c r="R8" s="20"/>
      <c r="S8" s="6"/>
      <c r="T8" s="6"/>
    </row>
    <row r="9" ht="16.8" spans="1:20">
      <c r="A9" s="6"/>
      <c r="B9" s="4"/>
      <c r="C9" s="5">
        <f>淘系!C9+淘系达播!C9</f>
        <v>-0.00258455239236355</v>
      </c>
      <c r="D9" s="36">
        <f>淘系!D9+淘系达播!D9</f>
        <v>-0.00421437807381153</v>
      </c>
      <c r="E9" s="36">
        <f>淘系!E9+淘系达播!E9</f>
        <v>-0.00290234573185444</v>
      </c>
      <c r="F9" s="36">
        <f>淘系!F9+淘系达播!F9</f>
        <v>-0.000310475006699562</v>
      </c>
      <c r="G9" s="36">
        <f>淘系!G9+淘系达播!G9</f>
        <v>0.00173315405845642</v>
      </c>
      <c r="H9" s="36">
        <f>淘系!H9+淘系达播!H9</f>
        <v>-0.00262067280709743</v>
      </c>
      <c r="I9" s="36">
        <f>淘系!I9+淘系达播!I9</f>
        <v>-0.00240258686244488</v>
      </c>
      <c r="J9" s="36">
        <f>淘系!J9+淘系达播!J9</f>
        <v>-0.0127651505172253</v>
      </c>
      <c r="K9" s="36">
        <f>淘系!K9+淘系达播!K9</f>
        <v>0.000294508412480354</v>
      </c>
      <c r="L9" s="36">
        <f>淘系!L9+淘系达播!L9</f>
        <v>-0.00895274057984352</v>
      </c>
      <c r="M9" s="36">
        <f>淘系!M9+淘系达播!M9</f>
        <v>0.00307353958487511</v>
      </c>
      <c r="N9" s="36">
        <f>淘系!N9+淘系达播!N9</f>
        <v>0.00852151028811932</v>
      </c>
      <c r="O9" s="5">
        <f>O8+O14-O10</f>
        <v>-0.0231301486492157</v>
      </c>
      <c r="P9" s="36"/>
      <c r="Q9" s="6"/>
      <c r="R9" s="20"/>
      <c r="S9" s="6"/>
      <c r="T9" s="6"/>
    </row>
    <row r="10" ht="16.8" spans="1:20">
      <c r="A10" s="32"/>
      <c r="B10" s="12" t="s">
        <v>114</v>
      </c>
      <c r="C10" s="12">
        <f>淘系!C10+淘系达播!C10</f>
        <v>10781465.4380791</v>
      </c>
      <c r="D10" s="12">
        <f>淘系!D10+淘系达播!D10</f>
        <v>8986633.03624356</v>
      </c>
      <c r="E10" s="12">
        <f>淘系!E10+淘系达播!E10</f>
        <v>9217426.65594297</v>
      </c>
      <c r="F10" s="12">
        <f>淘系!F10+淘系达播!F10</f>
        <v>7821664.84138678</v>
      </c>
      <c r="G10" s="12">
        <f>淘系!G10+淘系达播!G10</f>
        <v>21556013.6379901</v>
      </c>
      <c r="H10" s="12">
        <f>淘系!H10+淘系达播!H10</f>
        <v>16601133.3694917</v>
      </c>
      <c r="I10" s="12">
        <f>淘系!I10+淘系达播!I10</f>
        <v>10420891.3172994</v>
      </c>
      <c r="J10" s="12">
        <f>淘系!J10+淘系达播!J10</f>
        <v>17224147.3081313</v>
      </c>
      <c r="K10" s="12">
        <f>淘系!K10+淘系达播!K10</f>
        <v>11127342.5111582</v>
      </c>
      <c r="L10" s="12">
        <f>淘系!L10+淘系达播!L10</f>
        <v>25913143.7288556</v>
      </c>
      <c r="M10" s="12">
        <f>淘系!M10+淘系达播!M10</f>
        <v>17389665.1642744</v>
      </c>
      <c r="N10" s="12">
        <f>淘系!N10+淘系达播!N10</f>
        <v>12422423.3982782</v>
      </c>
      <c r="O10" s="12">
        <f t="shared" ref="O10:O16" si="0">SUM(C10:N10)</f>
        <v>169461950.407131</v>
      </c>
      <c r="P10" s="12"/>
      <c r="Q10" s="11" t="s">
        <v>83</v>
      </c>
      <c r="R10" s="20"/>
      <c r="S10" s="6"/>
      <c r="T10" s="6"/>
    </row>
    <row r="11" ht="16.8" spans="1:20">
      <c r="A11" s="6"/>
      <c r="B11" s="17" t="s">
        <v>23</v>
      </c>
      <c r="C11" s="37">
        <f>淘系!C11+淘系达播!C11</f>
        <v>0</v>
      </c>
      <c r="D11" s="37">
        <f>淘系!D11+淘系达播!D11</f>
        <v>0</v>
      </c>
      <c r="E11" s="37">
        <f>淘系!E11+淘系达播!E11</f>
        <v>0</v>
      </c>
      <c r="F11" s="37">
        <f>淘系!F11+淘系达播!F11</f>
        <v>0</v>
      </c>
      <c r="G11" s="37">
        <f>淘系!G11+淘系达播!G11</f>
        <v>0</v>
      </c>
      <c r="H11" s="37">
        <f>淘系!H11+淘系达播!H11</f>
        <v>0</v>
      </c>
      <c r="I11" s="37">
        <f>淘系!I11+淘系达播!I11</f>
        <v>0</v>
      </c>
      <c r="J11" s="37">
        <f>淘系!J11+淘系达播!J11</f>
        <v>0</v>
      </c>
      <c r="K11" s="37">
        <f>淘系!K11+淘系达播!K11</f>
        <v>0</v>
      </c>
      <c r="L11" s="37">
        <f>淘系!L11+淘系达播!L11</f>
        <v>0</v>
      </c>
      <c r="M11" s="37">
        <f>淘系!M11+淘系达播!M11</f>
        <v>0</v>
      </c>
      <c r="N11" s="37">
        <f>淘系!N11+淘系达播!N11</f>
        <v>0</v>
      </c>
      <c r="O11" s="37">
        <f t="shared" si="0"/>
        <v>0</v>
      </c>
      <c r="P11" s="37"/>
      <c r="Q11" s="6" t="s">
        <v>88</v>
      </c>
      <c r="R11" s="20"/>
      <c r="S11" s="6"/>
      <c r="T11" s="6"/>
    </row>
    <row r="12" ht="16.8" spans="1:20">
      <c r="A12" s="6"/>
      <c r="B12" s="17" t="s">
        <v>25</v>
      </c>
      <c r="C12" s="37">
        <f>淘系!C12+淘系达播!C12</f>
        <v>1562020.36194</v>
      </c>
      <c r="D12" s="37">
        <f>淘系!D12+淘系达播!D12</f>
        <v>1303334.0091</v>
      </c>
      <c r="E12" s="37">
        <f>淘系!E12+淘系达播!E12</f>
        <v>1334767.707855</v>
      </c>
      <c r="F12" s="37">
        <f>淘系!F12+淘系达播!F12</f>
        <v>1102076.65176</v>
      </c>
      <c r="G12" s="37">
        <f>淘系!G12+淘系达播!G12</f>
        <v>3036811.4484</v>
      </c>
      <c r="H12" s="37">
        <f>淘系!H12+淘系达播!H12</f>
        <v>2344084.01118</v>
      </c>
      <c r="I12" s="37">
        <f>淘系!I12+淘系达播!I12</f>
        <v>1469133.418305</v>
      </c>
      <c r="J12" s="37">
        <f>淘系!J12+淘系达播!J12</f>
        <v>2427933.638565</v>
      </c>
      <c r="K12" s="37">
        <f>淘系!K12+淘系达播!K12</f>
        <v>1565159.66232</v>
      </c>
      <c r="L12" s="37">
        <f>淘系!L12+淘系达播!L12</f>
        <v>3634536.5082</v>
      </c>
      <c r="M12" s="37">
        <f>淘系!M12+淘系达播!M12</f>
        <v>2456751.24438</v>
      </c>
      <c r="N12" s="37">
        <f>淘系!N12+淘系达播!N12</f>
        <v>1751264.208975</v>
      </c>
      <c r="O12" s="37">
        <f t="shared" si="0"/>
        <v>23987872.87098</v>
      </c>
      <c r="P12" s="39">
        <v>0.15</v>
      </c>
      <c r="Q12" s="6" t="s">
        <v>83</v>
      </c>
      <c r="R12" s="20">
        <f>O12/$O$10</f>
        <v>0.141553149915655</v>
      </c>
      <c r="S12" s="6"/>
      <c r="T12" s="6"/>
    </row>
    <row r="13" ht="16.8" spans="1:20">
      <c r="A13" s="6"/>
      <c r="B13" s="81" t="s">
        <v>27</v>
      </c>
      <c r="C13" s="37">
        <f>淘系!C13+淘系达播!C13</f>
        <v>367996.358479079</v>
      </c>
      <c r="D13" s="37">
        <f>淘系!D13+淘系达播!D13</f>
        <v>297739.642243557</v>
      </c>
      <c r="E13" s="37">
        <f>淘系!E13+淘系达播!E13</f>
        <v>318975.270242968</v>
      </c>
      <c r="F13" s="37">
        <f>淘系!F13+淘系达播!F13</f>
        <v>474487.162986778</v>
      </c>
      <c r="G13" s="37">
        <f>淘系!G13+淘系达播!G13</f>
        <v>1310603.98199009</v>
      </c>
      <c r="H13" s="37">
        <f>淘系!H13+淘系达播!H13</f>
        <v>973906.62829171</v>
      </c>
      <c r="I13" s="37">
        <f>淘系!I13+淘系达播!I13</f>
        <v>626668.528599414</v>
      </c>
      <c r="J13" s="37">
        <f>淘系!J13+淘系达播!J13</f>
        <v>1037923.05103128</v>
      </c>
      <c r="K13" s="37">
        <f>淘系!K13+淘系达播!K13</f>
        <v>692944.762358159</v>
      </c>
      <c r="L13" s="37">
        <f>淘系!L13+淘系达播!L13</f>
        <v>1682900.34085564</v>
      </c>
      <c r="M13" s="37">
        <f>淘系!M13+淘系达播!M13</f>
        <v>1011323.5350744</v>
      </c>
      <c r="N13" s="37">
        <f>淘系!N13+淘系达播!N13</f>
        <v>747328.671778243</v>
      </c>
      <c r="O13" s="37">
        <f t="shared" si="0"/>
        <v>9542797.93393132</v>
      </c>
      <c r="P13" s="37"/>
      <c r="Q13" s="6" t="s">
        <v>83</v>
      </c>
      <c r="R13" s="20">
        <f>O13/$O$10</f>
        <v>0.0563123338956315</v>
      </c>
      <c r="S13" s="6"/>
      <c r="T13" s="6"/>
    </row>
    <row r="14" ht="16.8" spans="1:20">
      <c r="A14" s="6"/>
      <c r="B14" s="21" t="s">
        <v>28</v>
      </c>
      <c r="C14" s="40">
        <f>淘系!C14+淘系达播!C14</f>
        <v>1930016.72041908</v>
      </c>
      <c r="D14" s="40">
        <f>淘系!D14+淘系达播!D14</f>
        <v>1601073.65134356</v>
      </c>
      <c r="E14" s="40">
        <f>淘系!E14+淘系达播!E14</f>
        <v>1653742.97809797</v>
      </c>
      <c r="F14" s="40">
        <f>淘系!F14+淘系达播!F14</f>
        <v>1576563.81474678</v>
      </c>
      <c r="G14" s="40">
        <f>淘系!G14+淘系达播!G14</f>
        <v>4347415.43039009</v>
      </c>
      <c r="H14" s="40">
        <f>淘系!H14+淘系达播!H14</f>
        <v>3317990.63947171</v>
      </c>
      <c r="I14" s="40">
        <f>淘系!I14+淘系达播!I14</f>
        <v>2095801.94690441</v>
      </c>
      <c r="J14" s="40">
        <f>淘系!J14+淘系达播!J14</f>
        <v>3465856.68959628</v>
      </c>
      <c r="K14" s="40">
        <f>淘系!K14+淘系达播!K14</f>
        <v>2258104.42467816</v>
      </c>
      <c r="L14" s="40">
        <f>淘系!L14+淘系达播!L14</f>
        <v>5317436.84905564</v>
      </c>
      <c r="M14" s="40">
        <f>淘系!M14+淘系达播!M14</f>
        <v>3468074.7794544</v>
      </c>
      <c r="N14" s="40">
        <f>淘系!N14+淘系达播!N14</f>
        <v>2498592.88075324</v>
      </c>
      <c r="O14" s="40">
        <f t="shared" si="0"/>
        <v>33530670.8049113</v>
      </c>
      <c r="P14" s="40"/>
      <c r="Q14" s="6"/>
      <c r="R14" s="20">
        <f>O14/$O$10</f>
        <v>0.197865483811287</v>
      </c>
      <c r="S14" s="6"/>
      <c r="T14" s="6"/>
    </row>
    <row r="15" ht="16.8" spans="1:20">
      <c r="A15" s="32"/>
      <c r="B15" s="12" t="s">
        <v>29</v>
      </c>
      <c r="C15" s="12">
        <f>淘系!C15+淘系达播!C15</f>
        <v>8851448.71507545</v>
      </c>
      <c r="D15" s="12">
        <f>淘系!D15+淘系达播!D15</f>
        <v>7385559.38068562</v>
      </c>
      <c r="E15" s="12">
        <f>淘系!E15+淘系达播!E15</f>
        <v>7563683.67494265</v>
      </c>
      <c r="F15" s="12">
        <f>淘系!F15+淘系达播!F15</f>
        <v>6245101.02632952</v>
      </c>
      <c r="G15" s="12">
        <f>淘系!G15+淘系达播!G15</f>
        <v>17208598.2093332</v>
      </c>
      <c r="H15" s="12">
        <f>淘系!H15+淘系达播!H15</f>
        <v>13283142.7273993</v>
      </c>
      <c r="I15" s="12">
        <f>淘系!I15+淘系达播!I15</f>
        <v>8325089.36799241</v>
      </c>
      <c r="J15" s="12">
        <f>淘系!J15+淘系达播!J15</f>
        <v>13758290.6057699</v>
      </c>
      <c r="K15" s="12">
        <f>淘系!K15+淘系达播!K15</f>
        <v>8869238.08677451</v>
      </c>
      <c r="L15" s="12">
        <f>淘系!L15+淘系达播!L15</f>
        <v>20595706.8708473</v>
      </c>
      <c r="M15" s="12">
        <f>淘系!M15+淘系达播!M15</f>
        <v>13921590.3878935</v>
      </c>
      <c r="N15" s="12">
        <f>淘系!N15+淘系达播!N15</f>
        <v>9923830.52604651</v>
      </c>
      <c r="O15" s="12">
        <f t="shared" si="0"/>
        <v>135931279.57909</v>
      </c>
      <c r="P15" s="12"/>
      <c r="Q15" s="6"/>
      <c r="R15" s="20"/>
      <c r="S15" s="6"/>
      <c r="T15" s="6"/>
    </row>
    <row r="16" ht="16.8" spans="1:20">
      <c r="A16" s="32"/>
      <c r="B16" s="12" t="s">
        <v>30</v>
      </c>
      <c r="C16" s="12">
        <f>淘系!C16+淘系达播!C16</f>
        <v>7833140.45581898</v>
      </c>
      <c r="D16" s="12">
        <f>淘系!D16+淘系达播!D16</f>
        <v>6535893.25724391</v>
      </c>
      <c r="E16" s="12">
        <f>淘系!E16+淘系达播!E16</f>
        <v>6693525.37605545</v>
      </c>
      <c r="F16" s="12">
        <f>淘系!F16+淘系达播!F16</f>
        <v>5526638.07639781</v>
      </c>
      <c r="G16" s="12">
        <f>淘系!G16+淘系达播!G16</f>
        <v>15228847.9728612</v>
      </c>
      <c r="H16" s="12">
        <f>淘系!H16+淘系达播!H16</f>
        <v>11754993.5640702</v>
      </c>
      <c r="I16" s="12">
        <f>淘系!I16+淘系达播!I16</f>
        <v>7367335.72388709</v>
      </c>
      <c r="J16" s="12">
        <f>淘系!J16+淘系达播!J16</f>
        <v>12175478.4121857</v>
      </c>
      <c r="K16" s="12">
        <f>淘系!K16+淘系达播!K16</f>
        <v>7848883.26263231</v>
      </c>
      <c r="L16" s="12">
        <f>淘系!L16+淘系达播!L16</f>
        <v>18226289.2662365</v>
      </c>
      <c r="M16" s="12">
        <f>淘系!M16+淘系达播!M16</f>
        <v>12319991.4937111</v>
      </c>
      <c r="N16" s="12">
        <f>淘系!N16+淘系达播!N16</f>
        <v>8782150.90800576</v>
      </c>
      <c r="O16" s="12">
        <f t="shared" si="0"/>
        <v>120293167.769106</v>
      </c>
      <c r="P16" s="12"/>
      <c r="Q16" s="6"/>
      <c r="R16" s="20"/>
      <c r="S16" s="6"/>
      <c r="T16" s="6"/>
    </row>
    <row r="17" spans="1:20">
      <c r="A17" s="6"/>
      <c r="B17" s="6"/>
      <c r="C17" s="6">
        <f>淘系!C17+淘系达播!C17</f>
        <v>0</v>
      </c>
      <c r="D17" s="6">
        <f>淘系!D17+淘系达播!D17</f>
        <v>0</v>
      </c>
      <c r="E17" s="6">
        <f>淘系!E17+淘系达播!E17</f>
        <v>0</v>
      </c>
      <c r="F17" s="6">
        <f>淘系!F17+淘系达播!F17</f>
        <v>0</v>
      </c>
      <c r="G17" s="6">
        <f>淘系!G17+淘系达播!G17</f>
        <v>0</v>
      </c>
      <c r="H17" s="6">
        <f>淘系!H17+淘系达播!H17</f>
        <v>0</v>
      </c>
      <c r="I17" s="6">
        <f>淘系!I17+淘系达播!I17</f>
        <v>0</v>
      </c>
      <c r="J17" s="6">
        <f>淘系!J17+淘系达播!J17</f>
        <v>0</v>
      </c>
      <c r="K17" s="6">
        <f>淘系!K17+淘系达播!K17</f>
        <v>0</v>
      </c>
      <c r="L17" s="6">
        <f>淘系!L17+淘系达播!L17</f>
        <v>0</v>
      </c>
      <c r="M17" s="6">
        <f>淘系!M17+淘系达播!M17</f>
        <v>0</v>
      </c>
      <c r="N17" s="6">
        <f>淘系!N17+淘系达播!N17</f>
        <v>0</v>
      </c>
      <c r="O17" s="6"/>
      <c r="P17" s="6"/>
      <c r="Q17" s="6"/>
      <c r="R17" s="20"/>
      <c r="S17" s="6"/>
      <c r="T17" s="6"/>
    </row>
    <row r="18" ht="16.8" spans="1:20">
      <c r="A18" s="6"/>
      <c r="B18" s="17" t="s">
        <v>31</v>
      </c>
      <c r="C18" s="37">
        <f>淘系!C18+淘系达播!C18</f>
        <v>3834179.09425527</v>
      </c>
      <c r="D18" s="37">
        <f>淘系!D18+淘系达播!D18</f>
        <v>3185608.07263991</v>
      </c>
      <c r="E18" s="37">
        <f>淘系!E18+淘系达播!E18</f>
        <v>3442018.12219689</v>
      </c>
      <c r="F18" s="37">
        <f>淘系!F18+淘系达播!F18</f>
        <v>2849655.34226633</v>
      </c>
      <c r="G18" s="37">
        <f>淘系!G18+淘系达播!G18</f>
        <v>6994993.42727942</v>
      </c>
      <c r="H18" s="37">
        <f>淘系!H18+淘系达播!H18</f>
        <v>5484903.12567167</v>
      </c>
      <c r="I18" s="37">
        <f>淘系!I18+淘系达播!I18</f>
        <v>3175506.84277989</v>
      </c>
      <c r="J18" s="37">
        <f>淘系!J18+淘系达播!J18</f>
        <v>5233572.75475156</v>
      </c>
      <c r="K18" s="37">
        <f>淘系!K18+淘系达播!K18</f>
        <v>3315479.24498141</v>
      </c>
      <c r="L18" s="37">
        <f>淘系!L18+淘系达播!L18</f>
        <v>7574838.50292576</v>
      </c>
      <c r="M18" s="37">
        <f>淘系!M18+淘系达播!M18</f>
        <v>5002251.10995722</v>
      </c>
      <c r="N18" s="37">
        <f>淘系!N18+淘系达播!N18</f>
        <v>3530496.2829666</v>
      </c>
      <c r="O18" s="37">
        <f>SUM(C18:N18)</f>
        <v>53623501.9226719</v>
      </c>
      <c r="P18" s="38">
        <f>O18/O16</f>
        <v>0.445773462592641</v>
      </c>
      <c r="Q18" s="6"/>
      <c r="R18" s="20"/>
      <c r="S18" s="6"/>
      <c r="T18" s="6"/>
    </row>
    <row r="19" ht="16.8" spans="1:20">
      <c r="A19" s="6"/>
      <c r="B19" s="21" t="s">
        <v>32</v>
      </c>
      <c r="C19" s="40">
        <f>淘系!C19+淘系达播!C19</f>
        <v>3998961.36156371</v>
      </c>
      <c r="D19" s="40">
        <f>淘系!D19+淘系达播!D19</f>
        <v>3350285.184604</v>
      </c>
      <c r="E19" s="40">
        <f>淘系!E19+淘系达播!E19</f>
        <v>3251507.25385856</v>
      </c>
      <c r="F19" s="40">
        <f>淘系!F19+淘系达播!F19</f>
        <v>2676982.73413148</v>
      </c>
      <c r="G19" s="40">
        <f>淘系!G19+淘系达播!G19</f>
        <v>8233854.54558178</v>
      </c>
      <c r="H19" s="40">
        <f>淘系!H19+淘系达播!H19</f>
        <v>6270090.43839853</v>
      </c>
      <c r="I19" s="40">
        <f>淘系!I19+淘系达播!I19</f>
        <v>4191828.8811072</v>
      </c>
      <c r="J19" s="40">
        <f>淘系!J19+淘系达播!J19</f>
        <v>6941905.65743414</v>
      </c>
      <c r="K19" s="40">
        <f>淘系!K19+淘系达播!K19</f>
        <v>4533404.0176509</v>
      </c>
      <c r="L19" s="40">
        <f>淘系!L19+淘系达播!L19</f>
        <v>10651450.7633108</v>
      </c>
      <c r="M19" s="40">
        <f>淘系!M19+淘系达播!M19</f>
        <v>7317740.38375388</v>
      </c>
      <c r="N19" s="40">
        <f>淘系!N19+淘系达播!N19</f>
        <v>5251654.62503916</v>
      </c>
      <c r="O19" s="40">
        <f>SUM(C19:N19)</f>
        <v>66669665.8464341</v>
      </c>
      <c r="P19" s="41">
        <f>O19/$O$16</f>
        <v>0.554226537407358</v>
      </c>
      <c r="Q19" s="6"/>
      <c r="R19" s="20"/>
      <c r="S19" s="6"/>
      <c r="T19" s="6"/>
    </row>
    <row r="20" ht="16.8" spans="1:20">
      <c r="A20" s="36"/>
      <c r="B20" s="4" t="s">
        <v>33</v>
      </c>
      <c r="C20" s="36">
        <f>淘系!C20+淘系达播!C20</f>
        <v>195828.511395475</v>
      </c>
      <c r="D20" s="36">
        <f>淘系!D20+淘系达播!D20</f>
        <v>163397.331431098</v>
      </c>
      <c r="E20" s="36">
        <f>淘系!E20+淘系达播!E20</f>
        <v>167338.134401386</v>
      </c>
      <c r="F20" s="36">
        <f>淘系!F20+淘系达播!F20</f>
        <v>138165.951909945</v>
      </c>
      <c r="G20" s="36">
        <f>淘系!G20+淘系达播!G20</f>
        <v>380721.19932153</v>
      </c>
      <c r="H20" s="36">
        <f>淘系!H20+淘系达播!H20</f>
        <v>293874.839101755</v>
      </c>
      <c r="I20" s="36">
        <f>淘系!I20+淘系达播!I20</f>
        <v>184183.393097177</v>
      </c>
      <c r="J20" s="36">
        <f>淘系!J20+淘系达播!J20</f>
        <v>304386.960304643</v>
      </c>
      <c r="K20" s="36">
        <f>淘系!K20+淘系达播!K20</f>
        <v>196222.081565808</v>
      </c>
      <c r="L20" s="36">
        <f>淘系!L20+淘系达播!L20</f>
        <v>455657.231655913</v>
      </c>
      <c r="M20" s="36">
        <f>淘系!M20+淘系达播!M20</f>
        <v>307999.787342777</v>
      </c>
      <c r="N20" s="36">
        <f>淘系!N20+淘系达播!N20</f>
        <v>219553.772700144</v>
      </c>
      <c r="O20" s="36">
        <f>SUM(C20:N20)</f>
        <v>3007329.19422765</v>
      </c>
      <c r="P20" s="42">
        <v>0.025</v>
      </c>
      <c r="Q20" s="6"/>
      <c r="R20" s="20"/>
      <c r="S20" s="6"/>
      <c r="T20" s="6"/>
    </row>
    <row r="21" ht="16.8" spans="1:20">
      <c r="A21" s="6"/>
      <c r="B21" s="21" t="s">
        <v>35</v>
      </c>
      <c r="C21" s="40">
        <f>淘系!C21+淘系达播!C21</f>
        <v>4030007.60565074</v>
      </c>
      <c r="D21" s="40">
        <f>淘系!D21+淘系达播!D21</f>
        <v>3349005.40407101</v>
      </c>
      <c r="E21" s="40">
        <f>淘系!E21+淘系达播!E21</f>
        <v>3609356.25659828</v>
      </c>
      <c r="F21" s="40">
        <f>淘系!F21+淘系达播!F21</f>
        <v>2987821.29417627</v>
      </c>
      <c r="G21" s="40">
        <f>淘系!G21+淘系达播!G21</f>
        <v>7375714.62660095</v>
      </c>
      <c r="H21" s="40">
        <f>淘系!H21+淘系达播!H21</f>
        <v>5778777.96477342</v>
      </c>
      <c r="I21" s="40">
        <f>淘系!I21+淘系达播!I21</f>
        <v>3359690.23587707</v>
      </c>
      <c r="J21" s="40">
        <f>淘系!J21+淘系达播!J21</f>
        <v>5537959.71505621</v>
      </c>
      <c r="K21" s="40">
        <f>淘系!K21+淘系达播!K21</f>
        <v>3511701.32654722</v>
      </c>
      <c r="L21" s="40">
        <f>淘系!L21+淘系达播!L21</f>
        <v>8030495.73458167</v>
      </c>
      <c r="M21" s="40">
        <f>淘系!M21+淘系达播!M21</f>
        <v>5310250.8973</v>
      </c>
      <c r="N21" s="40">
        <f>淘系!N21+淘系达播!N21</f>
        <v>3750050.05566674</v>
      </c>
      <c r="O21" s="40">
        <f>SUM(C21:N21)</f>
        <v>56630831.1168996</v>
      </c>
      <c r="P21" s="41">
        <f>O21/$O$16</f>
        <v>0.470773462592641</v>
      </c>
      <c r="Q21" s="6"/>
      <c r="R21" s="20"/>
      <c r="S21" s="6"/>
      <c r="T21" s="6"/>
    </row>
    <row r="22" ht="16.8" spans="1:20">
      <c r="A22" s="32"/>
      <c r="B22" s="12" t="s">
        <v>36</v>
      </c>
      <c r="C22" s="12">
        <f>淘系!C22+淘系达播!C22</f>
        <v>3803132.85016824</v>
      </c>
      <c r="D22" s="12">
        <f>淘系!D22+淘系达播!D22</f>
        <v>3186887.85317291</v>
      </c>
      <c r="E22" s="12">
        <f>淘系!E22+淘系达播!E22</f>
        <v>3084169.11945717</v>
      </c>
      <c r="F22" s="12">
        <f>淘系!F22+淘系达播!F22</f>
        <v>2538816.78222154</v>
      </c>
      <c r="G22" s="12">
        <f>淘系!G22+淘系达播!G22</f>
        <v>7853133.34626025</v>
      </c>
      <c r="H22" s="12">
        <f>淘系!H22+淘系达播!H22</f>
        <v>5976215.59929678</v>
      </c>
      <c r="I22" s="12">
        <f>淘系!I22+淘系达播!I22</f>
        <v>4007645.48801003</v>
      </c>
      <c r="J22" s="12">
        <f>淘系!J22+淘系达播!J22</f>
        <v>6637518.6971295</v>
      </c>
      <c r="K22" s="12">
        <f>淘系!K22+淘系达播!K22</f>
        <v>4337181.93608509</v>
      </c>
      <c r="L22" s="12">
        <f>淘系!L22+淘系达播!L22</f>
        <v>10195793.5316548</v>
      </c>
      <c r="M22" s="12">
        <f>淘系!M22+淘系达播!M22</f>
        <v>7009740.5964111</v>
      </c>
      <c r="N22" s="12">
        <f>淘系!N22+淘系达播!N22</f>
        <v>5032100.85233902</v>
      </c>
      <c r="O22" s="12">
        <f>SUM(C22:N22)</f>
        <v>63662336.6522065</v>
      </c>
      <c r="P22" s="43">
        <f>O22/$O$16</f>
        <v>0.529226537407359</v>
      </c>
      <c r="Q22" s="6"/>
      <c r="R22" s="20"/>
      <c r="S22" s="6"/>
      <c r="T22" s="6"/>
    </row>
    <row r="23" ht="16.8" spans="1:20">
      <c r="A23" s="6"/>
      <c r="B23" s="14" t="s">
        <v>37</v>
      </c>
      <c r="C23" s="44">
        <f t="shared" ref="C23:O23" si="1">C19/C16</f>
        <v>0.510518276050191</v>
      </c>
      <c r="D23" s="44">
        <f t="shared" si="1"/>
        <v>0.512597904026475</v>
      </c>
      <c r="E23" s="44">
        <f t="shared" si="1"/>
        <v>0.485769018743109</v>
      </c>
      <c r="F23" s="44">
        <f t="shared" si="1"/>
        <v>0.484378151260504</v>
      </c>
      <c r="G23" s="44">
        <f t="shared" si="1"/>
        <v>0.54067481402763</v>
      </c>
      <c r="H23" s="44">
        <f t="shared" si="1"/>
        <v>0.533398032438182</v>
      </c>
      <c r="I23" s="44">
        <f t="shared" si="1"/>
        <v>0.56897486937049</v>
      </c>
      <c r="J23" s="44">
        <f t="shared" si="1"/>
        <v>0.570154652032926</v>
      </c>
      <c r="K23" s="44">
        <f t="shared" si="1"/>
        <v>0.577585863613738</v>
      </c>
      <c r="L23" s="44">
        <f t="shared" si="1"/>
        <v>0.584400401404917</v>
      </c>
      <c r="M23" s="44">
        <f t="shared" si="1"/>
        <v>0.59397284385215</v>
      </c>
      <c r="N23" s="44">
        <f t="shared" si="1"/>
        <v>0.597991845056065</v>
      </c>
      <c r="O23" s="44">
        <f t="shared" si="1"/>
        <v>0.554226537407358</v>
      </c>
      <c r="P23" s="42"/>
      <c r="Q23" s="6"/>
      <c r="R23" s="20"/>
      <c r="S23" s="6"/>
      <c r="T23" s="6"/>
    </row>
    <row r="24" ht="16.8" spans="1:20">
      <c r="A24" s="6"/>
      <c r="B24" s="14" t="s">
        <v>38</v>
      </c>
      <c r="C24" s="44">
        <f t="shared" ref="C24:O24" si="2">IFERROR(1-C21/C16,0)</f>
        <v>0.485518276050191</v>
      </c>
      <c r="D24" s="44">
        <f t="shared" si="2"/>
        <v>0.487597904026476</v>
      </c>
      <c r="E24" s="44">
        <f t="shared" si="2"/>
        <v>0.460769018743109</v>
      </c>
      <c r="F24" s="44">
        <f t="shared" si="2"/>
        <v>0.459378151260504</v>
      </c>
      <c r="G24" s="44">
        <f t="shared" si="2"/>
        <v>0.51567481402763</v>
      </c>
      <c r="H24" s="44">
        <f t="shared" si="2"/>
        <v>0.508398032438181</v>
      </c>
      <c r="I24" s="44">
        <f t="shared" si="2"/>
        <v>0.54397486937049</v>
      </c>
      <c r="J24" s="44">
        <f t="shared" si="2"/>
        <v>0.545154652032926</v>
      </c>
      <c r="K24" s="44">
        <f t="shared" si="2"/>
        <v>0.552585863613738</v>
      </c>
      <c r="L24" s="44">
        <f t="shared" si="2"/>
        <v>0.559400401404917</v>
      </c>
      <c r="M24" s="44">
        <f t="shared" si="2"/>
        <v>0.56897284385215</v>
      </c>
      <c r="N24" s="44">
        <f t="shared" si="2"/>
        <v>0.572991845056065</v>
      </c>
      <c r="O24" s="44">
        <f t="shared" si="2"/>
        <v>0.529226537407359</v>
      </c>
      <c r="P24" s="42"/>
      <c r="Q24" s="6"/>
      <c r="R24" s="20"/>
      <c r="S24" s="6"/>
      <c r="T24" s="6"/>
    </row>
    <row r="25" ht="16.8" spans="1:20">
      <c r="A25" s="6"/>
      <c r="B25" s="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42"/>
      <c r="Q25" s="6"/>
      <c r="R25" s="20"/>
      <c r="S25" s="6"/>
      <c r="T25" s="6"/>
    </row>
    <row r="26" ht="16.8" spans="1:20">
      <c r="A26" s="6"/>
      <c r="B26" s="17" t="s">
        <v>39</v>
      </c>
      <c r="C26" s="37">
        <f>淘系!C26+淘系达播!C26</f>
        <v>344766.282396948</v>
      </c>
      <c r="D26" s="37">
        <f>淘系!D26+淘系达播!D26</f>
        <v>884463.636300569</v>
      </c>
      <c r="E26" s="37">
        <f>淘系!E26+淘系达播!E26</f>
        <v>1398757.59166087</v>
      </c>
      <c r="F26" s="37">
        <f>淘系!F26+淘系达播!F26</f>
        <v>829058.819422414</v>
      </c>
      <c r="G26" s="37">
        <f>淘系!G26+淘系达播!G26</f>
        <v>2988045.25638394</v>
      </c>
      <c r="H26" s="37">
        <f>淘系!H26+淘系达播!H26</f>
        <v>1792295.01364588</v>
      </c>
      <c r="I26" s="37">
        <f>淘系!I26+淘系达播!I26</f>
        <v>467288.169670594</v>
      </c>
      <c r="J26" s="37">
        <f>淘系!J26+淘系达播!J26</f>
        <v>656848.495979059</v>
      </c>
      <c r="K26" s="37">
        <f>淘系!K26+淘系达播!K26</f>
        <v>482984.27547099</v>
      </c>
      <c r="L26" s="37">
        <f>淘系!L26+淘系达播!L26</f>
        <v>1697442.8081666</v>
      </c>
      <c r="M26" s="37">
        <f>淘系!M26+淘系达播!M26</f>
        <v>699059.171261121</v>
      </c>
      <c r="N26" s="37">
        <f>淘系!N26+淘系达播!N26</f>
        <v>525117.853839183</v>
      </c>
      <c r="O26" s="37">
        <f t="shared" ref="O26:O31" si="3">SUM(C26:N26)</f>
        <v>12766127.3741982</v>
      </c>
      <c r="P26" s="38">
        <f t="shared" ref="P26:P31" si="4">O26/$O$16</f>
        <v>0.106125124235666</v>
      </c>
      <c r="Q26" s="6"/>
      <c r="R26" s="20"/>
      <c r="S26" s="6"/>
      <c r="T26" s="6"/>
    </row>
    <row r="27" ht="16.8" spans="1:20">
      <c r="A27" s="36"/>
      <c r="B27" s="4" t="s">
        <v>40</v>
      </c>
      <c r="C27" s="45">
        <f>淘系!C27+淘系达播!C27</f>
        <v>0</v>
      </c>
      <c r="D27" s="45">
        <f>淘系!D27+淘系达播!D27</f>
        <v>0</v>
      </c>
      <c r="E27" s="45">
        <f>淘系!E27+淘系达播!E27</f>
        <v>20175.6892611299</v>
      </c>
      <c r="F27" s="45">
        <f>淘系!F27+淘系达播!F27</f>
        <v>16838.7599712898</v>
      </c>
      <c r="G27" s="45">
        <f>淘系!G27+淘系达播!G27</f>
        <v>36046.1284916249</v>
      </c>
      <c r="H27" s="45">
        <f>淘系!H27+淘系达播!H27</f>
        <v>31582.6684709412</v>
      </c>
      <c r="I27" s="45">
        <f>淘系!I27+淘系达播!I27</f>
        <v>20332.9191341838</v>
      </c>
      <c r="J27" s="45">
        <f>淘系!J27+淘系达播!J27</f>
        <v>28092.1974575085</v>
      </c>
      <c r="K27" s="45">
        <f>淘系!K27+淘系达播!K27</f>
        <v>22447.1882183574</v>
      </c>
      <c r="L27" s="45">
        <f>淘系!L27+淘系达播!L27</f>
        <v>37957.9049075691</v>
      </c>
      <c r="M27" s="45">
        <f>淘系!M27+淘系达播!M27</f>
        <v>28520.3975177915</v>
      </c>
      <c r="N27" s="45">
        <f>淘系!N27+淘系达播!N27</f>
        <v>0</v>
      </c>
      <c r="O27" s="36">
        <f t="shared" si="3"/>
        <v>241993.853430396</v>
      </c>
      <c r="P27" s="42">
        <f t="shared" si="4"/>
        <v>0.00201170073012696</v>
      </c>
      <c r="Q27" s="4"/>
      <c r="R27" s="20"/>
      <c r="S27" s="6"/>
      <c r="T27" s="6"/>
    </row>
    <row r="28" ht="16.8" spans="1:20">
      <c r="A28" s="36"/>
      <c r="B28" s="4" t="s">
        <v>41</v>
      </c>
      <c r="C28" s="45">
        <f>淘系!C28+淘系达播!C28</f>
        <v>146616</v>
      </c>
      <c r="D28" s="45">
        <f>淘系!D28+淘系达播!D28</f>
        <v>146616</v>
      </c>
      <c r="E28" s="45">
        <f>淘系!E28+淘系达播!E28</f>
        <v>146616</v>
      </c>
      <c r="F28" s="45">
        <f>淘系!F28+淘系达播!F28</f>
        <v>166822.511965548</v>
      </c>
      <c r="G28" s="45">
        <f>淘系!G28+淘系达播!G28</f>
        <v>362892.77094975</v>
      </c>
      <c r="H28" s="45">
        <f>淘系!H28+淘系达播!H28</f>
        <v>247680.539107012</v>
      </c>
      <c r="I28" s="45">
        <f>淘系!I28+淘系达播!I28</f>
        <v>146616</v>
      </c>
      <c r="J28" s="45">
        <f>淘系!J28+淘系达播!J28</f>
        <v>180326.63694901</v>
      </c>
      <c r="K28" s="45">
        <f>淘系!K28+淘系达播!K28</f>
        <v>218447.002298744</v>
      </c>
      <c r="L28" s="45">
        <f>淘系!L28+淘系达播!L28</f>
        <v>192165.485889083</v>
      </c>
      <c r="M28" s="45">
        <f>淘系!M28+淘系达播!M28</f>
        <v>180840.47702135</v>
      </c>
      <c r="N28" s="45">
        <f>淘系!N28+淘系达播!N28</f>
        <v>146616</v>
      </c>
      <c r="O28" s="36">
        <f t="shared" si="3"/>
        <v>2282255.4241805</v>
      </c>
      <c r="P28" s="42">
        <f t="shared" si="4"/>
        <v>0.0189724442917749</v>
      </c>
      <c r="Q28" s="4" t="s">
        <v>115</v>
      </c>
      <c r="R28" s="20"/>
      <c r="S28" s="6"/>
      <c r="T28" s="6"/>
    </row>
    <row r="29" ht="16.8" spans="1:20">
      <c r="A29" s="36"/>
      <c r="B29" s="4" t="s">
        <v>42</v>
      </c>
      <c r="C29" s="45">
        <f>淘系!C29+淘系达播!C29</f>
        <v>9924.63230516605</v>
      </c>
      <c r="D29" s="45">
        <f>淘系!D29+淘系达播!D29</f>
        <v>8035.33867497041</v>
      </c>
      <c r="E29" s="45">
        <f>淘系!E29+淘系达播!E29</f>
        <v>8070.27570445197</v>
      </c>
      <c r="F29" s="45">
        <f>淘系!F29+淘系达播!F29</f>
        <v>33677.5199425796</v>
      </c>
      <c r="G29" s="45">
        <f>淘系!G29+淘系达播!G29</f>
        <v>216276.770949749</v>
      </c>
      <c r="H29" s="45">
        <f>淘系!H29+淘系达播!H29</f>
        <v>138963.741272141</v>
      </c>
      <c r="I29" s="45">
        <f>淘系!I29+淘系达播!I29</f>
        <v>0</v>
      </c>
      <c r="J29" s="45">
        <f>淘系!J29+淘系达播!J29</f>
        <v>33710.6369490101</v>
      </c>
      <c r="K29" s="45">
        <f>淘系!K29+淘系达播!K29</f>
        <v>71831.0022987438</v>
      </c>
      <c r="L29" s="45">
        <f>淘系!L29+淘系达播!L29</f>
        <v>75915.8098151382</v>
      </c>
      <c r="M29" s="45">
        <f>淘系!M29+淘系达播!M29</f>
        <v>57040.7950355831</v>
      </c>
      <c r="N29" s="45">
        <f>淘系!N29+淘系达播!N29</f>
        <v>9979.4616667647</v>
      </c>
      <c r="O29" s="36">
        <f t="shared" si="3"/>
        <v>663425.984614299</v>
      </c>
      <c r="P29" s="42">
        <f t="shared" si="4"/>
        <v>0.00551507618360917</v>
      </c>
      <c r="Q29" s="6"/>
      <c r="R29" s="20"/>
      <c r="S29" s="6"/>
      <c r="T29" s="6"/>
    </row>
    <row r="30" ht="16.8" spans="1:20">
      <c r="A30" s="36"/>
      <c r="B30" s="4" t="s">
        <v>43</v>
      </c>
      <c r="C30" s="45">
        <f>淘系!C30+淘系达播!C30</f>
        <v>9924.63230516605</v>
      </c>
      <c r="D30" s="45">
        <f>淘系!D30+淘系达播!D30</f>
        <v>8035.33867497041</v>
      </c>
      <c r="E30" s="45">
        <f>淘系!E30+淘系达播!E30</f>
        <v>64562.2056356158</v>
      </c>
      <c r="F30" s="45">
        <f>淘系!F30+淘系达播!F30</f>
        <v>6735.50398851592</v>
      </c>
      <c r="G30" s="45">
        <f>淘系!G30+淘系达播!G30</f>
        <v>43255.3541899499</v>
      </c>
      <c r="H30" s="45">
        <f>淘系!H30+淘系达播!H30</f>
        <v>12633.0673883765</v>
      </c>
      <c r="I30" s="45">
        <f>淘系!I30+淘系达播!I30</f>
        <v>8133.16765367351</v>
      </c>
      <c r="J30" s="45">
        <f>淘系!J30+淘系达播!J30</f>
        <v>11236.8789830034</v>
      </c>
      <c r="K30" s="45">
        <f>淘系!K30+淘系达播!K30</f>
        <v>8978.87528734297</v>
      </c>
      <c r="L30" s="45">
        <f>淘系!L30+淘系达播!L30</f>
        <v>30366.3239260553</v>
      </c>
      <c r="M30" s="45">
        <f>淘系!M30+淘系达播!M30</f>
        <v>22816.3180142332</v>
      </c>
      <c r="N30" s="45">
        <f>淘系!N30+淘系达播!N30</f>
        <v>9979.4616667647</v>
      </c>
      <c r="O30" s="36">
        <f t="shared" si="3"/>
        <v>236657.127713668</v>
      </c>
      <c r="P30" s="42">
        <f t="shared" si="4"/>
        <v>0.00196733640074982</v>
      </c>
      <c r="Q30" s="6"/>
      <c r="R30" s="20"/>
      <c r="S30" s="6"/>
      <c r="T30" s="6"/>
    </row>
    <row r="31" ht="16.8" collapsed="1" spans="1:20">
      <c r="A31" s="36"/>
      <c r="B31" s="4" t="s">
        <v>44</v>
      </c>
      <c r="C31" s="45">
        <f>淘系!C31+淘系达播!C31</f>
        <v>178301.017786616</v>
      </c>
      <c r="D31" s="45">
        <f>淘系!D31+淘系达播!D31</f>
        <v>721776.958950628</v>
      </c>
      <c r="E31" s="45">
        <f>淘系!E31+淘系达播!E31</f>
        <v>1159333.42105968</v>
      </c>
      <c r="F31" s="45">
        <f>淘系!F31+淘系达播!F31</f>
        <v>604984.523554481</v>
      </c>
      <c r="G31" s="45">
        <f>淘系!G31+淘系达播!G31</f>
        <v>2329574.23180286</v>
      </c>
      <c r="H31" s="45">
        <f>淘系!H31+淘系达播!H31</f>
        <v>1361434.99740741</v>
      </c>
      <c r="I31" s="45">
        <f>淘系!I31+淘系达播!I31</f>
        <v>292206.082882737</v>
      </c>
      <c r="J31" s="45">
        <f>淘系!J31+淘系达播!J31</f>
        <v>403482.145640527</v>
      </c>
      <c r="K31" s="45">
        <f>淘系!K31+淘系达播!K31</f>
        <v>161280.207367802</v>
      </c>
      <c r="L31" s="45">
        <f>淘系!L31+淘系达播!L31</f>
        <v>1361037.28362876</v>
      </c>
      <c r="M31" s="45">
        <f>淘系!M31+淘系达播!M31</f>
        <v>409841.183672164</v>
      </c>
      <c r="N31" s="45">
        <f>淘系!N31+淘系达播!N31</f>
        <v>358542.930505654</v>
      </c>
      <c r="O31" s="36">
        <f t="shared" si="3"/>
        <v>9341794.98425931</v>
      </c>
      <c r="P31" s="42">
        <f t="shared" si="4"/>
        <v>0.0776585666294049</v>
      </c>
      <c r="Q31" s="6"/>
      <c r="R31" s="20"/>
      <c r="S31" s="6"/>
      <c r="T31" s="6"/>
    </row>
    <row r="32" ht="16.8" hidden="1" outlineLevel="1" spans="1:20">
      <c r="A32" s="36"/>
      <c r="B32" s="4" t="s">
        <v>45</v>
      </c>
      <c r="C32" s="36">
        <f>淘系!C32+淘系达播!C32</f>
        <v>0</v>
      </c>
      <c r="D32" s="36">
        <f>淘系!D32+淘系达播!D32</f>
        <v>0</v>
      </c>
      <c r="E32" s="36">
        <f>淘系!E32+淘系达播!E32</f>
        <v>0</v>
      </c>
      <c r="F32" s="36">
        <f>淘系!F32+淘系达播!F32</f>
        <v>0</v>
      </c>
      <c r="G32" s="36">
        <f>淘系!G32+淘系达播!G32</f>
        <v>0</v>
      </c>
      <c r="H32" s="36">
        <f>淘系!H32+淘系达播!H32</f>
        <v>0</v>
      </c>
      <c r="I32" s="36">
        <f>淘系!I32+淘系达播!I32</f>
        <v>0</v>
      </c>
      <c r="J32" s="36">
        <f>淘系!J32+淘系达播!J32</f>
        <v>0</v>
      </c>
      <c r="K32" s="36">
        <f>淘系!K32+淘系达播!K32</f>
        <v>0</v>
      </c>
      <c r="L32" s="36">
        <f>淘系!L32+淘系达播!L32</f>
        <v>0</v>
      </c>
      <c r="M32" s="36">
        <f>淘系!M32+淘系达播!M32</f>
        <v>0</v>
      </c>
      <c r="N32" s="36">
        <f>淘系!N32+淘系达播!N32</f>
        <v>0</v>
      </c>
      <c r="O32" s="36"/>
      <c r="P32" s="42"/>
      <c r="Q32" s="6"/>
      <c r="R32" s="20"/>
      <c r="S32" s="6"/>
      <c r="T32" s="6"/>
    </row>
    <row r="33" ht="16.8" hidden="1" outlineLevel="1" spans="1:20">
      <c r="A33" s="36"/>
      <c r="B33" s="4" t="s">
        <v>46</v>
      </c>
      <c r="C33" s="36">
        <f>淘系!C33+淘系达播!C33</f>
        <v>0</v>
      </c>
      <c r="D33" s="36">
        <f>淘系!D33+淘系达播!D33</f>
        <v>0</v>
      </c>
      <c r="E33" s="36">
        <f>淘系!E33+淘系达播!E33</f>
        <v>0</v>
      </c>
      <c r="F33" s="36">
        <f>淘系!F33+淘系达播!F33</f>
        <v>0</v>
      </c>
      <c r="G33" s="36">
        <f>淘系!G33+淘系达播!G33</f>
        <v>0</v>
      </c>
      <c r="H33" s="36">
        <f>淘系!H33+淘系达播!H33</f>
        <v>0</v>
      </c>
      <c r="I33" s="36">
        <f>淘系!I33+淘系达播!I33</f>
        <v>0</v>
      </c>
      <c r="J33" s="36">
        <f>淘系!J33+淘系达播!J33</f>
        <v>0</v>
      </c>
      <c r="K33" s="36">
        <f>淘系!K33+淘系达播!K33</f>
        <v>0</v>
      </c>
      <c r="L33" s="36">
        <f>淘系!L33+淘系达播!L33</f>
        <v>0</v>
      </c>
      <c r="M33" s="36">
        <f>淘系!M33+淘系达播!M33</f>
        <v>0</v>
      </c>
      <c r="N33" s="36">
        <f>淘系!N33+淘系达播!N33</f>
        <v>0</v>
      </c>
      <c r="O33" s="36"/>
      <c r="P33" s="42"/>
      <c r="Q33" s="6"/>
      <c r="R33" s="20"/>
      <c r="S33" s="6"/>
      <c r="T33" s="6"/>
    </row>
    <row r="34" ht="16.8" hidden="1" outlineLevel="1" spans="1:20">
      <c r="A34" s="36"/>
      <c r="B34" s="4" t="s">
        <v>47</v>
      </c>
      <c r="C34" s="36">
        <f>淘系!C34+淘系达播!C34</f>
        <v>0</v>
      </c>
      <c r="D34" s="36">
        <f>淘系!D34+淘系达播!D34</f>
        <v>0</v>
      </c>
      <c r="E34" s="36">
        <f>淘系!E34+淘系达播!E34</f>
        <v>0</v>
      </c>
      <c r="F34" s="36">
        <f>淘系!F34+淘系达播!F34</f>
        <v>0</v>
      </c>
      <c r="G34" s="36">
        <f>淘系!G34+淘系达播!G34</f>
        <v>0</v>
      </c>
      <c r="H34" s="36">
        <f>淘系!H34+淘系达播!H34</f>
        <v>0</v>
      </c>
      <c r="I34" s="36">
        <f>淘系!I34+淘系达播!I34</f>
        <v>0</v>
      </c>
      <c r="J34" s="36">
        <f>淘系!J34+淘系达播!J34</f>
        <v>0</v>
      </c>
      <c r="K34" s="36">
        <f>淘系!K34+淘系达播!K34</f>
        <v>0</v>
      </c>
      <c r="L34" s="36">
        <f>淘系!L34+淘系达播!L34</f>
        <v>0</v>
      </c>
      <c r="M34" s="36">
        <f>淘系!M34+淘系达播!M34</f>
        <v>0</v>
      </c>
      <c r="N34" s="36">
        <f>淘系!N34+淘系达播!N34</f>
        <v>0</v>
      </c>
      <c r="O34" s="36"/>
      <c r="P34" s="42"/>
      <c r="Q34" s="6"/>
      <c r="R34" s="20"/>
      <c r="S34" s="6"/>
      <c r="T34" s="6"/>
    </row>
    <row r="35" ht="16.8" hidden="1" outlineLevel="1" spans="1:20">
      <c r="A35" s="36"/>
      <c r="B35" s="4" t="s">
        <v>48</v>
      </c>
      <c r="C35" s="36">
        <f>淘系!C35+淘系达播!C35</f>
        <v>0</v>
      </c>
      <c r="D35" s="36">
        <f>淘系!D35+淘系达播!D35</f>
        <v>0</v>
      </c>
      <c r="E35" s="36">
        <f>淘系!E35+淘系达播!E35</f>
        <v>0</v>
      </c>
      <c r="F35" s="36">
        <f>淘系!F35+淘系达播!F35</f>
        <v>0</v>
      </c>
      <c r="G35" s="36">
        <f>淘系!G35+淘系达播!G35</f>
        <v>0</v>
      </c>
      <c r="H35" s="36">
        <f>淘系!H35+淘系达播!H35</f>
        <v>0</v>
      </c>
      <c r="I35" s="36">
        <f>淘系!I35+淘系达播!I35</f>
        <v>0</v>
      </c>
      <c r="J35" s="36">
        <f>淘系!J35+淘系达播!J35</f>
        <v>0</v>
      </c>
      <c r="K35" s="36">
        <f>淘系!K35+淘系达播!K35</f>
        <v>0</v>
      </c>
      <c r="L35" s="36">
        <f>淘系!L35+淘系达播!L35</f>
        <v>0</v>
      </c>
      <c r="M35" s="36">
        <f>淘系!M35+淘系达播!M35</f>
        <v>0</v>
      </c>
      <c r="N35" s="36">
        <f>淘系!N35+淘系达播!N35</f>
        <v>0</v>
      </c>
      <c r="O35" s="36"/>
      <c r="P35" s="42"/>
      <c r="Q35" s="6"/>
      <c r="R35" s="20"/>
      <c r="S35" s="6"/>
      <c r="T35" s="6"/>
    </row>
    <row r="36" ht="16.8" hidden="1" outlineLevel="1" spans="1:20">
      <c r="A36" s="36"/>
      <c r="B36" s="4" t="s">
        <v>49</v>
      </c>
      <c r="C36" s="46">
        <f>淘系!C36+淘系达播!C36</f>
        <v>0</v>
      </c>
      <c r="D36" s="46">
        <f>淘系!D36+淘系达播!D36</f>
        <v>0</v>
      </c>
      <c r="E36" s="46">
        <f>淘系!E36+淘系达播!E36</f>
        <v>0</v>
      </c>
      <c r="F36" s="46">
        <f>淘系!F36+淘系达播!F36</f>
        <v>0</v>
      </c>
      <c r="G36" s="46">
        <f>淘系!G36+淘系达播!G36</f>
        <v>0</v>
      </c>
      <c r="H36" s="46">
        <f>淘系!H36+淘系达播!H36</f>
        <v>0</v>
      </c>
      <c r="I36" s="46">
        <f>淘系!I36+淘系达播!I36</f>
        <v>0</v>
      </c>
      <c r="J36" s="46">
        <f>淘系!J36+淘系达播!J36</f>
        <v>0</v>
      </c>
      <c r="K36" s="46">
        <f>淘系!K36+淘系达播!K36</f>
        <v>0</v>
      </c>
      <c r="L36" s="46">
        <f>淘系!L36+淘系达播!L36</f>
        <v>0</v>
      </c>
      <c r="M36" s="46">
        <f>淘系!M36+淘系达播!M36</f>
        <v>0</v>
      </c>
      <c r="N36" s="46">
        <f>淘系!N36+淘系达播!N36</f>
        <v>0</v>
      </c>
      <c r="O36" s="36"/>
      <c r="P36" s="42"/>
      <c r="Q36" s="6"/>
      <c r="R36" s="20"/>
      <c r="S36" s="6"/>
      <c r="T36" s="6"/>
    </row>
    <row r="37" ht="16.8" spans="1:20">
      <c r="A37" s="6"/>
      <c r="B37" s="17" t="s">
        <v>50</v>
      </c>
      <c r="C37" s="37">
        <f>淘系!C37+淘系达播!C37</f>
        <v>1528792.34557522</v>
      </c>
      <c r="D37" s="37">
        <f>淘系!D37+淘系达播!D37</f>
        <v>1508173.0819469</v>
      </c>
      <c r="E37" s="37">
        <f>淘系!E37+淘系达播!E37</f>
        <v>1487236.71769912</v>
      </c>
      <c r="F37" s="37">
        <f>淘系!F37+淘系达播!F37</f>
        <v>1205744.72074336</v>
      </c>
      <c r="G37" s="37">
        <f>淘系!G37+淘系达播!G37</f>
        <v>4056685.45042832</v>
      </c>
      <c r="H37" s="37">
        <f>淘系!H37+淘系达播!H37</f>
        <v>3149296.12495575</v>
      </c>
      <c r="I37" s="37">
        <f>淘系!I37+淘系达播!I37</f>
        <v>1612478.57204425</v>
      </c>
      <c r="J37" s="37">
        <f>淘系!J37+淘系达播!J37</f>
        <v>3113331.00911504</v>
      </c>
      <c r="K37" s="37">
        <f>淘系!K37+淘系达播!K37</f>
        <v>1874077.23132743</v>
      </c>
      <c r="L37" s="37">
        <f>淘系!L37+淘系达播!L37</f>
        <v>4497290.03469027</v>
      </c>
      <c r="M37" s="37">
        <f>淘系!M37+淘系达播!M37</f>
        <v>3255939.61681416</v>
      </c>
      <c r="N37" s="37">
        <f>淘系!N37+淘系达播!N37</f>
        <v>2023010.13274336</v>
      </c>
      <c r="O37" s="37">
        <f>SUM(C37:N37)</f>
        <v>29312055.0380832</v>
      </c>
      <c r="P37" s="38">
        <f>O37/$O$16</f>
        <v>0.243671819286907</v>
      </c>
      <c r="Q37" s="6"/>
      <c r="R37" s="20"/>
      <c r="S37" s="6"/>
      <c r="T37" s="6"/>
    </row>
    <row r="38" ht="16.8" spans="1:20">
      <c r="A38" s="36"/>
      <c r="B38" s="4" t="s">
        <v>51</v>
      </c>
      <c r="C38" s="47">
        <f>淘系!C38+淘系达播!C38</f>
        <v>1070154.64190265</v>
      </c>
      <c r="D38" s="47">
        <f>淘系!D38+淘系达播!D38</f>
        <v>1055721.15736283</v>
      </c>
      <c r="E38" s="47">
        <f>淘系!E38+淘系达播!E38</f>
        <v>1041065.70238938</v>
      </c>
      <c r="F38" s="47">
        <f>淘系!F38+淘系达播!F38</f>
        <v>844021.304520354</v>
      </c>
      <c r="G38" s="47">
        <f>淘系!G38+淘系达播!G38</f>
        <v>2512990.986991</v>
      </c>
      <c r="H38" s="47">
        <f>淘系!H38+淘系达播!H38</f>
        <v>2204507.28746903</v>
      </c>
      <c r="I38" s="47">
        <f>淘系!I38+淘系达播!I38</f>
        <v>1128735.00043097</v>
      </c>
      <c r="J38" s="47">
        <f>淘系!J38+淘系达播!J38</f>
        <v>2179331.70638053</v>
      </c>
      <c r="K38" s="47">
        <f>淘系!K38+淘系达播!K38</f>
        <v>1311854.0619292</v>
      </c>
      <c r="L38" s="47">
        <f>淘系!L38+淘系达播!L38</f>
        <v>3148103.02428319</v>
      </c>
      <c r="M38" s="47">
        <f>淘系!M38+淘系达播!M38</f>
        <v>2279157.73176991</v>
      </c>
      <c r="N38" s="47">
        <f>淘系!N38+淘系达播!N38</f>
        <v>1416107.09292035</v>
      </c>
      <c r="O38" s="36">
        <f>SUM(C38:N38)</f>
        <v>20191749.6983494</v>
      </c>
      <c r="P38" s="42">
        <f>O38/$O$16</f>
        <v>0.167854501405317</v>
      </c>
      <c r="Q38" s="6" t="s">
        <v>91</v>
      </c>
      <c r="R38" s="20"/>
      <c r="S38" s="6"/>
      <c r="T38" s="6"/>
    </row>
    <row r="39" ht="16.8" spans="1:20">
      <c r="A39" s="36"/>
      <c r="B39" s="4" t="s">
        <v>53</v>
      </c>
      <c r="C39" s="47">
        <f>淘系!C39+淘系达播!C39</f>
        <v>0</v>
      </c>
      <c r="D39" s="47">
        <f>淘系!D39+淘系达播!D39</f>
        <v>0</v>
      </c>
      <c r="E39" s="47">
        <f>淘系!E39+淘系达播!E39</f>
        <v>0</v>
      </c>
      <c r="F39" s="47">
        <f>淘系!F39+淘系达播!F39</f>
        <v>0</v>
      </c>
      <c r="G39" s="47">
        <f>淘系!G39+淘系达播!G39</f>
        <v>0</v>
      </c>
      <c r="H39" s="47">
        <f>淘系!H39+淘系达播!H39</f>
        <v>0</v>
      </c>
      <c r="I39" s="47">
        <f>淘系!I39+淘系达播!I39</f>
        <v>0</v>
      </c>
      <c r="J39" s="47">
        <f>淘系!J39+淘系达播!J39</f>
        <v>0</v>
      </c>
      <c r="K39" s="47">
        <f>淘系!K39+淘系达播!K39</f>
        <v>0</v>
      </c>
      <c r="L39" s="47">
        <f>淘系!L39+淘系达播!L39</f>
        <v>0</v>
      </c>
      <c r="M39" s="47">
        <f>淘系!M39+淘系达播!M39</f>
        <v>0</v>
      </c>
      <c r="N39" s="47">
        <f>淘系!N39+淘系达播!N39</f>
        <v>0</v>
      </c>
      <c r="O39" s="36">
        <f>SUM(C39:N39)</f>
        <v>0</v>
      </c>
      <c r="P39" s="42">
        <f>O39/$O$16</f>
        <v>0</v>
      </c>
      <c r="Q39" s="6" t="s">
        <v>91</v>
      </c>
      <c r="R39" s="20"/>
      <c r="S39" s="6"/>
      <c r="T39" s="6"/>
    </row>
    <row r="40" ht="16.8" collapsed="1" spans="1:20">
      <c r="A40" s="36"/>
      <c r="B40" s="4" t="s">
        <v>55</v>
      </c>
      <c r="C40" s="47">
        <f>淘系!C40+淘系达播!C40</f>
        <v>458637.703672567</v>
      </c>
      <c r="D40" s="47">
        <f>淘系!D40+淘系达播!D40</f>
        <v>452451.924584071</v>
      </c>
      <c r="E40" s="47">
        <f>淘系!E40+淘系达播!E40</f>
        <v>446171.015309735</v>
      </c>
      <c r="F40" s="47">
        <f>淘系!F40+淘系达播!F40</f>
        <v>361723.416223009</v>
      </c>
      <c r="G40" s="47">
        <f>淘系!G40+淘系达播!G40</f>
        <v>1543694.46343733</v>
      </c>
      <c r="H40" s="47">
        <f>淘系!H40+淘系达播!H40</f>
        <v>944788.837486726</v>
      </c>
      <c r="I40" s="47">
        <f>淘系!I40+淘系达播!I40</f>
        <v>483743.571613275</v>
      </c>
      <c r="J40" s="47">
        <f>淘系!J40+淘系达播!J40</f>
        <v>933999.302734513</v>
      </c>
      <c r="K40" s="47">
        <f>淘系!K40+淘系达播!K40</f>
        <v>562223.16939823</v>
      </c>
      <c r="L40" s="47">
        <f>淘系!L40+淘系达播!L40</f>
        <v>1349187.01040708</v>
      </c>
      <c r="M40" s="47">
        <f>淘系!M40+淘系达播!M40</f>
        <v>976781.885044248</v>
      </c>
      <c r="N40" s="47">
        <f>淘系!N40+淘系达播!N40</f>
        <v>606903.039823009</v>
      </c>
      <c r="O40" s="36">
        <f>SUM(C40:N40)</f>
        <v>9120305.33973379</v>
      </c>
      <c r="P40" s="42">
        <f>O40/$O$16</f>
        <v>0.0758173178815903</v>
      </c>
      <c r="Q40" s="6" t="s">
        <v>91</v>
      </c>
      <c r="R40" s="20"/>
      <c r="S40" s="6"/>
      <c r="T40" s="6"/>
    </row>
    <row r="41" ht="16.8" hidden="1" outlineLevel="1" spans="1:20">
      <c r="A41" s="36"/>
      <c r="B41" s="4" t="s">
        <v>57</v>
      </c>
      <c r="C41" s="46">
        <f>淘系!C41+淘系达播!C41</f>
        <v>0</v>
      </c>
      <c r="D41" s="46">
        <f>淘系!D41+淘系达播!D41</f>
        <v>0</v>
      </c>
      <c r="E41" s="46">
        <f>淘系!E41+淘系达播!E41</f>
        <v>0</v>
      </c>
      <c r="F41" s="46">
        <f>淘系!F41+淘系达播!F41</f>
        <v>0</v>
      </c>
      <c r="G41" s="46">
        <f>淘系!G41+淘系达播!G41</f>
        <v>0</v>
      </c>
      <c r="H41" s="46">
        <f>淘系!H41+淘系达播!H41</f>
        <v>0</v>
      </c>
      <c r="I41" s="46">
        <f>淘系!I41+淘系达播!I41</f>
        <v>0</v>
      </c>
      <c r="J41" s="46">
        <f>淘系!J41+淘系达播!J41</f>
        <v>0</v>
      </c>
      <c r="K41" s="46">
        <f>淘系!K41+淘系达播!K41</f>
        <v>0</v>
      </c>
      <c r="L41" s="46">
        <f>淘系!L41+淘系达播!L41</f>
        <v>0</v>
      </c>
      <c r="M41" s="46">
        <f>淘系!M41+淘系达播!M41</f>
        <v>0</v>
      </c>
      <c r="N41" s="46">
        <f>淘系!N41+淘系达播!N41</f>
        <v>0</v>
      </c>
      <c r="O41" s="42">
        <f>O38/$O$16</f>
        <v>0.167854501405317</v>
      </c>
      <c r="P41" s="6"/>
      <c r="Q41" s="6" t="s">
        <v>91</v>
      </c>
      <c r="R41" s="20"/>
      <c r="S41" s="6"/>
      <c r="T41" s="6"/>
    </row>
    <row r="42" ht="16.8" hidden="1" outlineLevel="1" spans="1:20">
      <c r="A42" s="36"/>
      <c r="B42" s="4" t="s">
        <v>58</v>
      </c>
      <c r="C42" s="46">
        <f>淘系!C42+淘系达播!C42</f>
        <v>0</v>
      </c>
      <c r="D42" s="46">
        <f>淘系!D42+淘系达播!D42</f>
        <v>0</v>
      </c>
      <c r="E42" s="46">
        <f>淘系!E42+淘系达播!E42</f>
        <v>0</v>
      </c>
      <c r="F42" s="46">
        <f>淘系!F42+淘系达播!F42</f>
        <v>0</v>
      </c>
      <c r="G42" s="46">
        <f>淘系!G42+淘系达播!G42</f>
        <v>0</v>
      </c>
      <c r="H42" s="46">
        <f>淘系!H42+淘系达播!H42</f>
        <v>0</v>
      </c>
      <c r="I42" s="46">
        <f>淘系!I42+淘系达播!I42</f>
        <v>0</v>
      </c>
      <c r="J42" s="46">
        <f>淘系!J42+淘系达播!J42</f>
        <v>0</v>
      </c>
      <c r="K42" s="46">
        <f>淘系!K42+淘系达播!K42</f>
        <v>0</v>
      </c>
      <c r="L42" s="46">
        <f>淘系!L42+淘系达播!L42</f>
        <v>0</v>
      </c>
      <c r="M42" s="46">
        <f>淘系!M42+淘系达播!M42</f>
        <v>0</v>
      </c>
      <c r="N42" s="46">
        <f>淘系!N42+淘系达播!N42</f>
        <v>0</v>
      </c>
      <c r="O42" s="42">
        <f>O39/$O$16</f>
        <v>0</v>
      </c>
      <c r="P42" s="6"/>
      <c r="Q42" s="6" t="s">
        <v>91</v>
      </c>
      <c r="R42" s="20"/>
      <c r="S42" s="6"/>
      <c r="T42" s="6"/>
    </row>
    <row r="43" ht="16.8" hidden="1" outlineLevel="1" spans="1:20">
      <c r="A43" s="36"/>
      <c r="B43" s="4" t="s">
        <v>59</v>
      </c>
      <c r="C43" s="46">
        <f>淘系!C43+淘系达播!C43</f>
        <v>0</v>
      </c>
      <c r="D43" s="46">
        <f>淘系!D43+淘系达播!D43</f>
        <v>0</v>
      </c>
      <c r="E43" s="46">
        <f>淘系!E43+淘系达播!E43</f>
        <v>0</v>
      </c>
      <c r="F43" s="46">
        <f>淘系!F43+淘系达播!F43</f>
        <v>0</v>
      </c>
      <c r="G43" s="46">
        <f>淘系!G43+淘系达播!G43</f>
        <v>0</v>
      </c>
      <c r="H43" s="46">
        <f>淘系!H43+淘系达播!H43</f>
        <v>0</v>
      </c>
      <c r="I43" s="46">
        <f>淘系!I43+淘系达播!I43</f>
        <v>0</v>
      </c>
      <c r="J43" s="46">
        <f>淘系!J43+淘系达播!J43</f>
        <v>0</v>
      </c>
      <c r="K43" s="46">
        <f>淘系!K43+淘系达播!K43</f>
        <v>0</v>
      </c>
      <c r="L43" s="46">
        <f>淘系!L43+淘系达播!L43</f>
        <v>0</v>
      </c>
      <c r="M43" s="46">
        <f>淘系!M43+淘系达播!M43</f>
        <v>0</v>
      </c>
      <c r="N43" s="46">
        <f>淘系!N43+淘系达播!N43</f>
        <v>0</v>
      </c>
      <c r="O43" s="42">
        <f>O40/$O$16</f>
        <v>0.0758173178815903</v>
      </c>
      <c r="P43" s="6"/>
      <c r="Q43" s="6" t="s">
        <v>91</v>
      </c>
      <c r="R43" s="20"/>
      <c r="S43" s="6"/>
      <c r="T43" s="6"/>
    </row>
    <row r="44" ht="16.8" spans="1:20">
      <c r="A44" s="6"/>
      <c r="B44" s="17" t="s">
        <v>60</v>
      </c>
      <c r="C44" s="37">
        <f>淘系!C44+淘系达播!C44</f>
        <v>219739.323060155</v>
      </c>
      <c r="D44" s="37">
        <f>淘系!D44+淘系达播!D44</f>
        <v>172781.714292594</v>
      </c>
      <c r="E44" s="37">
        <f>淘系!E44+淘系达播!E44</f>
        <v>258160.324416509</v>
      </c>
      <c r="F44" s="37">
        <f>淘系!F44+淘系达播!F44</f>
        <v>154716.944977108</v>
      </c>
      <c r="G44" s="37">
        <f>淘系!G44+淘系达播!G44</f>
        <v>625311.560335888</v>
      </c>
      <c r="H44" s="37">
        <f>淘系!H44+淘系达播!H44</f>
        <v>356439.94535719</v>
      </c>
      <c r="I44" s="37">
        <f>淘系!I44+淘系达播!I44</f>
        <v>198565.733872445</v>
      </c>
      <c r="J44" s="37">
        <f>淘系!J44+淘系达播!J44</f>
        <v>466799.496194874</v>
      </c>
      <c r="K44" s="37">
        <f>淘系!K44+淘系达播!K44</f>
        <v>244778.762837588</v>
      </c>
      <c r="L44" s="37">
        <f>淘系!L44+淘系达播!L44</f>
        <v>1130860.58292242</v>
      </c>
      <c r="M44" s="37">
        <f>淘系!M44+淘系达播!M44</f>
        <v>342149.263013217</v>
      </c>
      <c r="N44" s="37">
        <f>淘系!N44+淘系达播!N44</f>
        <v>237112.135846934</v>
      </c>
      <c r="O44" s="37">
        <f t="shared" ref="O44:O60" si="5">SUM(C44:N44)</f>
        <v>4407415.78712692</v>
      </c>
      <c r="P44" s="38">
        <f>O44/$O$16</f>
        <v>0.0366389535570851</v>
      </c>
      <c r="Q44" s="6"/>
      <c r="R44" s="20"/>
      <c r="S44" s="6"/>
      <c r="T44" s="6"/>
    </row>
    <row r="45" ht="16.8" spans="1:20">
      <c r="A45" s="36"/>
      <c r="B45" s="4" t="s">
        <v>61</v>
      </c>
      <c r="C45" s="45">
        <f>淘系!C45+淘系达播!C45</f>
        <v>59315.1956603774</v>
      </c>
      <c r="D45" s="45">
        <f>淘系!D45+淘系达播!D45</f>
        <v>39555.5379716981</v>
      </c>
      <c r="E45" s="45">
        <f>淘系!E45+淘系达播!E45</f>
        <v>116878.285542453</v>
      </c>
      <c r="F45" s="45">
        <f>淘系!F45+淘系达播!F45</f>
        <v>41549.4345283019</v>
      </c>
      <c r="G45" s="45">
        <f>淘系!G45+淘系达播!G45</f>
        <v>301608.862264151</v>
      </c>
      <c r="H45" s="45">
        <f>淘系!H45+淘系达播!H45</f>
        <v>114104.438962264</v>
      </c>
      <c r="I45" s="45">
        <f>淘系!I45+淘系达播!I45</f>
        <v>48164.7758726415</v>
      </c>
      <c r="J45" s="45">
        <f>淘系!J45+淘系达播!J45</f>
        <v>209974.916768868</v>
      </c>
      <c r="K45" s="45">
        <f>淘系!K45+淘系达播!K45</f>
        <v>82565.4266037736</v>
      </c>
      <c r="L45" s="45">
        <f>淘系!L45+淘系达播!L45</f>
        <v>720637.454716981</v>
      </c>
      <c r="M45" s="45">
        <f>淘系!M45+淘系达播!M45</f>
        <v>90039.7946226415</v>
      </c>
      <c r="N45" s="45">
        <f>淘系!N45+淘系达播!N45</f>
        <v>57803.6501179245</v>
      </c>
      <c r="O45" s="36">
        <f t="shared" si="5"/>
        <v>1882197.77363208</v>
      </c>
      <c r="P45" s="42">
        <v>0.01</v>
      </c>
      <c r="Q45" s="6" t="s">
        <v>92</v>
      </c>
      <c r="R45" s="20"/>
      <c r="S45" s="6"/>
      <c r="T45" s="6"/>
    </row>
    <row r="46" ht="16.8" spans="1:20">
      <c r="A46" s="36"/>
      <c r="B46" s="4" t="s">
        <v>63</v>
      </c>
      <c r="C46" s="45">
        <f>淘系!C46+淘系达播!C46</f>
        <v>160424.127399778</v>
      </c>
      <c r="D46" s="45">
        <f>淘系!D46+淘系达播!D46</f>
        <v>133226.176320896</v>
      </c>
      <c r="E46" s="45">
        <f>淘系!E46+淘系达播!E46</f>
        <v>141282.038874056</v>
      </c>
      <c r="F46" s="45">
        <f>淘系!F46+淘系达播!F46</f>
        <v>113167.510448806</v>
      </c>
      <c r="G46" s="45">
        <f>淘系!G46+淘系达播!G46</f>
        <v>323702.698071737</v>
      </c>
      <c r="H46" s="45">
        <f>淘系!H46+淘系达播!H46</f>
        <v>242335.506394926</v>
      </c>
      <c r="I46" s="45">
        <f>淘系!I46+淘系达播!I46</f>
        <v>150400.957999804</v>
      </c>
      <c r="J46" s="45">
        <f>淘系!J46+淘系达播!J46</f>
        <v>256824.579426006</v>
      </c>
      <c r="K46" s="45">
        <f>淘系!K46+淘系达播!K46</f>
        <v>162213.336233814</v>
      </c>
      <c r="L46" s="45">
        <f>淘系!L46+淘系达播!L46</f>
        <v>410223.128205438</v>
      </c>
      <c r="M46" s="45">
        <f>淘系!M46+淘系达播!M46</f>
        <v>252109.468390576</v>
      </c>
      <c r="N46" s="45">
        <f>淘系!N46+淘系达播!N46</f>
        <v>179308.485729009</v>
      </c>
      <c r="O46" s="36">
        <f t="shared" si="5"/>
        <v>2525218.01349485</v>
      </c>
      <c r="P46" s="42">
        <v>0.02</v>
      </c>
      <c r="Q46" s="4" t="s">
        <v>83</v>
      </c>
      <c r="R46" s="20"/>
      <c r="S46" s="6"/>
      <c r="T46" s="6"/>
    </row>
    <row r="47" ht="16.8" spans="1:20">
      <c r="A47" s="6"/>
      <c r="B47" s="17" t="s">
        <v>65</v>
      </c>
      <c r="C47" s="37">
        <f>淘系!C47+淘系达播!C47</f>
        <v>0</v>
      </c>
      <c r="D47" s="37">
        <f>淘系!D47+淘系达播!D47</f>
        <v>0</v>
      </c>
      <c r="E47" s="37">
        <f>淘系!E47+淘系达播!E47</f>
        <v>0</v>
      </c>
      <c r="F47" s="37">
        <f>淘系!F47+淘系达播!F47</f>
        <v>0</v>
      </c>
      <c r="G47" s="37">
        <f>淘系!G47+淘系达播!G47</f>
        <v>0</v>
      </c>
      <c r="H47" s="37">
        <f>淘系!H47+淘系达播!H47</f>
        <v>0</v>
      </c>
      <c r="I47" s="37">
        <f>淘系!I47+淘系达播!I47</f>
        <v>0</v>
      </c>
      <c r="J47" s="37">
        <f>淘系!J47+淘系达播!J47</f>
        <v>0</v>
      </c>
      <c r="K47" s="37">
        <f>淘系!K47+淘系达播!K47</f>
        <v>0</v>
      </c>
      <c r="L47" s="37">
        <f>淘系!L47+淘系达播!L47</f>
        <v>0</v>
      </c>
      <c r="M47" s="37">
        <f>淘系!M47+淘系达播!M47</f>
        <v>0</v>
      </c>
      <c r="N47" s="37">
        <f>淘系!N47+淘系达播!N47</f>
        <v>0</v>
      </c>
      <c r="O47" s="37">
        <f t="shared" si="5"/>
        <v>0</v>
      </c>
      <c r="P47" s="38">
        <f t="shared" ref="P47:P53" si="6">O47/$O$16</f>
        <v>0</v>
      </c>
      <c r="Q47" s="6"/>
      <c r="R47" s="20"/>
      <c r="S47" s="6"/>
      <c r="T47" s="6"/>
    </row>
    <row r="48" ht="16.8" spans="1:20">
      <c r="A48" s="36"/>
      <c r="B48" s="4" t="s">
        <v>66</v>
      </c>
      <c r="C48" s="45">
        <f>淘系!C48+淘系达播!C48</f>
        <v>0</v>
      </c>
      <c r="D48" s="45">
        <f>淘系!D48+淘系达播!D48</f>
        <v>0</v>
      </c>
      <c r="E48" s="45">
        <f>淘系!E48+淘系达播!E48</f>
        <v>0</v>
      </c>
      <c r="F48" s="45">
        <f>淘系!F48+淘系达播!F48</f>
        <v>0</v>
      </c>
      <c r="G48" s="45">
        <f>淘系!G48+淘系达播!G48</f>
        <v>0</v>
      </c>
      <c r="H48" s="45">
        <f>淘系!H48+淘系达播!H48</f>
        <v>0</v>
      </c>
      <c r="I48" s="45">
        <f>淘系!I48+淘系达播!I48</f>
        <v>0</v>
      </c>
      <c r="J48" s="45">
        <f>淘系!J48+淘系达播!J48</f>
        <v>0</v>
      </c>
      <c r="K48" s="45">
        <f>淘系!K48+淘系达播!K48</f>
        <v>0</v>
      </c>
      <c r="L48" s="45">
        <f>淘系!L48+淘系达播!L48</f>
        <v>0</v>
      </c>
      <c r="M48" s="45">
        <f>淘系!M48+淘系达播!M48</f>
        <v>0</v>
      </c>
      <c r="N48" s="45">
        <f>淘系!N48+淘系达播!N48</f>
        <v>0</v>
      </c>
      <c r="O48" s="36">
        <f t="shared" si="5"/>
        <v>0</v>
      </c>
      <c r="P48" s="42">
        <f t="shared" si="6"/>
        <v>0</v>
      </c>
      <c r="Q48" s="4" t="s">
        <v>95</v>
      </c>
      <c r="R48" s="20"/>
      <c r="S48" s="6"/>
      <c r="T48" s="6"/>
    </row>
    <row r="49" ht="16.8" spans="1:20">
      <c r="A49" s="36"/>
      <c r="B49" s="4" t="s">
        <v>67</v>
      </c>
      <c r="C49" s="45">
        <f>淘系!C49+淘系达播!C49</f>
        <v>0</v>
      </c>
      <c r="D49" s="45">
        <f>淘系!D49+淘系达播!D49</f>
        <v>0</v>
      </c>
      <c r="E49" s="45">
        <f>淘系!E49+淘系达播!E49</f>
        <v>0</v>
      </c>
      <c r="F49" s="45">
        <f>淘系!F49+淘系达播!F49</f>
        <v>0</v>
      </c>
      <c r="G49" s="45">
        <f>淘系!G49+淘系达播!G49</f>
        <v>0</v>
      </c>
      <c r="H49" s="45">
        <f>淘系!H49+淘系达播!H49</f>
        <v>0</v>
      </c>
      <c r="I49" s="45">
        <f>淘系!I49+淘系达播!I49</f>
        <v>0</v>
      </c>
      <c r="J49" s="45">
        <f>淘系!J49+淘系达播!J49</f>
        <v>0</v>
      </c>
      <c r="K49" s="45">
        <f>淘系!K49+淘系达播!K49</f>
        <v>0</v>
      </c>
      <c r="L49" s="45">
        <f>淘系!L49+淘系达播!L49</f>
        <v>0</v>
      </c>
      <c r="M49" s="45">
        <f>淘系!M49+淘系达播!M49</f>
        <v>0</v>
      </c>
      <c r="N49" s="45">
        <f>淘系!N49+淘系达播!N49</f>
        <v>0</v>
      </c>
      <c r="O49" s="36">
        <f t="shared" si="5"/>
        <v>0</v>
      </c>
      <c r="P49" s="42">
        <f t="shared" si="6"/>
        <v>0</v>
      </c>
      <c r="Q49" s="4" t="s">
        <v>95</v>
      </c>
      <c r="R49" s="20"/>
      <c r="S49" s="6"/>
      <c r="T49" s="6"/>
    </row>
    <row r="50" ht="16.8" spans="1:20">
      <c r="A50" s="36"/>
      <c r="B50" s="4" t="s">
        <v>68</v>
      </c>
      <c r="C50" s="45">
        <f>淘系!C50+淘系达播!C50</f>
        <v>0</v>
      </c>
      <c r="D50" s="45">
        <f>淘系!D50+淘系达播!D50</f>
        <v>0</v>
      </c>
      <c r="E50" s="45">
        <f>淘系!E50+淘系达播!E50</f>
        <v>0</v>
      </c>
      <c r="F50" s="45">
        <f>淘系!F50+淘系达播!F50</f>
        <v>0</v>
      </c>
      <c r="G50" s="45">
        <f>淘系!G50+淘系达播!G50</f>
        <v>0</v>
      </c>
      <c r="H50" s="45">
        <f>淘系!H50+淘系达播!H50</f>
        <v>0</v>
      </c>
      <c r="I50" s="45">
        <f>淘系!I50+淘系达播!I50</f>
        <v>0</v>
      </c>
      <c r="J50" s="45">
        <f>淘系!J50+淘系达播!J50</f>
        <v>0</v>
      </c>
      <c r="K50" s="45">
        <f>淘系!K50+淘系达播!K50</f>
        <v>0</v>
      </c>
      <c r="L50" s="45">
        <f>淘系!L50+淘系达播!L50</f>
        <v>0</v>
      </c>
      <c r="M50" s="45">
        <f>淘系!M50+淘系达播!M50</f>
        <v>0</v>
      </c>
      <c r="N50" s="45">
        <f>淘系!N50+淘系达播!N50</f>
        <v>0</v>
      </c>
      <c r="O50" s="36">
        <f t="shared" si="5"/>
        <v>0</v>
      </c>
      <c r="P50" s="42">
        <f t="shared" si="6"/>
        <v>0</v>
      </c>
      <c r="Q50" s="4" t="s">
        <v>95</v>
      </c>
      <c r="R50" s="20"/>
      <c r="S50" s="6"/>
      <c r="T50" s="6"/>
    </row>
    <row r="51" ht="16.8" spans="1:20">
      <c r="A51" s="6"/>
      <c r="B51" s="4" t="s">
        <v>69</v>
      </c>
      <c r="C51" s="45">
        <f>淘系!C51+淘系达播!C51</f>
        <v>0</v>
      </c>
      <c r="D51" s="45">
        <f>淘系!D51+淘系达播!D51</f>
        <v>0</v>
      </c>
      <c r="E51" s="45">
        <f>淘系!E51+淘系达播!E51</f>
        <v>0</v>
      </c>
      <c r="F51" s="45">
        <f>淘系!F51+淘系达播!F51</f>
        <v>0</v>
      </c>
      <c r="G51" s="45">
        <f>淘系!G51+淘系达播!G51</f>
        <v>0</v>
      </c>
      <c r="H51" s="45">
        <f>淘系!H51+淘系达播!H51</f>
        <v>0</v>
      </c>
      <c r="I51" s="45">
        <f>淘系!I51+淘系达播!I51</f>
        <v>0</v>
      </c>
      <c r="J51" s="45">
        <f>淘系!J51+淘系达播!J51</f>
        <v>0</v>
      </c>
      <c r="K51" s="45">
        <f>淘系!K51+淘系达播!K51</f>
        <v>0</v>
      </c>
      <c r="L51" s="45">
        <f>淘系!L51+淘系达播!L51</f>
        <v>0</v>
      </c>
      <c r="M51" s="45">
        <f>淘系!M51+淘系达播!M51</f>
        <v>0</v>
      </c>
      <c r="N51" s="45">
        <f>淘系!N51+淘系达播!N51</f>
        <v>0</v>
      </c>
      <c r="O51" s="36">
        <f t="shared" si="5"/>
        <v>0</v>
      </c>
      <c r="P51" s="42">
        <f t="shared" si="6"/>
        <v>0</v>
      </c>
      <c r="Q51" s="4" t="s">
        <v>95</v>
      </c>
      <c r="R51" s="20"/>
      <c r="S51" s="6"/>
      <c r="T51" s="6"/>
    </row>
    <row r="52" ht="16.8" spans="1:20">
      <c r="A52" s="6"/>
      <c r="B52" s="21" t="s">
        <v>70</v>
      </c>
      <c r="C52" s="40">
        <f>淘系!C52+淘系达播!C52</f>
        <v>2093297.95103232</v>
      </c>
      <c r="D52" s="40">
        <f>淘系!D52+淘系达播!D52</f>
        <v>2565418.43254007</v>
      </c>
      <c r="E52" s="40">
        <f>淘系!E52+淘系达播!E52</f>
        <v>3144154.6337765</v>
      </c>
      <c r="F52" s="40">
        <f>淘系!F52+淘系达播!F52</f>
        <v>2189520.48514288</v>
      </c>
      <c r="G52" s="40">
        <f>淘系!G52+淘系达播!G52</f>
        <v>7670042.26714815</v>
      </c>
      <c r="H52" s="40">
        <f>淘系!H52+淘系达播!H52</f>
        <v>5298031.08395882</v>
      </c>
      <c r="I52" s="40">
        <f>淘系!I52+淘系达播!I52</f>
        <v>2278332.47558729</v>
      </c>
      <c r="J52" s="40">
        <f>淘系!J52+淘系达播!J52</f>
        <v>4236979.00128898</v>
      </c>
      <c r="K52" s="40">
        <f>淘系!K52+淘系达播!K52</f>
        <v>2601840.26963601</v>
      </c>
      <c r="L52" s="40">
        <f>淘系!L52+淘系达播!L52</f>
        <v>7325593.42577928</v>
      </c>
      <c r="M52" s="40">
        <f>淘系!M52+淘系达播!M52</f>
        <v>4297148.0510885</v>
      </c>
      <c r="N52" s="40">
        <f>淘系!N52+淘系达播!N52</f>
        <v>2785240.12242948</v>
      </c>
      <c r="O52" s="40">
        <f t="shared" si="5"/>
        <v>46485598.1994083</v>
      </c>
      <c r="P52" s="41">
        <f t="shared" si="6"/>
        <v>0.386435897079658</v>
      </c>
      <c r="Q52" s="6"/>
      <c r="R52" s="20"/>
      <c r="S52" s="6"/>
      <c r="T52" s="6"/>
    </row>
    <row r="53" ht="16.8" spans="1:20">
      <c r="A53" s="36"/>
      <c r="B53" s="4" t="s">
        <v>71</v>
      </c>
      <c r="C53" s="45">
        <f>淘系!C53+淘系达播!C53</f>
        <v>234994.213674569</v>
      </c>
      <c r="D53" s="45">
        <f>淘系!D53+淘系达播!D53</f>
        <v>196076.797717317</v>
      </c>
      <c r="E53" s="45">
        <f>淘系!E53+淘系达播!E53</f>
        <v>200805.761281663</v>
      </c>
      <c r="F53" s="45">
        <f>淘系!F53+淘系达播!F53</f>
        <v>165799.142291934</v>
      </c>
      <c r="G53" s="45">
        <f>淘系!G53+淘系达播!G53</f>
        <v>456865.439185836</v>
      </c>
      <c r="H53" s="45">
        <f>淘系!H53+淘系达播!H53</f>
        <v>352649.806922106</v>
      </c>
      <c r="I53" s="45">
        <f>淘系!I53+淘系达播!I53</f>
        <v>221020.071716613</v>
      </c>
      <c r="J53" s="45">
        <f>淘系!J53+淘系达播!J53</f>
        <v>365264.352365571</v>
      </c>
      <c r="K53" s="45">
        <f>淘系!K53+淘系达播!K53</f>
        <v>235466.497878969</v>
      </c>
      <c r="L53" s="45">
        <f>淘系!L53+淘系达播!L53</f>
        <v>546788.677987095</v>
      </c>
      <c r="M53" s="45">
        <f>淘系!M53+淘系达播!M53</f>
        <v>369599.744811333</v>
      </c>
      <c r="N53" s="45">
        <f>淘系!N53+淘系达播!N53</f>
        <v>263464.527240173</v>
      </c>
      <c r="O53" s="36">
        <f t="shared" si="5"/>
        <v>3608795.03307318</v>
      </c>
      <c r="P53" s="42">
        <f t="shared" si="6"/>
        <v>0.03</v>
      </c>
      <c r="Q53" s="6"/>
      <c r="R53" s="20"/>
      <c r="S53" s="6"/>
      <c r="T53" s="6"/>
    </row>
    <row r="54" ht="16.8" spans="1:20">
      <c r="A54" s="36"/>
      <c r="B54" s="4" t="s">
        <v>73</v>
      </c>
      <c r="C54" s="45">
        <f>淘系!C54+淘系达播!C54</f>
        <v>109663.966381466</v>
      </c>
      <c r="D54" s="45">
        <f>淘系!D54+淘系达播!D54</f>
        <v>91502.5056014148</v>
      </c>
      <c r="E54" s="45">
        <f>淘系!E54+淘系达播!E54</f>
        <v>93709.3552647763</v>
      </c>
      <c r="F54" s="45">
        <f>淘系!F54+淘系达播!F54</f>
        <v>77372.9330695693</v>
      </c>
      <c r="G54" s="45">
        <f>淘系!G54+淘系达播!G54</f>
        <v>213203.871620057</v>
      </c>
      <c r="H54" s="45">
        <f>淘系!H54+淘系达播!H54</f>
        <v>164569.909896983</v>
      </c>
      <c r="I54" s="45">
        <f>淘系!I54+淘系达播!I54</f>
        <v>103142.700134419</v>
      </c>
      <c r="J54" s="45">
        <f>淘系!J54+淘系达播!J54</f>
        <v>170456.6977706</v>
      </c>
      <c r="K54" s="45">
        <f>淘系!K54+淘系达播!K54</f>
        <v>109884.365676852</v>
      </c>
      <c r="L54" s="45">
        <f>淘系!L54+淘系达播!L54</f>
        <v>255168.049727311</v>
      </c>
      <c r="M54" s="45">
        <f>淘系!M54+淘系达播!M54</f>
        <v>172479.880911955</v>
      </c>
      <c r="N54" s="45">
        <f>淘系!N54+淘系达播!N54</f>
        <v>122950.112712081</v>
      </c>
      <c r="O54" s="36">
        <f t="shared" si="5"/>
        <v>1684104.34876748</v>
      </c>
      <c r="P54" s="42">
        <v>0.014</v>
      </c>
      <c r="Q54" s="6"/>
      <c r="R54" s="20"/>
      <c r="S54" s="6"/>
      <c r="T54" s="6"/>
    </row>
    <row r="55" ht="16.8" spans="1:20">
      <c r="A55" s="36"/>
      <c r="B55" s="4" t="s">
        <v>75</v>
      </c>
      <c r="C55" s="45">
        <f>淘系!C55+淘系达播!C55</f>
        <v>637393.590724302</v>
      </c>
      <c r="D55" s="45">
        <f>淘系!D55+淘系达播!D55</f>
        <v>416798.859101986</v>
      </c>
      <c r="E55" s="45">
        <f>淘系!E55+淘系达播!E55</f>
        <v>325099.864373701</v>
      </c>
      <c r="F55" s="45">
        <f>淘系!F55+淘系达播!F55</f>
        <v>500310.238897377</v>
      </c>
      <c r="G55" s="45">
        <f>淘系!G55+淘系达播!G55</f>
        <v>429665.024954422</v>
      </c>
      <c r="H55" s="45">
        <f>淘系!H55+淘系达播!H55</f>
        <v>301010.002672498</v>
      </c>
      <c r="I55" s="45">
        <f>淘系!I55+淘系达播!I55</f>
        <v>419390.311774442</v>
      </c>
      <c r="J55" s="45">
        <f>淘系!J55+淘系达播!J55</f>
        <v>324462.483452167</v>
      </c>
      <c r="K55" s="45">
        <f>淘系!K55+淘系达播!K55</f>
        <v>447088.78112558</v>
      </c>
      <c r="L55" s="45">
        <f>淘系!L55+淘系达播!L55</f>
        <v>352899.08395096</v>
      </c>
      <c r="M55" s="45">
        <f>淘系!M55+淘系达播!M55</f>
        <v>309098.375616189</v>
      </c>
      <c r="N55" s="45">
        <f>淘系!N55+淘系达播!N55</f>
        <v>301580.116227491</v>
      </c>
      <c r="O55" s="36">
        <f t="shared" si="5"/>
        <v>4764796.73287111</v>
      </c>
      <c r="P55" s="42">
        <v>0.03</v>
      </c>
      <c r="Q55" s="6"/>
      <c r="R55" s="20"/>
      <c r="S55" s="6"/>
      <c r="T55" s="6"/>
    </row>
    <row r="56" ht="16.8" spans="1:20">
      <c r="A56" s="36"/>
      <c r="B56" s="4" t="s">
        <v>77</v>
      </c>
      <c r="C56" s="45">
        <f>淘系!C56+淘系达播!C56</f>
        <v>7833.14045581898</v>
      </c>
      <c r="D56" s="45">
        <f>淘系!D56+淘系达播!D56</f>
        <v>6535.89325724391</v>
      </c>
      <c r="E56" s="45">
        <f>淘系!E56+淘系达播!E56</f>
        <v>6693.52537605545</v>
      </c>
      <c r="F56" s="45">
        <f>淘系!F56+淘系达播!F56</f>
        <v>5526.63807639781</v>
      </c>
      <c r="G56" s="45">
        <f>淘系!G56+淘系达播!G56</f>
        <v>15228.8479728612</v>
      </c>
      <c r="H56" s="45">
        <f>淘系!H56+淘系达播!H56</f>
        <v>11754.9935640702</v>
      </c>
      <c r="I56" s="45">
        <f>淘系!I56+淘系达播!I56</f>
        <v>7367.33572388709</v>
      </c>
      <c r="J56" s="45">
        <f>淘系!J56+淘系达播!J56</f>
        <v>12175.4784121857</v>
      </c>
      <c r="K56" s="45">
        <f>淘系!K56+淘系达播!K56</f>
        <v>7848.88326263231</v>
      </c>
      <c r="L56" s="45">
        <f>淘系!L56+淘系达播!L56</f>
        <v>18226.2892662365</v>
      </c>
      <c r="M56" s="45">
        <f>淘系!M56+淘系达播!M56</f>
        <v>12319.9914937111</v>
      </c>
      <c r="N56" s="45">
        <f>淘系!N56+淘系达播!N56</f>
        <v>8782.15090800576</v>
      </c>
      <c r="O56" s="36">
        <f t="shared" si="5"/>
        <v>120293.167769106</v>
      </c>
      <c r="P56" s="42">
        <v>0.001</v>
      </c>
      <c r="Q56" s="6"/>
      <c r="R56" s="20"/>
      <c r="S56" s="6"/>
      <c r="T56" s="6"/>
    </row>
    <row r="57" ht="16.8" spans="1:20">
      <c r="A57" s="36"/>
      <c r="B57" s="4" t="s">
        <v>79</v>
      </c>
      <c r="C57" s="45">
        <f>淘系!C57+淘系达播!C57</f>
        <v>75426.1712967214</v>
      </c>
      <c r="D57" s="45">
        <f>淘系!D57+淘系达播!D57</f>
        <v>0</v>
      </c>
      <c r="E57" s="45">
        <f>淘系!E57+淘系达播!E57</f>
        <v>0</v>
      </c>
      <c r="F57" s="45">
        <f>淘系!F57+淘系达播!F57</f>
        <v>0</v>
      </c>
      <c r="G57" s="45">
        <f>淘系!G57+淘系达播!G57</f>
        <v>30170.4685186886</v>
      </c>
      <c r="H57" s="45">
        <f>淘系!H57+淘系达播!H57</f>
        <v>0</v>
      </c>
      <c r="I57" s="45">
        <f>淘系!I57+淘系达播!I57</f>
        <v>0</v>
      </c>
      <c r="J57" s="45">
        <f>淘系!J57+淘系达播!J57</f>
        <v>0</v>
      </c>
      <c r="K57" s="45">
        <f>淘系!K57+淘系达播!K57</f>
        <v>0</v>
      </c>
      <c r="L57" s="45">
        <f>淘系!L57+淘系达播!L57</f>
        <v>30170.4685186886</v>
      </c>
      <c r="M57" s="45">
        <f>淘系!M57+淘系达播!M57</f>
        <v>0</v>
      </c>
      <c r="N57" s="45">
        <f>淘系!N57+淘系达播!N57</f>
        <v>90511.4055560657</v>
      </c>
      <c r="O57" s="36">
        <f t="shared" si="5"/>
        <v>226278.513890164</v>
      </c>
      <c r="P57" s="42">
        <f>O57/$O$16</f>
        <v>0.00188105873414598</v>
      </c>
      <c r="Q57" s="4"/>
      <c r="R57" s="20"/>
      <c r="S57" s="6"/>
      <c r="T57" s="6"/>
    </row>
    <row r="58" ht="16.8" spans="1:20">
      <c r="A58" s="6"/>
      <c r="B58" s="21" t="s">
        <v>80</v>
      </c>
      <c r="C58" s="40">
        <f>淘系!C58+淘系达播!C58</f>
        <v>1065311.08253288</v>
      </c>
      <c r="D58" s="40">
        <f>淘系!D58+淘系达播!D58</f>
        <v>710914.055677962</v>
      </c>
      <c r="E58" s="40">
        <f>淘系!E58+淘系达播!E58</f>
        <v>626308.506296196</v>
      </c>
      <c r="F58" s="40">
        <f>淘系!F58+淘系达播!F58</f>
        <v>749008.952335279</v>
      </c>
      <c r="G58" s="40">
        <f>淘系!G58+淘系达播!G58</f>
        <v>1145133.65225186</v>
      </c>
      <c r="H58" s="40">
        <f>淘系!H58+淘系达播!H58</f>
        <v>829984.713055657</v>
      </c>
      <c r="I58" s="40">
        <f>淘系!I58+淘系达播!I58</f>
        <v>750920.419349361</v>
      </c>
      <c r="J58" s="40">
        <f>淘系!J58+淘系达播!J58</f>
        <v>872359.012000524</v>
      </c>
      <c r="K58" s="40">
        <f>淘系!K58+淘系达播!K58</f>
        <v>800288.527944034</v>
      </c>
      <c r="L58" s="40">
        <f>淘系!L58+淘系达播!L58</f>
        <v>1203252.56945029</v>
      </c>
      <c r="M58" s="40">
        <f>淘系!M58+淘系达播!M58</f>
        <v>863497.992833188</v>
      </c>
      <c r="N58" s="40">
        <f>淘系!N58+淘系达播!N58</f>
        <v>787288.312643816</v>
      </c>
      <c r="O58" s="40">
        <f t="shared" si="5"/>
        <v>10404267.7963711</v>
      </c>
      <c r="P58" s="41">
        <f>O58/$O$16</f>
        <v>0.086490928697973</v>
      </c>
      <c r="Q58" s="6"/>
      <c r="R58" s="20"/>
      <c r="S58" s="6"/>
      <c r="T58" s="6"/>
    </row>
    <row r="59" ht="16.8" spans="1:20">
      <c r="A59" s="32"/>
      <c r="B59" s="12" t="s">
        <v>81</v>
      </c>
      <c r="C59" s="12">
        <f>淘系!C59+淘系达播!C59</f>
        <v>3158609.0335652</v>
      </c>
      <c r="D59" s="12">
        <f>淘系!D59+淘系达播!D59</f>
        <v>3276332.48821803</v>
      </c>
      <c r="E59" s="12">
        <f>淘系!E59+淘系达播!E59</f>
        <v>3770463.14007269</v>
      </c>
      <c r="F59" s="12">
        <f>淘系!F59+淘系达播!F59</f>
        <v>2938529.43747816</v>
      </c>
      <c r="G59" s="12">
        <f>淘系!G59+淘系达播!G59</f>
        <v>8815175.91940001</v>
      </c>
      <c r="H59" s="12">
        <f>淘系!H59+淘系达播!H59</f>
        <v>6128015.79701448</v>
      </c>
      <c r="I59" s="12">
        <f>淘系!I59+淘系达播!I59</f>
        <v>3029252.89493665</v>
      </c>
      <c r="J59" s="12">
        <f>淘系!J59+淘系达播!J59</f>
        <v>5109338.0132895</v>
      </c>
      <c r="K59" s="12">
        <f>淘系!K59+淘系达播!K59</f>
        <v>3402128.79758005</v>
      </c>
      <c r="L59" s="12">
        <f>淘系!L59+淘系达播!L59</f>
        <v>8528845.99522958</v>
      </c>
      <c r="M59" s="12">
        <f>淘系!M59+淘系达播!M59</f>
        <v>5160646.04392169</v>
      </c>
      <c r="N59" s="12">
        <f>淘系!N59+淘系达播!N59</f>
        <v>3572528.4350733</v>
      </c>
      <c r="O59" s="12">
        <f t="shared" si="5"/>
        <v>56889865.9957793</v>
      </c>
      <c r="P59" s="43">
        <f>O59/$O$16</f>
        <v>0.472926825777631</v>
      </c>
      <c r="Q59" s="32"/>
      <c r="R59" s="48"/>
      <c r="S59" s="6"/>
      <c r="T59" s="6"/>
    </row>
    <row r="60" ht="16.8" spans="1:20">
      <c r="A60" s="32"/>
      <c r="B60" s="12" t="s">
        <v>82</v>
      </c>
      <c r="C60" s="12">
        <f>淘系!C60+淘系达播!C60</f>
        <v>644523.816603038</v>
      </c>
      <c r="D60" s="12">
        <f>淘系!D60+淘系达播!D60</f>
        <v>-89444.6350451207</v>
      </c>
      <c r="E60" s="12">
        <f>淘系!E60+淘系达播!E60</f>
        <v>-686294.020615525</v>
      </c>
      <c r="F60" s="12">
        <f>淘系!F60+淘系达播!F60</f>
        <v>-399712.655256628</v>
      </c>
      <c r="G60" s="12">
        <f>淘系!G60+淘系达播!G60</f>
        <v>-962042.573139762</v>
      </c>
      <c r="H60" s="12">
        <f>淘系!H60+淘系达播!H60</f>
        <v>-151800.197717699</v>
      </c>
      <c r="I60" s="12">
        <f>淘系!I60+淘系达播!I60</f>
        <v>978392.593073377</v>
      </c>
      <c r="J60" s="12">
        <f>淘系!J60+淘系达播!J60</f>
        <v>1528180.68384</v>
      </c>
      <c r="K60" s="12">
        <f>淘系!K60+淘系达播!K60</f>
        <v>935053.138505043</v>
      </c>
      <c r="L60" s="12">
        <f>淘系!L60+淘系达播!L60</f>
        <v>1666947.53642526</v>
      </c>
      <c r="M60" s="12">
        <f>淘系!M60+淘系达播!M60</f>
        <v>1849094.55248941</v>
      </c>
      <c r="N60" s="12">
        <f>淘系!N60+淘系达播!N60</f>
        <v>1459572.41726572</v>
      </c>
      <c r="O60" s="12">
        <f t="shared" si="5"/>
        <v>6772470.65642712</v>
      </c>
      <c r="P60" s="43">
        <f>O60/$O$16</f>
        <v>0.0562997116297277</v>
      </c>
      <c r="Q60" s="32"/>
      <c r="R60" s="48"/>
      <c r="S60" s="6"/>
      <c r="T60" s="6"/>
    </row>
    <row r="61" spans="1:20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>
        <f>O60-淘系!O60-淘系达播!O60</f>
        <v>9.31322574615479e-10</v>
      </c>
      <c r="P61" s="6"/>
      <c r="Q61" s="6"/>
      <c r="R61" s="20"/>
      <c r="S61" s="6"/>
      <c r="T61" s="6"/>
    </row>
    <row r="62" spans="1:20">
      <c r="A62" s="6"/>
      <c r="B62" s="6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6"/>
      <c r="Q62" s="6"/>
      <c r="R62" s="20"/>
      <c r="S62" s="6"/>
      <c r="T62" s="6"/>
    </row>
    <row r="63" spans="1:20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20"/>
      <c r="S63" s="6"/>
      <c r="T63" s="6"/>
    </row>
    <row r="64" spans="1:20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20"/>
      <c r="S64" s="6"/>
      <c r="T64" s="6"/>
    </row>
    <row r="65" spans="1:20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20"/>
      <c r="S65" s="6"/>
      <c r="T65" s="6"/>
    </row>
    <row r="66" spans="1:20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20"/>
      <c r="S66" s="6"/>
      <c r="T66" s="6"/>
    </row>
    <row r="67" spans="1:20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20"/>
      <c r="S67" s="6"/>
      <c r="T67" s="6"/>
    </row>
    <row r="68" spans="1:20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20"/>
      <c r="S68" s="6"/>
      <c r="T68" s="6"/>
    </row>
    <row r="69" spans="1:20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20"/>
      <c r="S69" s="6"/>
      <c r="T69" s="6"/>
    </row>
    <row r="70" spans="1:2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20"/>
      <c r="S70" s="6"/>
      <c r="T70" s="6"/>
    </row>
    <row r="71" spans="1:20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20"/>
      <c r="S71" s="6"/>
      <c r="T71" s="6"/>
    </row>
    <row r="72" spans="1:20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20"/>
      <c r="S72" s="6"/>
      <c r="T72" s="6"/>
    </row>
    <row r="73" spans="1:20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20"/>
      <c r="S73" s="6"/>
      <c r="T73" s="6"/>
    </row>
    <row r="74" spans="1:20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20"/>
      <c r="S74" s="6"/>
      <c r="T74" s="6"/>
    </row>
    <row r="75" spans="1:20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20"/>
      <c r="S75" s="6"/>
      <c r="T75" s="6"/>
    </row>
    <row r="76" spans="1:20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20"/>
      <c r="S76" s="6"/>
      <c r="T76" s="6"/>
    </row>
    <row r="77" spans="1:20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20"/>
      <c r="S77" s="6"/>
      <c r="T77" s="6"/>
    </row>
    <row r="78" spans="1:20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20"/>
      <c r="S78" s="6"/>
      <c r="T78" s="6"/>
    </row>
    <row r="79" spans="1:20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20"/>
      <c r="S79" s="6"/>
      <c r="T79" s="6"/>
    </row>
    <row r="80" spans="1:2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20"/>
      <c r="S80" s="6"/>
      <c r="T80" s="6"/>
    </row>
    <row r="81" spans="1:20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20"/>
      <c r="S81" s="6"/>
      <c r="T81" s="6"/>
    </row>
    <row r="82" spans="1:20">
      <c r="A82" s="6"/>
      <c r="B82" s="6"/>
      <c r="C82" s="35">
        <f t="shared" ref="C82:O82" si="7">C16-C18-C20-C26-C37-C44-C47-C58-C60</f>
        <v>0</v>
      </c>
      <c r="D82" s="35">
        <f t="shared" si="7"/>
        <v>2.7648638933897e-10</v>
      </c>
      <c r="E82" s="35">
        <f t="shared" si="7"/>
        <v>0</v>
      </c>
      <c r="F82" s="35">
        <f t="shared" si="7"/>
        <v>-4.65661287307739e-10</v>
      </c>
      <c r="G82" s="35">
        <f t="shared" si="7"/>
        <v>0</v>
      </c>
      <c r="H82" s="35">
        <f t="shared" si="7"/>
        <v>-7.27595761418343e-10</v>
      </c>
      <c r="I82" s="35">
        <f t="shared" si="7"/>
        <v>0</v>
      </c>
      <c r="J82" s="35">
        <f t="shared" si="7"/>
        <v>0</v>
      </c>
      <c r="K82" s="35">
        <f t="shared" si="7"/>
        <v>9.31322574615479e-10</v>
      </c>
      <c r="L82" s="35">
        <f t="shared" si="7"/>
        <v>0</v>
      </c>
      <c r="M82" s="35">
        <f t="shared" si="7"/>
        <v>0</v>
      </c>
      <c r="N82" s="35">
        <f t="shared" si="7"/>
        <v>0</v>
      </c>
      <c r="O82" s="35">
        <f t="shared" si="7"/>
        <v>1.30385160446167e-8</v>
      </c>
      <c r="P82" s="6"/>
      <c r="Q82" s="6"/>
      <c r="R82" s="20"/>
      <c r="S82" s="6"/>
      <c r="T82" s="6"/>
    </row>
    <row r="83" spans="1:20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20"/>
      <c r="S83" s="6"/>
      <c r="T83" s="6"/>
    </row>
    <row r="84" spans="1:20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20"/>
      <c r="S84" s="6"/>
      <c r="T84" s="6"/>
    </row>
    <row r="85" spans="1:20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20"/>
      <c r="S85" s="6"/>
      <c r="T85" s="6"/>
    </row>
    <row r="86" spans="1:20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20"/>
      <c r="S86" s="6"/>
      <c r="T86" s="6"/>
    </row>
    <row r="87" spans="1:20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20"/>
      <c r="S87" s="6"/>
      <c r="T87" s="6"/>
    </row>
    <row r="88" spans="1:20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20"/>
      <c r="S88" s="6"/>
      <c r="T88" s="6"/>
    </row>
    <row r="89" spans="1:20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20"/>
      <c r="S89" s="6"/>
      <c r="T89" s="6"/>
    </row>
    <row r="90" spans="1:2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20"/>
      <c r="S90" s="6"/>
      <c r="T90" s="6"/>
    </row>
    <row r="91" spans="1:20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20"/>
      <c r="S91" s="6"/>
      <c r="T91" s="6"/>
    </row>
    <row r="92" spans="1:20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20"/>
      <c r="S92" s="6"/>
      <c r="T92" s="6"/>
    </row>
    <row r="93" spans="1:20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20"/>
      <c r="S93" s="6"/>
      <c r="T93" s="6"/>
    </row>
    <row r="94" spans="1:20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20"/>
      <c r="S94" s="6"/>
      <c r="T94" s="6"/>
    </row>
    <row r="95" spans="1:20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20"/>
      <c r="S95" s="6"/>
      <c r="T95" s="6"/>
    </row>
    <row r="96" spans="1:20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20"/>
      <c r="S96" s="6"/>
      <c r="T96" s="6"/>
    </row>
    <row r="97" spans="1:20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20"/>
      <c r="S97" s="6"/>
      <c r="T97" s="6"/>
    </row>
    <row r="98" spans="1:20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20"/>
      <c r="S98" s="6"/>
      <c r="T98" s="6"/>
    </row>
    <row r="99" spans="1:20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20"/>
      <c r="S99" s="6"/>
      <c r="T99" s="6"/>
    </row>
    <row r="100" spans="1:2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20"/>
      <c r="S100" s="6"/>
      <c r="T100" s="6"/>
    </row>
    <row r="101" spans="1:20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20"/>
      <c r="S101" s="6"/>
      <c r="T101" s="6"/>
    </row>
    <row r="102" spans="1:20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20"/>
      <c r="S102" s="6"/>
      <c r="T102" s="6"/>
    </row>
    <row r="103" spans="1:20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20"/>
      <c r="S103" s="6"/>
      <c r="T103" s="6"/>
    </row>
    <row r="104" spans="1:20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20"/>
      <c r="S104" s="6"/>
      <c r="T104" s="6"/>
    </row>
    <row r="105" spans="1:20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20"/>
      <c r="S105" s="6"/>
      <c r="T105" s="6"/>
    </row>
    <row r="106" spans="1:20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20"/>
      <c r="S106" s="6"/>
      <c r="T106" s="6"/>
    </row>
    <row r="107" spans="1:20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20"/>
      <c r="S107" s="6"/>
      <c r="T107" s="6"/>
    </row>
    <row r="108" spans="1:20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20"/>
      <c r="S108" s="6"/>
      <c r="T108" s="6"/>
    </row>
    <row r="109" spans="1:20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20"/>
      <c r="S109" s="6"/>
      <c r="T109" s="6"/>
    </row>
    <row r="110" spans="1:2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20"/>
      <c r="S110" s="6"/>
      <c r="T110" s="6"/>
    </row>
    <row r="111" spans="1:20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20"/>
      <c r="S111" s="6"/>
      <c r="T111" s="6"/>
    </row>
    <row r="112" spans="1:20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20"/>
      <c r="S112" s="6"/>
      <c r="T112" s="6"/>
    </row>
    <row r="113" spans="1:20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20"/>
      <c r="S113" s="6"/>
      <c r="T113" s="6"/>
    </row>
    <row r="114" spans="1:20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20"/>
      <c r="S114" s="6"/>
      <c r="T114" s="6"/>
    </row>
    <row r="115" spans="1:20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20"/>
      <c r="S115" s="6"/>
      <c r="T115" s="6"/>
    </row>
    <row r="116" spans="1:20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20"/>
      <c r="S116" s="6"/>
      <c r="T116" s="6"/>
    </row>
    <row r="117" spans="1:20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20"/>
      <c r="S117" s="6"/>
      <c r="T117" s="6"/>
    </row>
    <row r="118" spans="1:20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20"/>
      <c r="S118" s="6"/>
      <c r="T118" s="6"/>
    </row>
    <row r="119" spans="1:20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20"/>
      <c r="S119" s="6"/>
      <c r="T119" s="6"/>
    </row>
    <row r="120" spans="1: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20"/>
      <c r="S120" s="6"/>
      <c r="T120" s="6"/>
    </row>
    <row r="121" spans="1:20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20"/>
      <c r="S121" s="6"/>
      <c r="T121" s="6"/>
    </row>
    <row r="122" spans="1:20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20"/>
      <c r="S122" s="6"/>
      <c r="T122" s="6"/>
    </row>
    <row r="123" spans="1:20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20"/>
      <c r="S123" s="6"/>
      <c r="T123" s="6"/>
    </row>
    <row r="124" spans="1:20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20"/>
      <c r="S124" s="6"/>
      <c r="T124" s="6"/>
    </row>
    <row r="125" spans="1:20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20"/>
      <c r="S125" s="6"/>
      <c r="T125" s="6"/>
    </row>
    <row r="126" spans="1:20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20"/>
      <c r="S126" s="6"/>
      <c r="T126" s="6"/>
    </row>
    <row r="127" spans="1:20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20"/>
      <c r="S127" s="6"/>
      <c r="T127" s="6"/>
    </row>
    <row r="128" spans="1:20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20"/>
      <c r="S128" s="6"/>
      <c r="T128" s="6"/>
    </row>
    <row r="129" spans="1:20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20"/>
      <c r="S129" s="6"/>
      <c r="T129" s="6"/>
    </row>
    <row r="130" spans="1:2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20"/>
      <c r="S130" s="6"/>
      <c r="T130" s="6"/>
    </row>
    <row r="131" spans="1:20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20"/>
      <c r="S131" s="6"/>
      <c r="T131" s="6"/>
    </row>
    <row r="132" spans="1:20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20"/>
      <c r="S132" s="6"/>
      <c r="T132" s="6"/>
    </row>
    <row r="133" spans="1:20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20"/>
      <c r="S133" s="6"/>
      <c r="T133" s="6"/>
    </row>
    <row r="134" spans="1:20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20"/>
      <c r="S134" s="6"/>
      <c r="T134" s="6"/>
    </row>
    <row r="135" spans="1:20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20"/>
      <c r="S135" s="6"/>
      <c r="T135" s="6"/>
    </row>
    <row r="136" spans="1:20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20"/>
      <c r="S136" s="6"/>
      <c r="T136" s="6"/>
    </row>
    <row r="137" spans="1:20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20"/>
      <c r="S137" s="6"/>
      <c r="T137" s="6"/>
    </row>
    <row r="138" spans="1:20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20"/>
      <c r="S138" s="6"/>
      <c r="T138" s="6"/>
    </row>
    <row r="139" spans="1:20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20"/>
      <c r="S139" s="6"/>
      <c r="T139" s="6"/>
    </row>
    <row r="140" spans="1:2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20"/>
      <c r="S140" s="6"/>
      <c r="T140" s="6"/>
    </row>
    <row r="141" spans="1:20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20"/>
      <c r="S141" s="6"/>
      <c r="T141" s="6"/>
    </row>
    <row r="142" spans="1:20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20"/>
      <c r="S142" s="6"/>
      <c r="T142" s="6"/>
    </row>
    <row r="143" spans="1:20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20"/>
      <c r="S143" s="6"/>
      <c r="T143" s="6"/>
    </row>
    <row r="144" spans="1:20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20"/>
      <c r="S144" s="6"/>
      <c r="T144" s="6"/>
    </row>
    <row r="145" spans="1:20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20"/>
      <c r="S145" s="6"/>
      <c r="T145" s="6"/>
    </row>
    <row r="146" spans="1:20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20"/>
      <c r="S146" s="6"/>
      <c r="T146" s="6"/>
    </row>
    <row r="147" spans="1:20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20"/>
      <c r="S147" s="6"/>
      <c r="T147" s="6"/>
    </row>
    <row r="148" spans="1:20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20"/>
      <c r="S148" s="6"/>
      <c r="T148" s="6"/>
    </row>
    <row r="149" spans="1:20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20"/>
      <c r="S149" s="6"/>
      <c r="T149" s="6"/>
    </row>
    <row r="150" spans="1:2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20"/>
      <c r="S150" s="6"/>
      <c r="T150" s="6"/>
    </row>
    <row r="151" spans="1:20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20"/>
      <c r="S151" s="6"/>
      <c r="T151" s="6"/>
    </row>
    <row r="152" spans="1:20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20"/>
      <c r="S152" s="6"/>
      <c r="T152" s="6"/>
    </row>
    <row r="153" spans="1:20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20"/>
      <c r="S153" s="6"/>
      <c r="T153" s="6"/>
    </row>
    <row r="154" spans="1:20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20"/>
      <c r="S154" s="6"/>
      <c r="T154" s="6"/>
    </row>
    <row r="155" spans="1:20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20"/>
      <c r="S155" s="6"/>
      <c r="T155" s="6"/>
    </row>
    <row r="156" spans="1:20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20"/>
      <c r="S156" s="6"/>
      <c r="T156" s="6"/>
    </row>
    <row r="157" spans="1:20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20"/>
      <c r="S157" s="6"/>
      <c r="T157" s="6"/>
    </row>
    <row r="158" spans="1:20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20"/>
      <c r="S158" s="6"/>
      <c r="T158" s="6"/>
    </row>
    <row r="159" spans="1:20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20"/>
      <c r="S159" s="6"/>
      <c r="T159" s="6"/>
    </row>
    <row r="160" spans="1:2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20"/>
      <c r="S160" s="6"/>
      <c r="T160" s="6"/>
    </row>
    <row r="161" spans="1:20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20"/>
      <c r="S161" s="6"/>
      <c r="T161" s="6"/>
    </row>
    <row r="162" spans="1:20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20"/>
      <c r="S162" s="6"/>
      <c r="T162" s="6"/>
    </row>
    <row r="163" spans="1:20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20"/>
      <c r="S163" s="6"/>
      <c r="T163" s="6"/>
    </row>
    <row r="164" spans="1:20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20"/>
      <c r="S164" s="6"/>
      <c r="T164" s="6"/>
    </row>
    <row r="165" spans="1:20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20"/>
      <c r="S165" s="6"/>
      <c r="T165" s="6"/>
    </row>
    <row r="166" spans="1:20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20"/>
      <c r="S166" s="6"/>
      <c r="T166" s="6"/>
    </row>
    <row r="167" spans="1:20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20"/>
      <c r="S167" s="6"/>
      <c r="T167" s="6"/>
    </row>
    <row r="168" spans="1:20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20"/>
      <c r="S168" s="6"/>
      <c r="T168" s="6"/>
    </row>
    <row r="169" spans="1:20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20"/>
      <c r="S169" s="6"/>
      <c r="T169" s="6"/>
    </row>
    <row r="170" spans="1:2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20"/>
      <c r="S170" s="6"/>
      <c r="T170" s="6"/>
    </row>
    <row r="171" spans="1:20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20"/>
      <c r="S171" s="6"/>
      <c r="T171" s="6"/>
    </row>
    <row r="172" spans="1:20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20"/>
      <c r="S172" s="6"/>
      <c r="T172" s="6"/>
    </row>
    <row r="173" spans="1:20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20"/>
      <c r="S173" s="6"/>
      <c r="T173" s="6"/>
    </row>
    <row r="174" spans="1:20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20"/>
      <c r="S174" s="6"/>
      <c r="T174" s="6"/>
    </row>
    <row r="175" spans="1:20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20"/>
      <c r="S175" s="6"/>
      <c r="T175" s="6"/>
    </row>
    <row r="176" spans="1:20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20"/>
      <c r="S176" s="6"/>
      <c r="T176" s="6"/>
    </row>
    <row r="177" spans="1:20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20"/>
      <c r="S177" s="6"/>
      <c r="T177" s="6"/>
    </row>
    <row r="178" spans="1:20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20"/>
      <c r="S178" s="6"/>
      <c r="T178" s="6"/>
    </row>
    <row r="179" spans="1:20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20"/>
      <c r="S179" s="6"/>
      <c r="T179" s="6"/>
    </row>
    <row r="180" spans="1:2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20"/>
      <c r="S180" s="6"/>
      <c r="T180" s="6"/>
    </row>
    <row r="181" spans="1:20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20"/>
      <c r="S181" s="6"/>
      <c r="T181" s="6"/>
    </row>
    <row r="182" spans="1:20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20"/>
      <c r="S182" s="6"/>
      <c r="T182" s="6"/>
    </row>
    <row r="183" spans="1:20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20"/>
      <c r="S183" s="6"/>
      <c r="T183" s="6"/>
    </row>
    <row r="184" spans="1:20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20"/>
      <c r="S184" s="6"/>
      <c r="T184" s="6"/>
    </row>
    <row r="185" spans="1:20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20"/>
      <c r="S185" s="6"/>
      <c r="T185" s="6"/>
    </row>
    <row r="186" spans="1:20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20"/>
      <c r="S186" s="6"/>
      <c r="T186" s="6"/>
    </row>
    <row r="187" spans="1:20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20"/>
      <c r="S187" s="6"/>
      <c r="T187" s="6"/>
    </row>
    <row r="188" spans="1:20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20"/>
      <c r="S188" s="6"/>
      <c r="T188" s="6"/>
    </row>
    <row r="189" spans="1:20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20"/>
      <c r="S189" s="6"/>
      <c r="T189" s="6"/>
    </row>
    <row r="190" spans="1:2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20"/>
      <c r="S190" s="6"/>
      <c r="T190" s="6"/>
    </row>
    <row r="191" spans="1:20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20"/>
      <c r="S191" s="6"/>
      <c r="T191" s="6"/>
    </row>
    <row r="192" spans="1:20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20"/>
      <c r="S192" s="6"/>
      <c r="T192" s="6"/>
    </row>
    <row r="193" spans="1:20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20"/>
      <c r="S193" s="6"/>
      <c r="T193" s="6"/>
    </row>
    <row r="194" spans="1:20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20"/>
      <c r="S194" s="6"/>
      <c r="T194" s="6"/>
    </row>
    <row r="195" spans="1:20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20"/>
      <c r="S195" s="6"/>
      <c r="T195" s="6"/>
    </row>
    <row r="196" spans="1:20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20"/>
      <c r="S196" s="6"/>
      <c r="T196" s="6"/>
    </row>
    <row r="197" spans="1:20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20"/>
      <c r="S197" s="6"/>
      <c r="T197" s="6"/>
    </row>
    <row r="198" spans="1:20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20"/>
      <c r="S198" s="6"/>
      <c r="T198" s="6"/>
    </row>
    <row r="199" spans="1:20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20"/>
      <c r="S199" s="6"/>
      <c r="T199" s="6"/>
    </row>
    <row r="200" spans="1:2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20"/>
      <c r="S200" s="6"/>
      <c r="T200" s="6"/>
    </row>
    <row r="201" spans="1:20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20"/>
      <c r="S201" s="6"/>
      <c r="T201" s="6"/>
    </row>
  </sheetData>
  <pageMargins left="0.75" right="0.75" top="1" bottom="1" header="0.5" footer="0.5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1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4.4"/>
  <cols>
    <col min="1" max="1" width="17" customWidth="1"/>
    <col min="2" max="2" width="30" customWidth="1"/>
    <col min="3" max="15" width="19" customWidth="1"/>
    <col min="16" max="17" width="14" customWidth="1"/>
    <col min="18" max="18" width="11" customWidth="1"/>
    <col min="19" max="20" width="14" customWidth="1"/>
  </cols>
  <sheetData>
    <row r="1" ht="17" spans="1:20">
      <c r="A1" s="6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0"/>
      <c r="S1" s="6"/>
      <c r="T1" s="6"/>
    </row>
    <row r="2" ht="19" customHeight="1" spans="1:20">
      <c r="A2" s="6"/>
      <c r="B2" s="4" t="s">
        <v>16</v>
      </c>
      <c r="C2" s="36">
        <v>26085.0206324504</v>
      </c>
      <c r="D2" s="36">
        <v>23791.8320054218</v>
      </c>
      <c r="E2" s="36">
        <v>27804.9121027219</v>
      </c>
      <c r="F2" s="36">
        <v>23075.2105594754</v>
      </c>
      <c r="G2" s="36">
        <v>40274.12526219</v>
      </c>
      <c r="H2" s="36">
        <v>34827.802272997</v>
      </c>
      <c r="I2" s="36">
        <v>22645.2376919075</v>
      </c>
      <c r="J2" s="36">
        <v>28464.2038329926</v>
      </c>
      <c r="K2" s="36">
        <v>31388.0193324541</v>
      </c>
      <c r="L2" s="36">
        <v>41592.7087227314</v>
      </c>
      <c r="M2" s="36">
        <v>32333.9596411034</v>
      </c>
      <c r="N2" s="36">
        <v>28894.1767005605</v>
      </c>
      <c r="O2" s="36">
        <f>SUM(C2:N2)</f>
        <v>361177.208757006</v>
      </c>
      <c r="P2" s="36"/>
      <c r="Q2" s="6"/>
      <c r="R2" s="20"/>
      <c r="S2" s="6"/>
      <c r="T2" s="6"/>
    </row>
    <row r="3" ht="19" customHeight="1" spans="1:20">
      <c r="A3" s="32"/>
      <c r="B3" s="8" t="s">
        <v>17</v>
      </c>
      <c r="C3" s="8">
        <f t="shared" ref="C3:N3" si="0">C6/(1-$P$12)</f>
        <v>13217362.42</v>
      </c>
      <c r="D3" s="8">
        <f t="shared" si="0"/>
        <v>11079848.51</v>
      </c>
      <c r="E3" s="8">
        <f t="shared" si="0"/>
        <v>11093215.61</v>
      </c>
      <c r="F3" s="8">
        <f t="shared" si="0"/>
        <v>8876802.944</v>
      </c>
      <c r="G3" s="8">
        <f t="shared" si="0"/>
        <v>25066177.47</v>
      </c>
      <c r="H3" s="8">
        <f t="shared" si="0"/>
        <v>18771359.15</v>
      </c>
      <c r="I3" s="8">
        <f t="shared" si="0"/>
        <v>12800907.2</v>
      </c>
      <c r="J3" s="8">
        <f t="shared" si="0"/>
        <v>21543564.37</v>
      </c>
      <c r="K3" s="8">
        <f t="shared" si="0"/>
        <v>15704709.15</v>
      </c>
      <c r="L3" s="8">
        <f t="shared" si="0"/>
        <v>29469801.6</v>
      </c>
      <c r="M3" s="8">
        <f t="shared" si="0"/>
        <v>22844094.47</v>
      </c>
      <c r="N3" s="8">
        <f t="shared" si="0"/>
        <v>15255413.6</v>
      </c>
      <c r="O3" s="8">
        <f>SUM(C3:N3)</f>
        <v>205723256.494</v>
      </c>
      <c r="P3" s="8"/>
      <c r="Q3" s="10" t="s">
        <v>83</v>
      </c>
      <c r="R3" s="20"/>
      <c r="S3" s="6"/>
      <c r="T3" s="6"/>
    </row>
    <row r="4" ht="19" customHeight="1" spans="1:20">
      <c r="A4" s="32"/>
      <c r="B4" s="8" t="s">
        <v>84</v>
      </c>
      <c r="C4" s="8">
        <v>10161972.65</v>
      </c>
      <c r="D4" s="8">
        <v>8521177.913</v>
      </c>
      <c r="E4" s="8">
        <v>8402887.455</v>
      </c>
      <c r="F4" s="8">
        <v>7171008.076</v>
      </c>
      <c r="G4" s="8">
        <v>18966588.08</v>
      </c>
      <c r="H4" s="8">
        <v>15143423.92</v>
      </c>
      <c r="I4" s="8">
        <v>9590004.139</v>
      </c>
      <c r="J4" s="8">
        <v>15295930.61</v>
      </c>
      <c r="K4" s="8">
        <v>10084320.34</v>
      </c>
      <c r="L4" s="8">
        <v>21174740.58</v>
      </c>
      <c r="M4" s="8">
        <v>15996572.9</v>
      </c>
      <c r="N4" s="8">
        <v>11430007.25</v>
      </c>
      <c r="O4" s="8">
        <f>SUM(C4:N4)</f>
        <v>151938633.913</v>
      </c>
      <c r="P4" s="8"/>
      <c r="Q4" s="10" t="s">
        <v>83</v>
      </c>
      <c r="R4" s="20"/>
      <c r="S4" s="6"/>
      <c r="T4" s="6"/>
    </row>
    <row r="5" ht="16.8" spans="1:20">
      <c r="A5" s="32"/>
      <c r="B5" s="8" t="s">
        <v>18</v>
      </c>
      <c r="C5" s="8">
        <f t="shared" ref="C5:N5" si="1">C4*$P$12</f>
        <v>1524295.8975</v>
      </c>
      <c r="D5" s="8">
        <f t="shared" si="1"/>
        <v>1278176.68695</v>
      </c>
      <c r="E5" s="8">
        <f t="shared" si="1"/>
        <v>1260433.11825</v>
      </c>
      <c r="F5" s="8">
        <f t="shared" si="1"/>
        <v>1075651.2114</v>
      </c>
      <c r="G5" s="8">
        <f t="shared" si="1"/>
        <v>2844988.212</v>
      </c>
      <c r="H5" s="8">
        <f t="shared" si="1"/>
        <v>2271513.588</v>
      </c>
      <c r="I5" s="8">
        <f t="shared" si="1"/>
        <v>1438500.62085</v>
      </c>
      <c r="J5" s="8">
        <f t="shared" si="1"/>
        <v>2294389.5915</v>
      </c>
      <c r="K5" s="8">
        <f t="shared" si="1"/>
        <v>1512648.051</v>
      </c>
      <c r="L5" s="8">
        <f t="shared" si="1"/>
        <v>3176211.087</v>
      </c>
      <c r="M5" s="8">
        <f t="shared" si="1"/>
        <v>2399485.935</v>
      </c>
      <c r="N5" s="8">
        <f t="shared" si="1"/>
        <v>1714501.0875</v>
      </c>
      <c r="O5" s="8">
        <f>SUM(C5:N5)</f>
        <v>22790795.08695</v>
      </c>
      <c r="P5" s="8"/>
      <c r="Q5" s="10" t="s">
        <v>83</v>
      </c>
      <c r="R5" s="20"/>
      <c r="S5" s="6"/>
      <c r="T5" s="6"/>
    </row>
    <row r="6" ht="16.8" spans="1:20">
      <c r="A6" s="32"/>
      <c r="B6" s="12" t="s">
        <v>85</v>
      </c>
      <c r="C6" s="12">
        <v>11234758.057</v>
      </c>
      <c r="D6" s="12">
        <v>9417871.2335</v>
      </c>
      <c r="E6" s="12">
        <v>9429233.2685</v>
      </c>
      <c r="F6" s="12">
        <v>7545282.5024</v>
      </c>
      <c r="G6" s="12">
        <v>21306250.8495</v>
      </c>
      <c r="H6" s="12">
        <v>15955655.2775</v>
      </c>
      <c r="I6" s="12">
        <v>10880771.12</v>
      </c>
      <c r="J6" s="12">
        <v>18312029.7145</v>
      </c>
      <c r="K6" s="12">
        <v>13349002.7775</v>
      </c>
      <c r="L6" s="12">
        <v>25049331.36</v>
      </c>
      <c r="M6" s="12">
        <v>19417480.2995</v>
      </c>
      <c r="N6" s="12">
        <v>12967101.56</v>
      </c>
      <c r="O6" s="12">
        <f>SUM(C6:N6)</f>
        <v>174864768.0199</v>
      </c>
      <c r="P6" s="12"/>
      <c r="Q6" s="10" t="s">
        <v>83</v>
      </c>
      <c r="R6" s="20"/>
      <c r="S6" s="6"/>
      <c r="T6" s="6"/>
    </row>
    <row r="7" ht="16.8" spans="1:20">
      <c r="A7" s="32"/>
      <c r="B7" s="14" t="s">
        <v>20</v>
      </c>
      <c r="C7" s="14">
        <v>0.231164863</v>
      </c>
      <c r="D7" s="14">
        <v>0.230930107</v>
      </c>
      <c r="E7" s="14">
        <v>0.242520136</v>
      </c>
      <c r="F7" s="14">
        <v>0.192163201</v>
      </c>
      <c r="G7" s="14">
        <v>0.243339432</v>
      </c>
      <c r="H7" s="14">
        <v>0.193269715</v>
      </c>
      <c r="I7" s="14">
        <v>0.250834024</v>
      </c>
      <c r="J7" s="14">
        <v>0.290000005</v>
      </c>
      <c r="K7" s="14">
        <v>0.357879204</v>
      </c>
      <c r="L7" s="14">
        <v>0.28147665</v>
      </c>
      <c r="M7" s="14">
        <v>0.299750186</v>
      </c>
      <c r="N7" s="14">
        <v>0.250757301</v>
      </c>
      <c r="O7" s="14">
        <f>1-O8/O6</f>
        <v>0.261441625632543</v>
      </c>
      <c r="P7" s="14"/>
      <c r="Q7" s="6" t="s">
        <v>83</v>
      </c>
      <c r="R7" s="20"/>
      <c r="S7" s="6"/>
      <c r="T7" s="6"/>
    </row>
    <row r="8" ht="16.8" spans="1:20">
      <c r="A8" s="32"/>
      <c r="B8" s="12" t="s">
        <v>86</v>
      </c>
      <c r="C8" s="12">
        <f t="shared" ref="C8:N8" si="2">C6*(1-C7)</f>
        <v>8637676.74991545</v>
      </c>
      <c r="D8" s="12">
        <f t="shared" si="2"/>
        <v>7243001.22183562</v>
      </c>
      <c r="E8" s="12">
        <f t="shared" si="2"/>
        <v>7142454.33384765</v>
      </c>
      <c r="F8" s="12">
        <f t="shared" si="2"/>
        <v>6095356.86428952</v>
      </c>
      <c r="G8" s="12">
        <f t="shared" si="2"/>
        <v>16121599.8697332</v>
      </c>
      <c r="H8" s="12">
        <f t="shared" si="2"/>
        <v>12871910.3293793</v>
      </c>
      <c r="I8" s="12">
        <f t="shared" si="2"/>
        <v>8151503.51574741</v>
      </c>
      <c r="J8" s="12">
        <f t="shared" si="2"/>
        <v>13001541.0057348</v>
      </c>
      <c r="K8" s="12">
        <f t="shared" si="2"/>
        <v>8571672.28929451</v>
      </c>
      <c r="L8" s="12">
        <f t="shared" si="2"/>
        <v>17998529.4840473</v>
      </c>
      <c r="M8" s="12">
        <f t="shared" si="2"/>
        <v>13597086.9680735</v>
      </c>
      <c r="N8" s="12">
        <f t="shared" si="2"/>
        <v>9715506.17102151</v>
      </c>
      <c r="O8" s="12">
        <f>SUM(C8:N8)</f>
        <v>129147838.80292</v>
      </c>
      <c r="P8" s="12"/>
      <c r="Q8" s="6" t="s">
        <v>83</v>
      </c>
      <c r="R8" s="20"/>
      <c r="S8" s="6"/>
      <c r="T8" s="6"/>
    </row>
    <row r="9" ht="19" customHeight="1" spans="1:20">
      <c r="A9" s="6"/>
      <c r="B9" s="4"/>
      <c r="C9" s="5">
        <f t="shared" ref="C9:O9" si="3">C8+C14-C10</f>
        <v>-0.00258455239236355</v>
      </c>
      <c r="D9" s="5">
        <f t="shared" si="3"/>
        <v>-0.00421437807381153</v>
      </c>
      <c r="E9" s="5">
        <f t="shared" si="3"/>
        <v>-0.00290234573185444</v>
      </c>
      <c r="F9" s="5">
        <f t="shared" si="3"/>
        <v>-0.000310475006699562</v>
      </c>
      <c r="G9" s="5">
        <f t="shared" si="3"/>
        <v>0.00173315405845642</v>
      </c>
      <c r="H9" s="5">
        <f t="shared" si="3"/>
        <v>-0.00262067280709743</v>
      </c>
      <c r="I9" s="5">
        <f t="shared" si="3"/>
        <v>-0.00240258686244488</v>
      </c>
      <c r="J9" s="5">
        <f t="shared" si="3"/>
        <v>-0.0127651505172253</v>
      </c>
      <c r="K9" s="5">
        <f t="shared" si="3"/>
        <v>0.000294508412480354</v>
      </c>
      <c r="L9" s="5">
        <f t="shared" si="3"/>
        <v>-0.00895274057984352</v>
      </c>
      <c r="M9" s="5">
        <f t="shared" si="3"/>
        <v>0.00307353958487511</v>
      </c>
      <c r="N9" s="5">
        <f t="shared" si="3"/>
        <v>0.00852151028811932</v>
      </c>
      <c r="O9" s="5">
        <f t="shared" si="3"/>
        <v>-0.0231301486492157</v>
      </c>
      <c r="P9" s="36"/>
      <c r="Q9" s="6"/>
      <c r="R9" s="20"/>
      <c r="S9" s="6"/>
      <c r="T9" s="6"/>
    </row>
    <row r="10" ht="16.8" spans="1:20">
      <c r="A10" s="32"/>
      <c r="B10" s="12" t="s">
        <v>114</v>
      </c>
      <c r="C10" s="12">
        <f t="shared" ref="C10:N10" si="4">C4+C13</f>
        <v>10466831.8295</v>
      </c>
      <c r="D10" s="12">
        <f t="shared" si="4"/>
        <v>8776813.25039</v>
      </c>
      <c r="E10" s="12">
        <f t="shared" si="4"/>
        <v>8654974.07865</v>
      </c>
      <c r="F10" s="12">
        <f t="shared" si="4"/>
        <v>7601268.56056</v>
      </c>
      <c r="G10" s="12">
        <f t="shared" si="4"/>
        <v>20104583.3648</v>
      </c>
      <c r="H10" s="12">
        <f t="shared" si="4"/>
        <v>16052029.3552</v>
      </c>
      <c r="I10" s="12">
        <f t="shared" si="4"/>
        <v>10165404.38734</v>
      </c>
      <c r="J10" s="12">
        <f t="shared" si="4"/>
        <v>16213686.4466</v>
      </c>
      <c r="K10" s="12">
        <f t="shared" si="4"/>
        <v>10689379.5604</v>
      </c>
      <c r="L10" s="12">
        <f t="shared" si="4"/>
        <v>22445225.0148</v>
      </c>
      <c r="M10" s="12">
        <f t="shared" si="4"/>
        <v>16956367.274</v>
      </c>
      <c r="N10" s="12">
        <f t="shared" si="4"/>
        <v>12115807.685</v>
      </c>
      <c r="O10" s="12">
        <f t="shared" ref="O10:O16" si="5">SUM(C10:N10)</f>
        <v>160242370.80724</v>
      </c>
      <c r="P10" s="12"/>
      <c r="Q10" s="11" t="s">
        <v>83</v>
      </c>
      <c r="R10" s="20"/>
      <c r="S10" s="6"/>
      <c r="T10" s="6"/>
    </row>
    <row r="11" ht="16.8" spans="1:20">
      <c r="A11" s="6"/>
      <c r="B11" s="17" t="s">
        <v>23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>
        <f t="shared" si="5"/>
        <v>0</v>
      </c>
      <c r="P11" s="37"/>
      <c r="Q11" s="6" t="s">
        <v>88</v>
      </c>
      <c r="R11" s="20"/>
      <c r="S11" s="6"/>
      <c r="T11" s="6"/>
    </row>
    <row r="12" ht="16.8" spans="1:20">
      <c r="A12" s="6"/>
      <c r="B12" s="17" t="s">
        <v>25</v>
      </c>
      <c r="C12" s="37">
        <f t="shared" ref="C12:N12" si="6">C4*$P$12</f>
        <v>1524295.8975</v>
      </c>
      <c r="D12" s="37">
        <f t="shared" si="6"/>
        <v>1278176.68695</v>
      </c>
      <c r="E12" s="37">
        <f t="shared" si="6"/>
        <v>1260433.11825</v>
      </c>
      <c r="F12" s="37">
        <f t="shared" si="6"/>
        <v>1075651.2114</v>
      </c>
      <c r="G12" s="37">
        <f t="shared" si="6"/>
        <v>2844988.212</v>
      </c>
      <c r="H12" s="37">
        <f t="shared" si="6"/>
        <v>2271513.588</v>
      </c>
      <c r="I12" s="37">
        <f t="shared" si="6"/>
        <v>1438500.62085</v>
      </c>
      <c r="J12" s="37">
        <f t="shared" si="6"/>
        <v>2294389.5915</v>
      </c>
      <c r="K12" s="37">
        <f t="shared" si="6"/>
        <v>1512648.051</v>
      </c>
      <c r="L12" s="37">
        <f t="shared" si="6"/>
        <v>3176211.087</v>
      </c>
      <c r="M12" s="37">
        <f t="shared" si="6"/>
        <v>2399485.935</v>
      </c>
      <c r="N12" s="37">
        <f t="shared" si="6"/>
        <v>1714501.0875</v>
      </c>
      <c r="O12" s="37">
        <f t="shared" si="5"/>
        <v>22790795.08695</v>
      </c>
      <c r="P12" s="39">
        <v>0.15</v>
      </c>
      <c r="Q12" s="6" t="s">
        <v>83</v>
      </c>
      <c r="R12" s="20">
        <f>O12/$O$10</f>
        <v>0.142227021306154</v>
      </c>
      <c r="S12" s="6"/>
      <c r="T12" s="6"/>
    </row>
    <row r="13" ht="16.8" spans="1:20">
      <c r="A13" s="6"/>
      <c r="B13" s="81" t="s">
        <v>27</v>
      </c>
      <c r="C13" s="37">
        <f>C4*3%</f>
        <v>304859.1795</v>
      </c>
      <c r="D13" s="37">
        <f>D4*3%</f>
        <v>255635.33739</v>
      </c>
      <c r="E13" s="37">
        <f>E4*3%</f>
        <v>252086.62365</v>
      </c>
      <c r="F13" s="37">
        <f t="shared" ref="F13:N13" si="7">F4*6%</f>
        <v>430260.48456</v>
      </c>
      <c r="G13" s="37">
        <f t="shared" si="7"/>
        <v>1137995.2848</v>
      </c>
      <c r="H13" s="37">
        <f t="shared" si="7"/>
        <v>908605.4352</v>
      </c>
      <c r="I13" s="37">
        <f t="shared" si="7"/>
        <v>575400.24834</v>
      </c>
      <c r="J13" s="37">
        <f t="shared" si="7"/>
        <v>917755.8366</v>
      </c>
      <c r="K13" s="37">
        <f t="shared" si="7"/>
        <v>605059.2204</v>
      </c>
      <c r="L13" s="37">
        <f t="shared" si="7"/>
        <v>1270484.4348</v>
      </c>
      <c r="M13" s="37">
        <f t="shared" si="7"/>
        <v>959794.374</v>
      </c>
      <c r="N13" s="37">
        <f t="shared" si="7"/>
        <v>685800.435</v>
      </c>
      <c r="O13" s="37">
        <f t="shared" si="5"/>
        <v>8303736.89424</v>
      </c>
      <c r="P13" s="37"/>
      <c r="Q13" s="6" t="s">
        <v>83</v>
      </c>
      <c r="R13" s="20">
        <f>O13/$O$10</f>
        <v>0.0518198579589714</v>
      </c>
      <c r="S13" s="6"/>
      <c r="T13" s="6"/>
    </row>
    <row r="14" ht="16.8" spans="1:20">
      <c r="A14" s="6"/>
      <c r="B14" s="21" t="s">
        <v>28</v>
      </c>
      <c r="C14" s="40">
        <f t="shared" ref="C14:N14" si="8">SUM(C11:C13)</f>
        <v>1829155.077</v>
      </c>
      <c r="D14" s="40">
        <f t="shared" si="8"/>
        <v>1533812.02434</v>
      </c>
      <c r="E14" s="40">
        <f t="shared" si="8"/>
        <v>1512519.7419</v>
      </c>
      <c r="F14" s="40">
        <f t="shared" si="8"/>
        <v>1505911.69596</v>
      </c>
      <c r="G14" s="40">
        <f t="shared" si="8"/>
        <v>3982983.4968</v>
      </c>
      <c r="H14" s="40">
        <f t="shared" si="8"/>
        <v>3180119.0232</v>
      </c>
      <c r="I14" s="40">
        <f t="shared" si="8"/>
        <v>2013900.86919</v>
      </c>
      <c r="J14" s="40">
        <f t="shared" si="8"/>
        <v>3212145.4281</v>
      </c>
      <c r="K14" s="40">
        <f t="shared" si="8"/>
        <v>2117707.2714</v>
      </c>
      <c r="L14" s="40">
        <f t="shared" si="8"/>
        <v>4446695.5218</v>
      </c>
      <c r="M14" s="40">
        <f t="shared" si="8"/>
        <v>3359280.309</v>
      </c>
      <c r="N14" s="40">
        <f t="shared" si="8"/>
        <v>2400301.5225</v>
      </c>
      <c r="O14" s="40">
        <f t="shared" si="5"/>
        <v>31094531.98119</v>
      </c>
      <c r="P14" s="80">
        <f>O14/O10</f>
        <v>0.194046879265126</v>
      </c>
      <c r="Q14" s="6"/>
      <c r="R14" s="20">
        <f>O14/$O$10</f>
        <v>0.194046879265126</v>
      </c>
      <c r="S14" s="6"/>
      <c r="T14" s="6"/>
    </row>
    <row r="15" ht="16.8" spans="1:20">
      <c r="A15" s="32"/>
      <c r="B15" s="12" t="s">
        <v>29</v>
      </c>
      <c r="C15" s="12">
        <f t="shared" ref="C15:N15" si="9">C8</f>
        <v>8637676.74991545</v>
      </c>
      <c r="D15" s="12">
        <f t="shared" si="9"/>
        <v>7243001.22183562</v>
      </c>
      <c r="E15" s="12">
        <f t="shared" si="9"/>
        <v>7142454.33384765</v>
      </c>
      <c r="F15" s="12">
        <f t="shared" si="9"/>
        <v>6095356.86428952</v>
      </c>
      <c r="G15" s="12">
        <f t="shared" si="9"/>
        <v>16121599.8697332</v>
      </c>
      <c r="H15" s="12">
        <f t="shared" si="9"/>
        <v>12871910.3293793</v>
      </c>
      <c r="I15" s="12">
        <f t="shared" si="9"/>
        <v>8151503.51574741</v>
      </c>
      <c r="J15" s="12">
        <f t="shared" si="9"/>
        <v>13001541.0057348</v>
      </c>
      <c r="K15" s="12">
        <f t="shared" si="9"/>
        <v>8571672.28929451</v>
      </c>
      <c r="L15" s="12">
        <f t="shared" si="9"/>
        <v>17998529.4840473</v>
      </c>
      <c r="M15" s="12">
        <f t="shared" si="9"/>
        <v>13597086.9680735</v>
      </c>
      <c r="N15" s="12">
        <f t="shared" si="9"/>
        <v>9715506.17102151</v>
      </c>
      <c r="O15" s="12">
        <f t="shared" si="5"/>
        <v>129147838.80292</v>
      </c>
      <c r="P15" s="12"/>
      <c r="Q15" s="6"/>
      <c r="R15" s="20"/>
      <c r="S15" s="6"/>
      <c r="T15" s="6"/>
    </row>
    <row r="16" ht="16.8" spans="1:20">
      <c r="A16" s="32"/>
      <c r="B16" s="12" t="s">
        <v>30</v>
      </c>
      <c r="C16" s="12">
        <f t="shared" ref="C16:N16" si="10">+C8/1.13</f>
        <v>7643961.72558889</v>
      </c>
      <c r="D16" s="12">
        <f t="shared" si="10"/>
        <v>6409735.5945448</v>
      </c>
      <c r="E16" s="12">
        <f t="shared" si="10"/>
        <v>6320756.04765279</v>
      </c>
      <c r="F16" s="12">
        <f t="shared" si="10"/>
        <v>5394121.11884029</v>
      </c>
      <c r="G16" s="12">
        <f t="shared" si="10"/>
        <v>14266902.5395869</v>
      </c>
      <c r="H16" s="12">
        <f t="shared" si="10"/>
        <v>11391071.0879463</v>
      </c>
      <c r="I16" s="12">
        <f t="shared" si="10"/>
        <v>7213719.92544019</v>
      </c>
      <c r="J16" s="12">
        <f t="shared" si="10"/>
        <v>11505788.5006503</v>
      </c>
      <c r="K16" s="12">
        <f t="shared" si="10"/>
        <v>7585550.69849072</v>
      </c>
      <c r="L16" s="12">
        <f t="shared" si="10"/>
        <v>15927902.1982719</v>
      </c>
      <c r="M16" s="12">
        <f t="shared" si="10"/>
        <v>12032820.3257288</v>
      </c>
      <c r="N16" s="12">
        <f t="shared" si="10"/>
        <v>8597793.07170045</v>
      </c>
      <c r="O16" s="12">
        <f t="shared" si="5"/>
        <v>114290122.834442</v>
      </c>
      <c r="P16" s="12"/>
      <c r="Q16" s="6"/>
      <c r="R16" s="20"/>
      <c r="S16" s="6"/>
      <c r="T16" s="6"/>
    </row>
    <row r="17" spans="1:20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20"/>
      <c r="S17" s="6"/>
      <c r="T17" s="6"/>
    </row>
    <row r="18" ht="16.8" spans="1:20">
      <c r="A18" s="6"/>
      <c r="B18" s="17" t="s">
        <v>31</v>
      </c>
      <c r="C18" s="37">
        <f t="shared" ref="C18:N18" si="11">C64*C65</f>
        <v>3741579.56324761</v>
      </c>
      <c r="D18" s="37">
        <f t="shared" si="11"/>
        <v>3124118.56341724</v>
      </c>
      <c r="E18" s="37">
        <f t="shared" si="11"/>
        <v>3250328.58466992</v>
      </c>
      <c r="F18" s="37">
        <f t="shared" si="11"/>
        <v>2781326.70362119</v>
      </c>
      <c r="G18" s="37">
        <f t="shared" si="11"/>
        <v>6553147.66224541</v>
      </c>
      <c r="H18" s="37">
        <f t="shared" si="11"/>
        <v>5315096.18227229</v>
      </c>
      <c r="I18" s="37">
        <f t="shared" si="11"/>
        <v>3109294.57318756</v>
      </c>
      <c r="J18" s="37">
        <f t="shared" si="11"/>
        <v>4945709.66169759</v>
      </c>
      <c r="K18" s="37">
        <f t="shared" si="11"/>
        <v>3204243.84731716</v>
      </c>
      <c r="L18" s="37">
        <f t="shared" si="11"/>
        <v>6619629.76006354</v>
      </c>
      <c r="M18" s="37">
        <f t="shared" si="11"/>
        <v>4885651.81729371</v>
      </c>
      <c r="N18" s="37">
        <f t="shared" si="11"/>
        <v>3456382.92934404</v>
      </c>
      <c r="O18" s="37">
        <f>SUM(C18:N18)</f>
        <v>50986509.8483773</v>
      </c>
      <c r="P18" s="38">
        <f>O18/O16</f>
        <v>0.446114752385339</v>
      </c>
      <c r="Q18" s="6"/>
      <c r="R18" s="20"/>
      <c r="S18" s="6"/>
      <c r="T18" s="6"/>
    </row>
    <row r="19" ht="16.8" spans="1:20">
      <c r="A19" s="6"/>
      <c r="B19" s="21" t="s">
        <v>32</v>
      </c>
      <c r="C19" s="40">
        <f t="shared" ref="C19:N19" si="12">C16-C18</f>
        <v>3902382.16234129</v>
      </c>
      <c r="D19" s="40">
        <f t="shared" si="12"/>
        <v>3285617.03112756</v>
      </c>
      <c r="E19" s="40">
        <f t="shared" si="12"/>
        <v>3070427.46298287</v>
      </c>
      <c r="F19" s="40">
        <f t="shared" si="12"/>
        <v>2612794.4152191</v>
      </c>
      <c r="G19" s="40">
        <f t="shared" si="12"/>
        <v>7713754.87734145</v>
      </c>
      <c r="H19" s="40">
        <f t="shared" si="12"/>
        <v>6075974.90567402</v>
      </c>
      <c r="I19" s="40">
        <f t="shared" si="12"/>
        <v>4104425.35225263</v>
      </c>
      <c r="J19" s="40">
        <f t="shared" si="12"/>
        <v>6560078.83895272</v>
      </c>
      <c r="K19" s="40">
        <f t="shared" si="12"/>
        <v>4381306.85117356</v>
      </c>
      <c r="L19" s="40">
        <f t="shared" si="12"/>
        <v>9308272.43820837</v>
      </c>
      <c r="M19" s="40">
        <f t="shared" si="12"/>
        <v>7147168.50843509</v>
      </c>
      <c r="N19" s="40">
        <f t="shared" si="12"/>
        <v>5141410.14235641</v>
      </c>
      <c r="O19" s="40">
        <f>SUM(C19:N19)</f>
        <v>63303612.9860651</v>
      </c>
      <c r="P19" s="41">
        <f>O19/$O$16</f>
        <v>0.553885247614661</v>
      </c>
      <c r="Q19" s="6"/>
      <c r="R19" s="20"/>
      <c r="S19" s="6"/>
      <c r="T19" s="6"/>
    </row>
    <row r="20" ht="16.8" spans="1:20">
      <c r="A20" s="36"/>
      <c r="B20" s="4" t="s">
        <v>33</v>
      </c>
      <c r="C20" s="36">
        <f t="shared" ref="C20:N20" si="13">C16*2.5%</f>
        <v>191099.043139722</v>
      </c>
      <c r="D20" s="36">
        <f t="shared" si="13"/>
        <v>160243.38986362</v>
      </c>
      <c r="E20" s="36">
        <f t="shared" si="13"/>
        <v>158018.90119132</v>
      </c>
      <c r="F20" s="36">
        <f t="shared" si="13"/>
        <v>134853.027971007</v>
      </c>
      <c r="G20" s="36">
        <f t="shared" si="13"/>
        <v>356672.563489672</v>
      </c>
      <c r="H20" s="36">
        <f t="shared" si="13"/>
        <v>284776.777198658</v>
      </c>
      <c r="I20" s="36">
        <f t="shared" si="13"/>
        <v>180342.998136005</v>
      </c>
      <c r="J20" s="36">
        <f t="shared" si="13"/>
        <v>287644.712516258</v>
      </c>
      <c r="K20" s="36">
        <f t="shared" si="13"/>
        <v>189638.767462268</v>
      </c>
      <c r="L20" s="36">
        <f t="shared" si="13"/>
        <v>398197.554956798</v>
      </c>
      <c r="M20" s="36">
        <f t="shared" si="13"/>
        <v>300820.50814322</v>
      </c>
      <c r="N20" s="36">
        <f t="shared" si="13"/>
        <v>214944.826792511</v>
      </c>
      <c r="O20" s="36">
        <f>SUM(C20:N20)</f>
        <v>2857253.07086106</v>
      </c>
      <c r="P20" s="42">
        <v>0.025</v>
      </c>
      <c r="Q20" s="6"/>
      <c r="R20" s="20"/>
      <c r="S20" s="6"/>
      <c r="T20" s="6"/>
    </row>
    <row r="21" ht="16.8" spans="1:20">
      <c r="A21" s="6"/>
      <c r="B21" s="21" t="s">
        <v>35</v>
      </c>
      <c r="C21" s="40">
        <f t="shared" ref="C21:N21" si="14">SUM(C18,C20)</f>
        <v>3932678.60638733</v>
      </c>
      <c r="D21" s="40">
        <f t="shared" si="14"/>
        <v>3284361.95328086</v>
      </c>
      <c r="E21" s="40">
        <f t="shared" si="14"/>
        <v>3408347.48586124</v>
      </c>
      <c r="F21" s="40">
        <f t="shared" si="14"/>
        <v>2916179.73159219</v>
      </c>
      <c r="G21" s="40">
        <f t="shared" si="14"/>
        <v>6909820.22573508</v>
      </c>
      <c r="H21" s="40">
        <f t="shared" si="14"/>
        <v>5599872.95947095</v>
      </c>
      <c r="I21" s="40">
        <f t="shared" si="14"/>
        <v>3289637.57132356</v>
      </c>
      <c r="J21" s="40">
        <f t="shared" si="14"/>
        <v>5233354.37421385</v>
      </c>
      <c r="K21" s="40">
        <f t="shared" si="14"/>
        <v>3393882.61477943</v>
      </c>
      <c r="L21" s="40">
        <f t="shared" si="14"/>
        <v>7017827.31502034</v>
      </c>
      <c r="M21" s="40">
        <f t="shared" si="14"/>
        <v>5186472.32543693</v>
      </c>
      <c r="N21" s="40">
        <f t="shared" si="14"/>
        <v>3671327.75613656</v>
      </c>
      <c r="O21" s="40">
        <f>SUM(C21:N21)</f>
        <v>53843762.9192383</v>
      </c>
      <c r="P21" s="41">
        <f>O21/$O$16</f>
        <v>0.471114752385339</v>
      </c>
      <c r="Q21" s="6"/>
      <c r="R21" s="20"/>
      <c r="S21" s="6"/>
      <c r="T21" s="6"/>
    </row>
    <row r="22" ht="16.8" spans="1:20">
      <c r="A22" s="32"/>
      <c r="B22" s="12" t="s">
        <v>36</v>
      </c>
      <c r="C22" s="12">
        <f t="shared" ref="C22:N22" si="15">C16-C21</f>
        <v>3711283.11920156</v>
      </c>
      <c r="D22" s="12">
        <f t="shared" si="15"/>
        <v>3125373.64126394</v>
      </c>
      <c r="E22" s="12">
        <f t="shared" si="15"/>
        <v>2912408.56179155</v>
      </c>
      <c r="F22" s="12">
        <f t="shared" si="15"/>
        <v>2477941.38724809</v>
      </c>
      <c r="G22" s="12">
        <f t="shared" si="15"/>
        <v>7357082.31385178</v>
      </c>
      <c r="H22" s="12">
        <f t="shared" si="15"/>
        <v>5791198.12847536</v>
      </c>
      <c r="I22" s="12">
        <f t="shared" si="15"/>
        <v>3924082.35411663</v>
      </c>
      <c r="J22" s="12">
        <f t="shared" si="15"/>
        <v>6272434.12643646</v>
      </c>
      <c r="K22" s="12">
        <f t="shared" si="15"/>
        <v>4191668.08371129</v>
      </c>
      <c r="L22" s="12">
        <f t="shared" si="15"/>
        <v>8910074.88325157</v>
      </c>
      <c r="M22" s="12">
        <f t="shared" si="15"/>
        <v>6846348.00029187</v>
      </c>
      <c r="N22" s="12">
        <f t="shared" si="15"/>
        <v>4926465.3155639</v>
      </c>
      <c r="O22" s="12">
        <f>SUM(C22:N22)</f>
        <v>60446359.915204</v>
      </c>
      <c r="P22" s="43">
        <f>O22/$O$16</f>
        <v>0.528885247614661</v>
      </c>
      <c r="Q22" s="6"/>
      <c r="R22" s="20"/>
      <c r="S22" s="6"/>
      <c r="T22" s="6"/>
    </row>
    <row r="23" ht="16.8" spans="1:20">
      <c r="A23" s="6"/>
      <c r="B23" s="14" t="s">
        <v>37</v>
      </c>
      <c r="C23" s="44">
        <f t="shared" ref="C23:O23" si="16">C19/C16</f>
        <v>0.510518276050191</v>
      </c>
      <c r="D23" s="44">
        <f t="shared" si="16"/>
        <v>0.512597904026475</v>
      </c>
      <c r="E23" s="44">
        <f t="shared" si="16"/>
        <v>0.485769018743109</v>
      </c>
      <c r="F23" s="44">
        <f t="shared" si="16"/>
        <v>0.484378151260504</v>
      </c>
      <c r="G23" s="44">
        <f t="shared" si="16"/>
        <v>0.54067481402763</v>
      </c>
      <c r="H23" s="44">
        <f t="shared" si="16"/>
        <v>0.533398032438181</v>
      </c>
      <c r="I23" s="44">
        <f t="shared" si="16"/>
        <v>0.56897486937049</v>
      </c>
      <c r="J23" s="44">
        <f t="shared" si="16"/>
        <v>0.570154652032926</v>
      </c>
      <c r="K23" s="44">
        <f t="shared" si="16"/>
        <v>0.577585863613738</v>
      </c>
      <c r="L23" s="44">
        <f t="shared" si="16"/>
        <v>0.584400401404917</v>
      </c>
      <c r="M23" s="44">
        <f t="shared" si="16"/>
        <v>0.59397284385215</v>
      </c>
      <c r="N23" s="44">
        <f t="shared" si="16"/>
        <v>0.597991845056065</v>
      </c>
      <c r="O23" s="44">
        <f t="shared" si="16"/>
        <v>0.553885247614661</v>
      </c>
      <c r="P23" s="42"/>
      <c r="Q23" s="6"/>
      <c r="R23" s="20"/>
      <c r="S23" s="6"/>
      <c r="T23" s="6"/>
    </row>
    <row r="24" ht="16.8" spans="1:20">
      <c r="A24" s="6"/>
      <c r="B24" s="14" t="s">
        <v>38</v>
      </c>
      <c r="C24" s="44">
        <f t="shared" ref="C24:O24" si="17">IFERROR(1-C21/C16,0)</f>
        <v>0.485518276050191</v>
      </c>
      <c r="D24" s="44">
        <f t="shared" si="17"/>
        <v>0.487597904026475</v>
      </c>
      <c r="E24" s="44">
        <f t="shared" si="17"/>
        <v>0.460769018743109</v>
      </c>
      <c r="F24" s="44">
        <f t="shared" si="17"/>
        <v>0.459378151260504</v>
      </c>
      <c r="G24" s="44">
        <f t="shared" si="17"/>
        <v>0.51567481402763</v>
      </c>
      <c r="H24" s="44">
        <f t="shared" si="17"/>
        <v>0.508398032438181</v>
      </c>
      <c r="I24" s="44">
        <f t="shared" si="17"/>
        <v>0.54397486937049</v>
      </c>
      <c r="J24" s="44">
        <f t="shared" si="17"/>
        <v>0.545154652032926</v>
      </c>
      <c r="K24" s="44">
        <f t="shared" si="17"/>
        <v>0.552585863613738</v>
      </c>
      <c r="L24" s="44">
        <f t="shared" si="17"/>
        <v>0.559400401404917</v>
      </c>
      <c r="M24" s="44">
        <f t="shared" si="17"/>
        <v>0.56897284385215</v>
      </c>
      <c r="N24" s="44">
        <f t="shared" si="17"/>
        <v>0.572991845056065</v>
      </c>
      <c r="O24" s="44">
        <f t="shared" si="17"/>
        <v>0.528885247614661</v>
      </c>
      <c r="P24" s="42"/>
      <c r="Q24" s="6"/>
      <c r="R24" s="20"/>
      <c r="S24" s="6"/>
      <c r="T24" s="6"/>
    </row>
    <row r="25" ht="19" customHeight="1" spans="1:20">
      <c r="A25" s="6"/>
      <c r="B25" s="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42"/>
      <c r="Q25" s="6"/>
      <c r="R25" s="20"/>
      <c r="S25" s="6"/>
      <c r="T25" s="6"/>
    </row>
    <row r="26" ht="19" customHeight="1" spans="1:20">
      <c r="A26" s="6"/>
      <c r="B26" s="17" t="s">
        <v>39</v>
      </c>
      <c r="C26" s="37">
        <f t="shared" ref="C26:N26" si="18">SUM(C27:C31)</f>
        <v>338958.561440552</v>
      </c>
      <c r="D26" s="37">
        <f t="shared" si="18"/>
        <v>864065.875012633</v>
      </c>
      <c r="E26" s="37">
        <f t="shared" si="18"/>
        <v>1361984.21148629</v>
      </c>
      <c r="F26" s="37">
        <f t="shared" si="18"/>
        <v>808786.540720986</v>
      </c>
      <c r="G26" s="37">
        <f t="shared" si="18"/>
        <v>2896908.94358381</v>
      </c>
      <c r="H26" s="37">
        <f t="shared" si="18"/>
        <v>1740942.62027746</v>
      </c>
      <c r="I26" s="37">
        <f t="shared" si="18"/>
        <v>457930.065242537</v>
      </c>
      <c r="J26" s="37">
        <f t="shared" si="18"/>
        <v>640207.417514976</v>
      </c>
      <c r="K26" s="37">
        <f t="shared" si="18"/>
        <v>469962.488360264</v>
      </c>
      <c r="L26" s="37">
        <f t="shared" si="18"/>
        <v>1646945.00195462</v>
      </c>
      <c r="M26" s="37">
        <f t="shared" si="18"/>
        <v>680851.700702607</v>
      </c>
      <c r="N26" s="37">
        <f t="shared" si="18"/>
        <v>514373.212356355</v>
      </c>
      <c r="O26" s="37">
        <f>SUM(C26:N26)</f>
        <v>12421916.6386531</v>
      </c>
      <c r="P26" s="38">
        <f t="shared" ref="P26:P31" si="19">O26/$O$16</f>
        <v>0.108687577986482</v>
      </c>
      <c r="Q26" s="6"/>
      <c r="R26" s="20"/>
      <c r="S26" s="6"/>
      <c r="T26" s="6"/>
    </row>
    <row r="27" ht="19" customHeight="1" spans="1:20">
      <c r="A27" s="36"/>
      <c r="B27" s="4" t="s">
        <v>40</v>
      </c>
      <c r="C27" s="45">
        <v>0</v>
      </c>
      <c r="D27" s="45">
        <v>0</v>
      </c>
      <c r="E27" s="45">
        <v>19170.9520978901</v>
      </c>
      <c r="F27" s="45">
        <v>16014.6836013131</v>
      </c>
      <c r="G27" s="45">
        <v>34230.6640932159</v>
      </c>
      <c r="H27" s="45">
        <v>30026.535338565</v>
      </c>
      <c r="I27" s="45">
        <v>19337.3761099223</v>
      </c>
      <c r="J27" s="45">
        <v>26681.9365707217</v>
      </c>
      <c r="K27" s="45">
        <v>21343.6469377874</v>
      </c>
      <c r="L27" s="45">
        <v>35937.9926590899</v>
      </c>
      <c r="M27" s="45">
        <v>27119.8228594443</v>
      </c>
      <c r="N27" s="45">
        <v>0</v>
      </c>
      <c r="O27" s="36">
        <f>SUM(C27:N27)</f>
        <v>229863.61026795</v>
      </c>
      <c r="P27" s="42">
        <f t="shared" si="19"/>
        <v>0.0020112290070851</v>
      </c>
      <c r="Q27" s="4"/>
      <c r="R27" s="20"/>
      <c r="S27" s="6"/>
      <c r="T27" s="6"/>
    </row>
    <row r="28" ht="19" customHeight="1" spans="1:20">
      <c r="A28" s="36"/>
      <c r="B28" s="4" t="s">
        <v>41</v>
      </c>
      <c r="C28" s="45">
        <v>146616</v>
      </c>
      <c r="D28" s="45">
        <v>146616</v>
      </c>
      <c r="E28" s="45">
        <v>146616</v>
      </c>
      <c r="F28" s="45">
        <v>165833.620321576</v>
      </c>
      <c r="G28" s="45">
        <v>351999.984559296</v>
      </c>
      <c r="H28" s="45">
        <v>242700.913083408</v>
      </c>
      <c r="I28" s="45">
        <v>146616</v>
      </c>
      <c r="J28" s="45">
        <v>178634.323884866</v>
      </c>
      <c r="K28" s="45">
        <v>214915.67020092</v>
      </c>
      <c r="L28" s="45">
        <v>189741.591190908</v>
      </c>
      <c r="M28" s="45">
        <v>179159.787431333</v>
      </c>
      <c r="N28" s="45">
        <v>146616</v>
      </c>
      <c r="O28" s="36">
        <f>SUM(C28:N28)</f>
        <v>2256065.89067231</v>
      </c>
      <c r="P28" s="42">
        <f t="shared" si="19"/>
        <v>0.0197398150839367</v>
      </c>
      <c r="Q28" s="4" t="s">
        <v>116</v>
      </c>
      <c r="R28" s="20"/>
      <c r="S28" s="6"/>
      <c r="T28" s="6"/>
    </row>
    <row r="29" ht="19" customHeight="1" spans="1:20">
      <c r="A29" s="36"/>
      <c r="B29" s="4" t="s">
        <v>42</v>
      </c>
      <c r="C29" s="45">
        <v>9440.65555879974</v>
      </c>
      <c r="D29" s="45">
        <v>7643.0740348178</v>
      </c>
      <c r="E29" s="45">
        <v>7668.38083915602</v>
      </c>
      <c r="F29" s="45">
        <v>32029.3672026261</v>
      </c>
      <c r="G29" s="45">
        <v>205383.984559295</v>
      </c>
      <c r="H29" s="45">
        <v>132116.755489686</v>
      </c>
      <c r="I29" s="45">
        <v>0</v>
      </c>
      <c r="J29" s="45">
        <v>32018.3238848661</v>
      </c>
      <c r="K29" s="45">
        <v>68299.6702009198</v>
      </c>
      <c r="L29" s="45">
        <v>71875.9853181798</v>
      </c>
      <c r="M29" s="45">
        <v>54239.6457188886</v>
      </c>
      <c r="N29" s="45">
        <v>9491.06887209069</v>
      </c>
      <c r="O29" s="36">
        <f>SUM(C29:N29)</f>
        <v>630206.911679326</v>
      </c>
      <c r="P29" s="42">
        <f t="shared" si="19"/>
        <v>0.00551409777196781</v>
      </c>
      <c r="Q29" s="6"/>
      <c r="R29" s="20"/>
      <c r="S29" s="6"/>
      <c r="T29" s="6"/>
    </row>
    <row r="30" ht="19" customHeight="1" spans="1:20">
      <c r="A30" s="36"/>
      <c r="B30" s="4" t="s">
        <v>43</v>
      </c>
      <c r="C30" s="45">
        <v>9440.65555879974</v>
      </c>
      <c r="D30" s="45">
        <v>7643.0740348178</v>
      </c>
      <c r="E30" s="45">
        <v>61347.0467132482</v>
      </c>
      <c r="F30" s="45">
        <v>6405.87344052522</v>
      </c>
      <c r="G30" s="45">
        <v>41076.7969118591</v>
      </c>
      <c r="H30" s="45">
        <v>12010.614135426</v>
      </c>
      <c r="I30" s="45">
        <v>7734.95044396893</v>
      </c>
      <c r="J30" s="45">
        <v>10672.7746282887</v>
      </c>
      <c r="K30" s="45">
        <v>8537.45877511497</v>
      </c>
      <c r="L30" s="45">
        <v>28750.3941272719</v>
      </c>
      <c r="M30" s="45">
        <v>21695.8582875554</v>
      </c>
      <c r="N30" s="45">
        <v>9491.06887209069</v>
      </c>
      <c r="O30" s="36">
        <f>SUM(C30:N30)</f>
        <v>224806.565928967</v>
      </c>
      <c r="P30" s="42">
        <f t="shared" si="19"/>
        <v>0.00196698157595487</v>
      </c>
      <c r="Q30" s="6"/>
      <c r="R30" s="20"/>
      <c r="S30" s="6"/>
      <c r="T30" s="6"/>
    </row>
    <row r="31" ht="19" customHeight="1" collapsed="1" spans="1:20">
      <c r="A31" s="36"/>
      <c r="B31" s="4" t="s">
        <v>44</v>
      </c>
      <c r="C31" s="45">
        <v>173461.250322953</v>
      </c>
      <c r="D31" s="45">
        <v>702163.726942997</v>
      </c>
      <c r="E31" s="45">
        <v>1127181.831836</v>
      </c>
      <c r="F31" s="45">
        <v>588502.996154946</v>
      </c>
      <c r="G31" s="45">
        <v>2264217.51346014</v>
      </c>
      <c r="H31" s="45">
        <v>1324087.80223038</v>
      </c>
      <c r="I31" s="45">
        <v>284241.738688645</v>
      </c>
      <c r="J31" s="45">
        <v>392200.058546234</v>
      </c>
      <c r="K31" s="45">
        <v>156866.042245522</v>
      </c>
      <c r="L31" s="45">
        <v>1320639.03865917</v>
      </c>
      <c r="M31" s="45">
        <v>398636.586405386</v>
      </c>
      <c r="N31" s="45">
        <v>348775.074612174</v>
      </c>
      <c r="O31" s="36">
        <v>9080973.66010454</v>
      </c>
      <c r="P31" s="42">
        <f t="shared" si="19"/>
        <v>0.0794554545475378</v>
      </c>
      <c r="Q31" s="6"/>
      <c r="R31" s="20"/>
      <c r="S31" s="6"/>
      <c r="T31" s="6"/>
    </row>
    <row r="32" ht="19" hidden="1" customHeight="1" outlineLevel="1" spans="1:20">
      <c r="A32" s="36"/>
      <c r="B32" s="4" t="s">
        <v>45</v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42"/>
      <c r="Q32" s="6"/>
      <c r="R32" s="20"/>
      <c r="S32" s="6"/>
      <c r="T32" s="6"/>
    </row>
    <row r="33" ht="19" hidden="1" customHeight="1" outlineLevel="1" spans="1:20">
      <c r="A33" s="36"/>
      <c r="B33" s="4" t="s">
        <v>46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42"/>
      <c r="Q33" s="6"/>
      <c r="R33" s="20"/>
      <c r="S33" s="6"/>
      <c r="T33" s="6"/>
    </row>
    <row r="34" ht="19" hidden="1" customHeight="1" outlineLevel="1" spans="1:20">
      <c r="A34" s="36"/>
      <c r="B34" s="4" t="s">
        <v>47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42"/>
      <c r="Q34" s="6"/>
      <c r="R34" s="20"/>
      <c r="S34" s="6"/>
      <c r="T34" s="6"/>
    </row>
    <row r="35" ht="19" hidden="1" customHeight="1" outlineLevel="1" spans="1:20">
      <c r="A35" s="36"/>
      <c r="B35" s="4" t="s">
        <v>48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42"/>
      <c r="Q35" s="6"/>
      <c r="R35" s="20"/>
      <c r="S35" s="6"/>
      <c r="T35" s="6"/>
    </row>
    <row r="36" ht="16.8" hidden="1" outlineLevel="1" spans="1:20">
      <c r="A36" s="36"/>
      <c r="B36" s="4" t="s">
        <v>49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36"/>
      <c r="P36" s="42"/>
      <c r="Q36" s="6"/>
      <c r="R36" s="20"/>
      <c r="S36" s="6"/>
      <c r="T36" s="6"/>
    </row>
    <row r="37" ht="16.8" spans="1:20">
      <c r="A37" s="6"/>
      <c r="B37" s="17" t="s">
        <v>50</v>
      </c>
      <c r="C37" s="37">
        <f t="shared" ref="C37:N37" si="20">SUM(C38:C40)</f>
        <v>1528792.34557522</v>
      </c>
      <c r="D37" s="37">
        <f t="shared" si="20"/>
        <v>1508173.0819469</v>
      </c>
      <c r="E37" s="37">
        <f t="shared" si="20"/>
        <v>1487236.71769912</v>
      </c>
      <c r="F37" s="37">
        <f t="shared" si="20"/>
        <v>1205744.72074336</v>
      </c>
      <c r="G37" s="37">
        <f t="shared" si="20"/>
        <v>4056685.45042832</v>
      </c>
      <c r="H37" s="37">
        <f t="shared" si="20"/>
        <v>3149296.12495575</v>
      </c>
      <c r="I37" s="37">
        <f t="shared" si="20"/>
        <v>1612478.57204425</v>
      </c>
      <c r="J37" s="37">
        <f t="shared" si="20"/>
        <v>3113331.00911504</v>
      </c>
      <c r="K37" s="37">
        <f t="shared" si="20"/>
        <v>1874077.23132743</v>
      </c>
      <c r="L37" s="37">
        <f t="shared" si="20"/>
        <v>4497290.03469027</v>
      </c>
      <c r="M37" s="37">
        <f t="shared" si="20"/>
        <v>3255939.61681416</v>
      </c>
      <c r="N37" s="37">
        <f t="shared" si="20"/>
        <v>2023010.13274336</v>
      </c>
      <c r="O37" s="37">
        <f>SUM(C37:N37)</f>
        <v>29312055.0380832</v>
      </c>
      <c r="P37" s="38">
        <f>O37/$O$16</f>
        <v>0.256470588281228</v>
      </c>
      <c r="Q37" s="6"/>
      <c r="R37" s="20"/>
      <c r="S37" s="6"/>
      <c r="T37" s="6"/>
    </row>
    <row r="38" ht="16.8" spans="1:20">
      <c r="A38" s="36"/>
      <c r="B38" s="4" t="s">
        <v>51</v>
      </c>
      <c r="C38" s="47">
        <v>1070154.64190265</v>
      </c>
      <c r="D38" s="47">
        <v>1055721.15736283</v>
      </c>
      <c r="E38" s="47">
        <v>1041065.70238938</v>
      </c>
      <c r="F38" s="47">
        <v>844021.304520354</v>
      </c>
      <c r="G38" s="47">
        <v>2512990.986991</v>
      </c>
      <c r="H38" s="47">
        <v>2204507.28746903</v>
      </c>
      <c r="I38" s="47">
        <v>1128735.00043097</v>
      </c>
      <c r="J38" s="47">
        <v>2179331.70638053</v>
      </c>
      <c r="K38" s="47">
        <v>1311854.0619292</v>
      </c>
      <c r="L38" s="47">
        <v>3148103.02428319</v>
      </c>
      <c r="M38" s="47">
        <v>2279157.73176991</v>
      </c>
      <c r="N38" s="47">
        <v>1416107.09292035</v>
      </c>
      <c r="O38" s="36">
        <f>SUM(C38:N38)</f>
        <v>20191749.6983494</v>
      </c>
      <c r="P38" s="42">
        <f>O38/$O$16</f>
        <v>0.176670994812025</v>
      </c>
      <c r="Q38" s="6" t="s">
        <v>91</v>
      </c>
      <c r="R38" s="20"/>
      <c r="S38" s="6"/>
      <c r="T38" s="6"/>
    </row>
    <row r="39" ht="16.8" spans="1:20">
      <c r="A39" s="36"/>
      <c r="B39" s="4" t="s">
        <v>53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36">
        <f>SUM(C39:N39)</f>
        <v>0</v>
      </c>
      <c r="P39" s="42">
        <f>O39/$O$16</f>
        <v>0</v>
      </c>
      <c r="Q39" s="6" t="s">
        <v>91</v>
      </c>
      <c r="R39" s="20"/>
      <c r="S39" s="6"/>
      <c r="T39" s="6"/>
    </row>
    <row r="40" ht="16.8" collapsed="1" spans="1:20">
      <c r="A40" s="36"/>
      <c r="B40" s="4" t="s">
        <v>55</v>
      </c>
      <c r="C40" s="47">
        <v>458637.703672567</v>
      </c>
      <c r="D40" s="47">
        <v>452451.924584071</v>
      </c>
      <c r="E40" s="47">
        <v>446171.015309735</v>
      </c>
      <c r="F40" s="47">
        <v>361723.416223009</v>
      </c>
      <c r="G40" s="47">
        <v>1543694.46343733</v>
      </c>
      <c r="H40" s="47">
        <v>944788.837486726</v>
      </c>
      <c r="I40" s="47">
        <v>483743.571613275</v>
      </c>
      <c r="J40" s="47">
        <v>933999.302734513</v>
      </c>
      <c r="K40" s="47">
        <v>562223.16939823</v>
      </c>
      <c r="L40" s="47">
        <v>1349187.01040708</v>
      </c>
      <c r="M40" s="47">
        <v>976781.885044248</v>
      </c>
      <c r="N40" s="47">
        <v>606903.039823009</v>
      </c>
      <c r="O40" s="36">
        <f>SUM(C40:N40)</f>
        <v>9120305.33973379</v>
      </c>
      <c r="P40" s="42">
        <f>O40/$O$16</f>
        <v>0.0797995934692032</v>
      </c>
      <c r="Q40" s="6" t="s">
        <v>91</v>
      </c>
      <c r="R40" s="20"/>
      <c r="S40" s="6"/>
      <c r="T40" s="6"/>
    </row>
    <row r="41" ht="16.8" hidden="1" outlineLevel="1" spans="1:20">
      <c r="A41" s="36"/>
      <c r="B41" s="4" t="s">
        <v>57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2">
        <f>O38/$O$16</f>
        <v>0.176670994812025</v>
      </c>
      <c r="P41" s="6"/>
      <c r="Q41" s="6" t="s">
        <v>91</v>
      </c>
      <c r="R41" s="20"/>
      <c r="S41" s="6"/>
      <c r="T41" s="6"/>
    </row>
    <row r="42" ht="16.8" hidden="1" outlineLevel="1" spans="1:20">
      <c r="A42" s="36"/>
      <c r="B42" s="4" t="s">
        <v>58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2">
        <f>O39/$O$16</f>
        <v>0</v>
      </c>
      <c r="P42" s="6"/>
      <c r="Q42" s="6" t="s">
        <v>91</v>
      </c>
      <c r="R42" s="20"/>
      <c r="S42" s="6"/>
      <c r="T42" s="6"/>
    </row>
    <row r="43" ht="16.8" hidden="1" outlineLevel="1" spans="1:20">
      <c r="A43" s="36"/>
      <c r="B43" s="4" t="s">
        <v>59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2">
        <f>O40/$O$16</f>
        <v>0.0797995934692032</v>
      </c>
      <c r="P43" s="6"/>
      <c r="Q43" s="6" t="s">
        <v>91</v>
      </c>
      <c r="R43" s="20"/>
      <c r="S43" s="6"/>
      <c r="T43" s="6"/>
    </row>
    <row r="44" ht="16.8" spans="1:20">
      <c r="A44" s="6"/>
      <c r="B44" s="17" t="s">
        <v>60</v>
      </c>
      <c r="C44" s="37">
        <f t="shared" ref="C44:N44" si="21">SUM(C45:C46)</f>
        <v>152879.234511778</v>
      </c>
      <c r="D44" s="37">
        <f t="shared" si="21"/>
        <v>128194.711890896</v>
      </c>
      <c r="E44" s="37">
        <f t="shared" si="21"/>
        <v>126415.120953056</v>
      </c>
      <c r="F44" s="37">
        <f t="shared" si="21"/>
        <v>107882.422376806</v>
      </c>
      <c r="G44" s="37">
        <f t="shared" si="21"/>
        <v>285338.050791737</v>
      </c>
      <c r="H44" s="37">
        <f t="shared" si="21"/>
        <v>227821.421758926</v>
      </c>
      <c r="I44" s="37">
        <f t="shared" si="21"/>
        <v>144274.398508804</v>
      </c>
      <c r="J44" s="37">
        <f t="shared" si="21"/>
        <v>230115.770013006</v>
      </c>
      <c r="K44" s="37">
        <f t="shared" si="21"/>
        <v>151711.013969814</v>
      </c>
      <c r="L44" s="37">
        <f t="shared" si="21"/>
        <v>318558.043965438</v>
      </c>
      <c r="M44" s="37">
        <f t="shared" si="21"/>
        <v>240656.406514576</v>
      </c>
      <c r="N44" s="37">
        <f t="shared" si="21"/>
        <v>171955.861434009</v>
      </c>
      <c r="O44" s="37">
        <f>SUM(C44:N44)</f>
        <v>2285802.45668885</v>
      </c>
      <c r="P44" s="38">
        <f>O44/$O$16</f>
        <v>0.02</v>
      </c>
      <c r="Q44" s="6"/>
      <c r="R44" s="20"/>
      <c r="S44" s="6"/>
      <c r="T44" s="6"/>
    </row>
    <row r="45" ht="16.8" spans="1:20">
      <c r="A45" s="36"/>
      <c r="B45" s="4" t="s">
        <v>61</v>
      </c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36">
        <f>SUM(C45:N45)</f>
        <v>0</v>
      </c>
      <c r="P45" s="42">
        <v>0.01</v>
      </c>
      <c r="Q45" s="6" t="s">
        <v>92</v>
      </c>
      <c r="R45" s="20"/>
      <c r="S45" s="6"/>
      <c r="T45" s="6"/>
    </row>
    <row r="46" ht="16.8" spans="1:20">
      <c r="A46" s="36"/>
      <c r="B46" s="4" t="s">
        <v>63</v>
      </c>
      <c r="C46" s="45">
        <f t="shared" ref="C46:N46" si="22">C16*$P$46</f>
        <v>152879.234511778</v>
      </c>
      <c r="D46" s="45">
        <f t="shared" si="22"/>
        <v>128194.711890896</v>
      </c>
      <c r="E46" s="45">
        <f t="shared" si="22"/>
        <v>126415.120953056</v>
      </c>
      <c r="F46" s="45">
        <f t="shared" si="22"/>
        <v>107882.422376806</v>
      </c>
      <c r="G46" s="45">
        <f t="shared" si="22"/>
        <v>285338.050791737</v>
      </c>
      <c r="H46" s="45">
        <f t="shared" si="22"/>
        <v>227821.421758926</v>
      </c>
      <c r="I46" s="45">
        <f t="shared" si="22"/>
        <v>144274.398508804</v>
      </c>
      <c r="J46" s="45">
        <f t="shared" si="22"/>
        <v>230115.770013006</v>
      </c>
      <c r="K46" s="45">
        <f t="shared" si="22"/>
        <v>151711.013969814</v>
      </c>
      <c r="L46" s="45">
        <f t="shared" si="22"/>
        <v>318558.043965438</v>
      </c>
      <c r="M46" s="45">
        <f t="shared" si="22"/>
        <v>240656.406514576</v>
      </c>
      <c r="N46" s="45">
        <f t="shared" si="22"/>
        <v>171955.861434009</v>
      </c>
      <c r="O46" s="36">
        <f>SUM(C46:N46)</f>
        <v>2285802.45668885</v>
      </c>
      <c r="P46" s="42">
        <v>0.02</v>
      </c>
      <c r="Q46" s="4" t="s">
        <v>83</v>
      </c>
      <c r="R46" s="20"/>
      <c r="S46" s="6"/>
      <c r="T46" s="6"/>
    </row>
    <row r="47" ht="16.8" spans="1:20">
      <c r="A47" s="6"/>
      <c r="B47" s="17" t="s">
        <v>65</v>
      </c>
      <c r="C47" s="37">
        <f t="shared" ref="C47:N47" si="23">SUM(C48:C51)</f>
        <v>0</v>
      </c>
      <c r="D47" s="37">
        <f t="shared" si="23"/>
        <v>0</v>
      </c>
      <c r="E47" s="37">
        <f t="shared" si="23"/>
        <v>0</v>
      </c>
      <c r="F47" s="37">
        <f t="shared" si="23"/>
        <v>0</v>
      </c>
      <c r="G47" s="37">
        <f t="shared" si="23"/>
        <v>0</v>
      </c>
      <c r="H47" s="37">
        <f t="shared" si="23"/>
        <v>0</v>
      </c>
      <c r="I47" s="37">
        <f t="shared" si="23"/>
        <v>0</v>
      </c>
      <c r="J47" s="37">
        <f t="shared" si="23"/>
        <v>0</v>
      </c>
      <c r="K47" s="37">
        <f t="shared" si="23"/>
        <v>0</v>
      </c>
      <c r="L47" s="37">
        <f t="shared" si="23"/>
        <v>0</v>
      </c>
      <c r="M47" s="37">
        <f t="shared" si="23"/>
        <v>0</v>
      </c>
      <c r="N47" s="37">
        <f t="shared" si="23"/>
        <v>0</v>
      </c>
      <c r="O47" s="37">
        <f>SUM(C47:N47)</f>
        <v>0</v>
      </c>
      <c r="P47" s="38">
        <f t="shared" ref="P47:P52" si="24">O47/$O$16</f>
        <v>0</v>
      </c>
      <c r="Q47" s="6"/>
      <c r="R47" s="20"/>
      <c r="S47" s="6"/>
      <c r="T47" s="6"/>
    </row>
    <row r="48" ht="16.8" spans="1:20">
      <c r="A48" s="36"/>
      <c r="B48" s="4" t="s">
        <v>66</v>
      </c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36"/>
      <c r="P48" s="42">
        <f t="shared" si="24"/>
        <v>0</v>
      </c>
      <c r="Q48" s="4" t="s">
        <v>95</v>
      </c>
      <c r="R48" s="20"/>
      <c r="S48" s="6"/>
      <c r="T48" s="6"/>
    </row>
    <row r="49" ht="16.8" spans="1:20">
      <c r="A49" s="36"/>
      <c r="B49" s="4" t="s">
        <v>67</v>
      </c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36"/>
      <c r="P49" s="42">
        <f t="shared" si="24"/>
        <v>0</v>
      </c>
      <c r="Q49" s="4" t="s">
        <v>95</v>
      </c>
      <c r="R49" s="20"/>
      <c r="S49" s="6"/>
      <c r="T49" s="6"/>
    </row>
    <row r="50" ht="16.8" spans="1:20">
      <c r="A50" s="36"/>
      <c r="B50" s="4" t="s">
        <v>68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36">
        <f t="shared" ref="O50:O60" si="25">SUM(C50:N50)</f>
        <v>0</v>
      </c>
      <c r="P50" s="42">
        <f t="shared" si="24"/>
        <v>0</v>
      </c>
      <c r="Q50" s="4" t="s">
        <v>95</v>
      </c>
      <c r="R50" s="20"/>
      <c r="S50" s="6"/>
      <c r="T50" s="6"/>
    </row>
    <row r="51" ht="16.8" spans="1:20">
      <c r="A51" s="6"/>
      <c r="B51" s="4" t="s">
        <v>69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36">
        <f t="shared" si="25"/>
        <v>0</v>
      </c>
      <c r="P51" s="42">
        <f t="shared" si="24"/>
        <v>0</v>
      </c>
      <c r="Q51" s="4" t="s">
        <v>95</v>
      </c>
      <c r="R51" s="20"/>
      <c r="S51" s="6"/>
      <c r="T51" s="6"/>
    </row>
    <row r="52" ht="16.8" spans="1:20">
      <c r="A52" s="6"/>
      <c r="B52" s="21" t="s">
        <v>70</v>
      </c>
      <c r="C52" s="40">
        <f t="shared" ref="C52:N52" si="26">SUM(C26,C37,C44,C47)</f>
        <v>2020630.14152755</v>
      </c>
      <c r="D52" s="40">
        <f t="shared" si="26"/>
        <v>2500433.66885043</v>
      </c>
      <c r="E52" s="40">
        <f t="shared" si="26"/>
        <v>2975636.05013847</v>
      </c>
      <c r="F52" s="40">
        <f t="shared" si="26"/>
        <v>2122413.68384115</v>
      </c>
      <c r="G52" s="40">
        <f t="shared" si="26"/>
        <v>7238932.44480386</v>
      </c>
      <c r="H52" s="40">
        <f t="shared" si="26"/>
        <v>5118060.16699214</v>
      </c>
      <c r="I52" s="40">
        <f t="shared" si="26"/>
        <v>2214683.03579559</v>
      </c>
      <c r="J52" s="40">
        <f t="shared" si="26"/>
        <v>3983654.19664303</v>
      </c>
      <c r="K52" s="40">
        <f t="shared" si="26"/>
        <v>2495750.73365751</v>
      </c>
      <c r="L52" s="40">
        <f t="shared" si="26"/>
        <v>6462793.08061032</v>
      </c>
      <c r="M52" s="40">
        <f t="shared" si="26"/>
        <v>4177447.72403134</v>
      </c>
      <c r="N52" s="40">
        <f t="shared" si="26"/>
        <v>2709339.20653373</v>
      </c>
      <c r="O52" s="40">
        <f t="shared" si="25"/>
        <v>44019774.1334251</v>
      </c>
      <c r="P52" s="41">
        <f t="shared" si="24"/>
        <v>0.38515816626771</v>
      </c>
      <c r="Q52" s="6"/>
      <c r="R52" s="20"/>
      <c r="S52" s="6"/>
      <c r="T52" s="6"/>
    </row>
    <row r="53" ht="16.8" spans="1:20">
      <c r="A53" s="36"/>
      <c r="B53" s="4" t="s">
        <v>71</v>
      </c>
      <c r="C53" s="45">
        <f t="shared" ref="C53:N53" si="27">C16*$P$53</f>
        <v>229318.851767667</v>
      </c>
      <c r="D53" s="45">
        <f t="shared" si="27"/>
        <v>192292.067836344</v>
      </c>
      <c r="E53" s="45">
        <f t="shared" si="27"/>
        <v>189622.681429584</v>
      </c>
      <c r="F53" s="45">
        <f t="shared" si="27"/>
        <v>161823.633565209</v>
      </c>
      <c r="G53" s="45">
        <f t="shared" si="27"/>
        <v>428007.076187606</v>
      </c>
      <c r="H53" s="45">
        <f t="shared" si="27"/>
        <v>341732.132638389</v>
      </c>
      <c r="I53" s="45">
        <f t="shared" si="27"/>
        <v>216411.597763206</v>
      </c>
      <c r="J53" s="45">
        <f t="shared" si="27"/>
        <v>345173.655019509</v>
      </c>
      <c r="K53" s="45">
        <f t="shared" si="27"/>
        <v>227566.520954721</v>
      </c>
      <c r="L53" s="45">
        <f t="shared" si="27"/>
        <v>477837.065948157</v>
      </c>
      <c r="M53" s="45">
        <f t="shared" si="27"/>
        <v>360984.609771864</v>
      </c>
      <c r="N53" s="45">
        <f t="shared" si="27"/>
        <v>257933.792151014</v>
      </c>
      <c r="O53" s="36">
        <f t="shared" si="25"/>
        <v>3428703.68503327</v>
      </c>
      <c r="P53" s="42">
        <v>0.03</v>
      </c>
      <c r="Q53" s="20">
        <f>O53/O16</f>
        <v>0.03</v>
      </c>
      <c r="R53" s="20"/>
      <c r="S53" s="6"/>
      <c r="T53" s="6"/>
    </row>
    <row r="54" ht="16.8" spans="1:20">
      <c r="A54" s="36"/>
      <c r="B54" s="4" t="s">
        <v>73</v>
      </c>
      <c r="C54" s="45">
        <f t="shared" ref="C54:N54" si="28">C16*$P$54</f>
        <v>107015.464158245</v>
      </c>
      <c r="D54" s="45">
        <f t="shared" si="28"/>
        <v>89736.2983236272</v>
      </c>
      <c r="E54" s="45">
        <f t="shared" si="28"/>
        <v>88490.5846671391</v>
      </c>
      <c r="F54" s="45">
        <f t="shared" si="28"/>
        <v>75517.695663764</v>
      </c>
      <c r="G54" s="45">
        <f t="shared" si="28"/>
        <v>199736.635554216</v>
      </c>
      <c r="H54" s="45">
        <f t="shared" si="28"/>
        <v>159474.995231248</v>
      </c>
      <c r="I54" s="45">
        <f t="shared" si="28"/>
        <v>100992.078956163</v>
      </c>
      <c r="J54" s="45">
        <f t="shared" si="28"/>
        <v>161081.039009104</v>
      </c>
      <c r="K54" s="45">
        <f t="shared" si="28"/>
        <v>106197.70977887</v>
      </c>
      <c r="L54" s="45">
        <f t="shared" si="28"/>
        <v>222990.630775807</v>
      </c>
      <c r="M54" s="45">
        <f t="shared" si="28"/>
        <v>168459.484560203</v>
      </c>
      <c r="N54" s="45">
        <f t="shared" si="28"/>
        <v>120369.103003806</v>
      </c>
      <c r="O54" s="36">
        <f t="shared" si="25"/>
        <v>1600061.71968219</v>
      </c>
      <c r="P54" s="42">
        <v>0.014</v>
      </c>
      <c r="Q54" s="20">
        <f>O54/O16</f>
        <v>0.014</v>
      </c>
      <c r="R54" s="20"/>
      <c r="S54" s="6"/>
      <c r="T54" s="6"/>
    </row>
    <row r="55" ht="16.8" spans="1:20">
      <c r="A55" s="36"/>
      <c r="B55" s="4" t="s">
        <v>75</v>
      </c>
      <c r="C55" s="45">
        <v>605664.058286109</v>
      </c>
      <c r="D55" s="45">
        <v>396050.559915215</v>
      </c>
      <c r="E55" s="45">
        <v>308916.352580657</v>
      </c>
      <c r="F55" s="45">
        <v>475404.732809349</v>
      </c>
      <c r="G55" s="45">
        <v>408276.246426925</v>
      </c>
      <c r="H55" s="45">
        <v>286025.687199284</v>
      </c>
      <c r="I55" s="45">
        <v>398513.009750445</v>
      </c>
      <c r="J55" s="45">
        <v>308310.700560887</v>
      </c>
      <c r="K55" s="45">
        <v>424832.645842896</v>
      </c>
      <c r="L55" s="45">
        <v>335331.723540407</v>
      </c>
      <c r="M55" s="45">
        <v>293711.419929104</v>
      </c>
      <c r="N55" s="45">
        <v>286567.420430408</v>
      </c>
      <c r="O55" s="36">
        <f t="shared" si="25"/>
        <v>4527604.55727169</v>
      </c>
      <c r="P55" s="42">
        <v>0.03</v>
      </c>
      <c r="Q55" s="6"/>
      <c r="R55" s="20"/>
      <c r="S55" s="6"/>
      <c r="T55" s="6"/>
    </row>
    <row r="56" ht="16.8" spans="1:20">
      <c r="A56" s="36"/>
      <c r="B56" s="4" t="s">
        <v>77</v>
      </c>
      <c r="C56" s="45">
        <f t="shared" ref="C56:N56" si="29">C16*$P$56</f>
        <v>7643.96172558889</v>
      </c>
      <c r="D56" s="45">
        <f t="shared" si="29"/>
        <v>6409.7355945448</v>
      </c>
      <c r="E56" s="45">
        <f t="shared" si="29"/>
        <v>6320.75604765279</v>
      </c>
      <c r="F56" s="45">
        <f t="shared" si="29"/>
        <v>5394.12111884029</v>
      </c>
      <c r="G56" s="45">
        <f t="shared" si="29"/>
        <v>14266.9025395869</v>
      </c>
      <c r="H56" s="45">
        <f t="shared" si="29"/>
        <v>11391.0710879463</v>
      </c>
      <c r="I56" s="45">
        <f t="shared" si="29"/>
        <v>7213.71992544019</v>
      </c>
      <c r="J56" s="45">
        <f t="shared" si="29"/>
        <v>11505.7885006503</v>
      </c>
      <c r="K56" s="45">
        <f t="shared" si="29"/>
        <v>7585.55069849072</v>
      </c>
      <c r="L56" s="45">
        <f t="shared" si="29"/>
        <v>15927.9021982719</v>
      </c>
      <c r="M56" s="45">
        <f t="shared" si="29"/>
        <v>12032.8203257288</v>
      </c>
      <c r="N56" s="45">
        <f t="shared" si="29"/>
        <v>8597.79307170045</v>
      </c>
      <c r="O56" s="36">
        <f t="shared" si="25"/>
        <v>114290.122834442</v>
      </c>
      <c r="P56" s="42">
        <v>0.001</v>
      </c>
      <c r="Q56" s="6"/>
      <c r="R56" s="20"/>
      <c r="S56" s="6"/>
      <c r="T56" s="6"/>
    </row>
    <row r="57" ht="16.8" spans="1:20">
      <c r="A57" s="36"/>
      <c r="B57" s="4" t="s">
        <v>79</v>
      </c>
      <c r="C57" s="45">
        <v>71662.1445946441</v>
      </c>
      <c r="D57" s="45"/>
      <c r="E57" s="45"/>
      <c r="F57" s="45"/>
      <c r="G57" s="45">
        <v>28664.8578378576</v>
      </c>
      <c r="H57" s="45"/>
      <c r="I57" s="45"/>
      <c r="J57" s="45"/>
      <c r="K57" s="45"/>
      <c r="L57" s="45">
        <v>28664.8578378576</v>
      </c>
      <c r="M57" s="45"/>
      <c r="N57" s="45">
        <v>85994.5735135729</v>
      </c>
      <c r="O57" s="36">
        <f t="shared" si="25"/>
        <v>214986.433783932</v>
      </c>
      <c r="P57" s="42">
        <f>O57/$O$16</f>
        <v>0.00188105873414237</v>
      </c>
      <c r="Q57" s="4"/>
      <c r="R57" s="20"/>
      <c r="S57" s="6"/>
      <c r="T57" s="6"/>
    </row>
    <row r="58" ht="16.8" spans="1:20">
      <c r="A58" s="6"/>
      <c r="B58" s="21" t="s">
        <v>80</v>
      </c>
      <c r="C58" s="40">
        <f t="shared" ref="C58:N58" si="30">SUM(C53:C57)</f>
        <v>1021304.48053225</v>
      </c>
      <c r="D58" s="40">
        <f t="shared" si="30"/>
        <v>684488.66166973</v>
      </c>
      <c r="E58" s="40">
        <f t="shared" si="30"/>
        <v>593350.374725033</v>
      </c>
      <c r="F58" s="40">
        <f t="shared" si="30"/>
        <v>718140.183157162</v>
      </c>
      <c r="G58" s="40">
        <f t="shared" si="30"/>
        <v>1078951.71854619</v>
      </c>
      <c r="H58" s="40">
        <f t="shared" si="30"/>
        <v>798623.886156868</v>
      </c>
      <c r="I58" s="40">
        <f t="shared" si="30"/>
        <v>723130.406395254</v>
      </c>
      <c r="J58" s="40">
        <f t="shared" si="30"/>
        <v>826071.183090152</v>
      </c>
      <c r="K58" s="40">
        <f t="shared" si="30"/>
        <v>766182.427274978</v>
      </c>
      <c r="L58" s="40">
        <f t="shared" si="30"/>
        <v>1080752.1803005</v>
      </c>
      <c r="M58" s="40">
        <f t="shared" si="30"/>
        <v>835188.3345869</v>
      </c>
      <c r="N58" s="40">
        <f t="shared" si="30"/>
        <v>759462.682170502</v>
      </c>
      <c r="O58" s="40">
        <f t="shared" si="25"/>
        <v>9885646.51860552</v>
      </c>
      <c r="P58" s="41">
        <f>O58/$O$16</f>
        <v>0.0864960704690607</v>
      </c>
      <c r="Q58" s="6"/>
      <c r="R58" s="20"/>
      <c r="S58" s="6"/>
      <c r="T58" s="6"/>
    </row>
    <row r="59" ht="16.8" spans="1:20">
      <c r="A59" s="32"/>
      <c r="B59" s="12" t="s">
        <v>81</v>
      </c>
      <c r="C59" s="12">
        <f t="shared" ref="C59:N59" si="31">SUM(C52,C58)</f>
        <v>3041934.6220598</v>
      </c>
      <c r="D59" s="12">
        <f t="shared" si="31"/>
        <v>3184922.33052016</v>
      </c>
      <c r="E59" s="12">
        <f t="shared" si="31"/>
        <v>3568986.4248635</v>
      </c>
      <c r="F59" s="12">
        <f t="shared" si="31"/>
        <v>2840553.86699832</v>
      </c>
      <c r="G59" s="12">
        <f t="shared" si="31"/>
        <v>8317884.16335006</v>
      </c>
      <c r="H59" s="12">
        <f t="shared" si="31"/>
        <v>5916684.05314901</v>
      </c>
      <c r="I59" s="12">
        <f t="shared" si="31"/>
        <v>2937813.44219084</v>
      </c>
      <c r="J59" s="12">
        <f t="shared" si="31"/>
        <v>4809725.37973318</v>
      </c>
      <c r="K59" s="12">
        <f t="shared" si="31"/>
        <v>3261933.16093249</v>
      </c>
      <c r="L59" s="12">
        <f t="shared" si="31"/>
        <v>7543545.26091082</v>
      </c>
      <c r="M59" s="12">
        <f t="shared" si="31"/>
        <v>5012636.05861824</v>
      </c>
      <c r="N59" s="12">
        <f t="shared" si="31"/>
        <v>3468801.88870423</v>
      </c>
      <c r="O59" s="12">
        <f t="shared" si="25"/>
        <v>53905420.6520306</v>
      </c>
      <c r="P59" s="43">
        <f>O59/$O$16</f>
        <v>0.471654236736771</v>
      </c>
      <c r="Q59" s="32"/>
      <c r="R59" s="48"/>
      <c r="S59" s="6"/>
      <c r="T59" s="6"/>
    </row>
    <row r="60" ht="16.8" spans="1:20">
      <c r="A60" s="32"/>
      <c r="B60" s="12" t="s">
        <v>82</v>
      </c>
      <c r="C60" s="12">
        <f t="shared" ref="C60:N60" si="32">C22-C59</f>
        <v>669348.497141758</v>
      </c>
      <c r="D60" s="12">
        <f t="shared" si="32"/>
        <v>-59548.6892562229</v>
      </c>
      <c r="E60" s="12">
        <f t="shared" si="32"/>
        <v>-656577.863071948</v>
      </c>
      <c r="F60" s="12">
        <f t="shared" si="32"/>
        <v>-362612.479750223</v>
      </c>
      <c r="G60" s="12">
        <f t="shared" si="32"/>
        <v>-960801.849498277</v>
      </c>
      <c r="H60" s="12">
        <f t="shared" si="32"/>
        <v>-125485.924673652</v>
      </c>
      <c r="I60" s="12">
        <f t="shared" si="32"/>
        <v>986268.911925786</v>
      </c>
      <c r="J60" s="12">
        <f t="shared" si="32"/>
        <v>1462708.74670328</v>
      </c>
      <c r="K60" s="12">
        <f t="shared" si="32"/>
        <v>929734.922778797</v>
      </c>
      <c r="L60" s="12">
        <f t="shared" si="32"/>
        <v>1366529.62234075</v>
      </c>
      <c r="M60" s="12">
        <f t="shared" si="32"/>
        <v>1833711.94167362</v>
      </c>
      <c r="N60" s="12">
        <f t="shared" si="32"/>
        <v>1457663.42685967</v>
      </c>
      <c r="O60" s="12">
        <f t="shared" si="25"/>
        <v>6540939.26317334</v>
      </c>
      <c r="P60" s="43">
        <f>O60/$O$16</f>
        <v>0.0572310108778899</v>
      </c>
      <c r="Q60" s="32"/>
      <c r="R60" s="48"/>
      <c r="S60" s="6"/>
      <c r="T60" s="6"/>
    </row>
    <row r="61" spans="1:20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20"/>
      <c r="S61" s="6"/>
      <c r="T61" s="6"/>
    </row>
    <row r="62" spans="1:20">
      <c r="A62" s="6"/>
      <c r="B62" s="61" t="s">
        <v>117</v>
      </c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35"/>
      <c r="P62" s="6"/>
      <c r="Q62" s="6"/>
      <c r="R62" s="20"/>
      <c r="S62" s="6"/>
      <c r="T62" s="6"/>
    </row>
    <row r="63" ht="16.8" spans="1:20">
      <c r="A63" s="6"/>
      <c r="B63" s="63" t="s">
        <v>118</v>
      </c>
      <c r="C63" s="63">
        <v>366.6</v>
      </c>
      <c r="D63" s="63">
        <v>362.6</v>
      </c>
      <c r="E63" s="63">
        <v>362.8</v>
      </c>
      <c r="F63" s="63">
        <v>357</v>
      </c>
      <c r="G63" s="63">
        <v>376.4</v>
      </c>
      <c r="H63" s="63">
        <v>376.1</v>
      </c>
      <c r="I63" s="63">
        <v>401.9</v>
      </c>
      <c r="J63" s="63">
        <v>400.9</v>
      </c>
      <c r="K63" s="63">
        <v>401.8</v>
      </c>
      <c r="L63" s="63">
        <v>398.6</v>
      </c>
      <c r="M63" s="63">
        <v>397.7</v>
      </c>
      <c r="N63" s="63">
        <v>392.4</v>
      </c>
      <c r="O63" s="6"/>
      <c r="P63" s="6"/>
      <c r="Q63" s="6"/>
      <c r="R63" s="20"/>
      <c r="S63" s="6"/>
      <c r="T63" s="6"/>
    </row>
    <row r="64" ht="16.8" spans="1:20">
      <c r="A64" s="6"/>
      <c r="B64" s="63" t="s">
        <v>119</v>
      </c>
      <c r="C64" s="63">
        <v>158.8</v>
      </c>
      <c r="D64" s="63">
        <v>156.4</v>
      </c>
      <c r="E64" s="63">
        <v>165.1</v>
      </c>
      <c r="F64" s="63">
        <v>162.9</v>
      </c>
      <c r="G64" s="63">
        <v>153</v>
      </c>
      <c r="H64" s="63">
        <v>155.3</v>
      </c>
      <c r="I64" s="63">
        <v>153.3</v>
      </c>
      <c r="J64" s="63">
        <v>152.5</v>
      </c>
      <c r="K64" s="63">
        <v>150.2</v>
      </c>
      <c r="L64" s="63">
        <v>146.6</v>
      </c>
      <c r="M64" s="63">
        <v>142.9</v>
      </c>
      <c r="N64" s="63">
        <v>139.6</v>
      </c>
      <c r="O64" s="6"/>
      <c r="P64" s="6"/>
      <c r="Q64" s="6"/>
      <c r="R64" s="20"/>
      <c r="S64" s="6"/>
      <c r="T64" s="6"/>
    </row>
    <row r="65" spans="1:20">
      <c r="A65" s="6"/>
      <c r="B65" s="61" t="s">
        <v>16</v>
      </c>
      <c r="C65" s="64">
        <f t="shared" ref="C65:N65" si="33">C8/C63</f>
        <v>23561.5841514333</v>
      </c>
      <c r="D65" s="64">
        <f t="shared" si="33"/>
        <v>19975.182630545</v>
      </c>
      <c r="E65" s="64">
        <f t="shared" si="33"/>
        <v>19687.0295861291</v>
      </c>
      <c r="F65" s="64">
        <f t="shared" si="33"/>
        <v>17073.8287515113</v>
      </c>
      <c r="G65" s="64">
        <f t="shared" si="33"/>
        <v>42831.0304721922</v>
      </c>
      <c r="H65" s="64">
        <f t="shared" si="33"/>
        <v>34224.7017532021</v>
      </c>
      <c r="I65" s="64">
        <f t="shared" si="33"/>
        <v>20282.4173071595</v>
      </c>
      <c r="J65" s="64">
        <f t="shared" si="33"/>
        <v>32430.8830275252</v>
      </c>
      <c r="K65" s="64">
        <f t="shared" si="33"/>
        <v>21333.1814069052</v>
      </c>
      <c r="L65" s="64">
        <f t="shared" si="33"/>
        <v>45154.3639840624</v>
      </c>
      <c r="M65" s="64">
        <f t="shared" si="33"/>
        <v>34189.3059292772</v>
      </c>
      <c r="N65" s="64">
        <f t="shared" si="33"/>
        <v>24759.1900382811</v>
      </c>
      <c r="O65" s="6"/>
      <c r="P65" s="6"/>
      <c r="Q65" s="6"/>
      <c r="R65" s="20"/>
      <c r="S65" s="6"/>
      <c r="T65" s="6"/>
    </row>
    <row r="66" spans="1:20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20"/>
      <c r="S66" s="6"/>
      <c r="T66" s="6"/>
    </row>
    <row r="67" spans="1:20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20"/>
      <c r="S67" s="6"/>
      <c r="T67" s="6"/>
    </row>
    <row r="68" spans="1:20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20"/>
      <c r="S68" s="6"/>
      <c r="T68" s="6"/>
    </row>
    <row r="69" spans="1:20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20"/>
      <c r="S69" s="6"/>
      <c r="T69" s="6"/>
    </row>
    <row r="70" spans="1:2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20"/>
      <c r="S70" s="6"/>
      <c r="T70" s="6"/>
    </row>
    <row r="71" spans="1:20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20"/>
      <c r="S71" s="6"/>
      <c r="T71" s="6"/>
    </row>
    <row r="72" spans="1:20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20"/>
      <c r="S72" s="6"/>
      <c r="T72" s="6"/>
    </row>
    <row r="73" spans="1:20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20"/>
      <c r="S73" s="6"/>
      <c r="T73" s="6"/>
    </row>
    <row r="74" spans="1:20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20"/>
      <c r="S74" s="6"/>
      <c r="T74" s="6"/>
    </row>
    <row r="75" spans="1:20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20"/>
      <c r="S75" s="6"/>
      <c r="T75" s="6"/>
    </row>
    <row r="76" spans="1:20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20"/>
      <c r="S76" s="6"/>
      <c r="T76" s="6"/>
    </row>
    <row r="77" spans="1:20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20"/>
      <c r="S77" s="6"/>
      <c r="T77" s="6"/>
    </row>
    <row r="78" spans="1:20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20"/>
      <c r="S78" s="6"/>
      <c r="T78" s="6"/>
    </row>
    <row r="79" spans="1:20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20"/>
      <c r="S79" s="6"/>
      <c r="T79" s="6"/>
    </row>
    <row r="80" spans="1:2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20"/>
      <c r="S80" s="6"/>
      <c r="T80" s="6"/>
    </row>
    <row r="81" spans="1:20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20"/>
      <c r="S81" s="6"/>
      <c r="T81" s="6"/>
    </row>
    <row r="82" spans="1:20">
      <c r="A82" s="6"/>
      <c r="B82" s="6"/>
      <c r="C82" s="35">
        <f t="shared" ref="C82:O82" si="34">C16-C18-C20-C26-C37-C44-C47-C58-C60</f>
        <v>0</v>
      </c>
      <c r="D82" s="35">
        <f t="shared" si="34"/>
        <v>-3.49245965480804e-10</v>
      </c>
      <c r="E82" s="35">
        <f t="shared" si="34"/>
        <v>0</v>
      </c>
      <c r="F82" s="35">
        <f t="shared" si="34"/>
        <v>0</v>
      </c>
      <c r="G82" s="35">
        <f t="shared" si="34"/>
        <v>0</v>
      </c>
      <c r="H82" s="35">
        <f t="shared" si="34"/>
        <v>1.16415321826935e-10</v>
      </c>
      <c r="I82" s="35">
        <f t="shared" si="34"/>
        <v>0</v>
      </c>
      <c r="J82" s="35">
        <f t="shared" si="34"/>
        <v>0</v>
      </c>
      <c r="K82" s="35">
        <f t="shared" si="34"/>
        <v>0</v>
      </c>
      <c r="L82" s="35">
        <f t="shared" si="34"/>
        <v>0</v>
      </c>
      <c r="M82" s="35">
        <f t="shared" si="34"/>
        <v>0</v>
      </c>
      <c r="N82" s="35">
        <f t="shared" si="34"/>
        <v>0</v>
      </c>
      <c r="O82" s="35">
        <f t="shared" si="34"/>
        <v>7.45058059692383e-9</v>
      </c>
      <c r="P82" s="6"/>
      <c r="Q82" s="6"/>
      <c r="R82" s="20"/>
      <c r="S82" s="6"/>
      <c r="T82" s="6"/>
    </row>
    <row r="83" spans="1:20">
      <c r="A83" s="6"/>
      <c r="B83" s="6"/>
      <c r="C83" s="53">
        <f t="shared" ref="C83:O83" si="35">C10-C11-C12-C13-C15</f>
        <v>0.0025845505297184</v>
      </c>
      <c r="D83" s="53">
        <f t="shared" si="35"/>
        <v>0.00421437807381153</v>
      </c>
      <c r="E83" s="53">
        <f t="shared" si="35"/>
        <v>0.00290234480053186</v>
      </c>
      <c r="F83" s="53">
        <f t="shared" si="35"/>
        <v>0.000310475938022137</v>
      </c>
      <c r="G83" s="53">
        <f t="shared" si="35"/>
        <v>-0.00173315405845642</v>
      </c>
      <c r="H83" s="53">
        <f t="shared" si="35"/>
        <v>0.00262067280709743</v>
      </c>
      <c r="I83" s="53">
        <f t="shared" si="35"/>
        <v>0.0024025859311223</v>
      </c>
      <c r="J83" s="53">
        <f t="shared" si="35"/>
        <v>0.0127651505172253</v>
      </c>
      <c r="K83" s="53">
        <f t="shared" si="35"/>
        <v>-0.000294510275125504</v>
      </c>
      <c r="L83" s="53">
        <f t="shared" si="35"/>
        <v>0.00895274057984352</v>
      </c>
      <c r="M83" s="53">
        <f t="shared" si="35"/>
        <v>-0.00307353958487511</v>
      </c>
      <c r="N83" s="53">
        <f t="shared" si="35"/>
        <v>-0.00852151028811932</v>
      </c>
      <c r="O83" s="53">
        <f t="shared" si="35"/>
        <v>0.0231301635503769</v>
      </c>
      <c r="P83" s="6"/>
      <c r="Q83" s="6"/>
      <c r="R83" s="20"/>
      <c r="S83" s="6"/>
      <c r="T83" s="6"/>
    </row>
    <row r="84" spans="1:20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20"/>
      <c r="S84" s="6"/>
      <c r="T84" s="6"/>
    </row>
    <row r="85" spans="1:20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20"/>
      <c r="S85" s="6"/>
      <c r="T85" s="6"/>
    </row>
    <row r="86" spans="1:20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20"/>
      <c r="S86" s="6"/>
      <c r="T86" s="6"/>
    </row>
    <row r="87" spans="1:20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20"/>
      <c r="S87" s="6"/>
      <c r="T87" s="6"/>
    </row>
    <row r="88" spans="1:20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20"/>
      <c r="S88" s="6"/>
      <c r="T88" s="6"/>
    </row>
    <row r="89" spans="1:20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20"/>
      <c r="S89" s="6"/>
      <c r="T89" s="6"/>
    </row>
    <row r="90" spans="1:2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20"/>
      <c r="S90" s="6"/>
      <c r="T90" s="6"/>
    </row>
    <row r="91" spans="1:20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20"/>
      <c r="S91" s="6"/>
      <c r="T91" s="6"/>
    </row>
    <row r="92" spans="1:20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20"/>
      <c r="S92" s="6"/>
      <c r="T92" s="6"/>
    </row>
    <row r="93" spans="1:20">
      <c r="A93" s="6"/>
      <c r="B93" s="6" t="s">
        <v>120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20"/>
      <c r="S93" s="6"/>
      <c r="T93" s="6"/>
    </row>
    <row r="94" ht="16.8" spans="1:20">
      <c r="A94" s="6"/>
      <c r="B94" s="17" t="s">
        <v>39</v>
      </c>
      <c r="C94" s="37">
        <f t="shared" ref="C94:N94" si="36">SUM(C95:C99)</f>
        <v>0</v>
      </c>
      <c r="D94" s="37">
        <f t="shared" si="36"/>
        <v>0</v>
      </c>
      <c r="E94" s="37">
        <f t="shared" si="36"/>
        <v>0</v>
      </c>
      <c r="F94" s="37">
        <f t="shared" si="36"/>
        <v>0</v>
      </c>
      <c r="G94" s="37">
        <f t="shared" si="36"/>
        <v>0</v>
      </c>
      <c r="H94" s="37">
        <f t="shared" si="36"/>
        <v>0</v>
      </c>
      <c r="I94" s="37">
        <f t="shared" si="36"/>
        <v>0</v>
      </c>
      <c r="J94" s="37">
        <f t="shared" si="36"/>
        <v>0</v>
      </c>
      <c r="K94" s="37">
        <f t="shared" si="36"/>
        <v>0</v>
      </c>
      <c r="L94" s="37">
        <f t="shared" si="36"/>
        <v>0</v>
      </c>
      <c r="M94" s="37">
        <f t="shared" si="36"/>
        <v>0</v>
      </c>
      <c r="N94" s="37">
        <f t="shared" si="36"/>
        <v>0</v>
      </c>
      <c r="O94" s="6"/>
      <c r="P94" s="6"/>
      <c r="Q94" s="6"/>
      <c r="R94" s="20"/>
      <c r="S94" s="6"/>
      <c r="T94" s="6"/>
    </row>
    <row r="95" ht="16.8" spans="1:20">
      <c r="A95" s="6"/>
      <c r="B95" s="4" t="s">
        <v>40</v>
      </c>
      <c r="C95" s="45">
        <f>'线下门店-小计'!C27*(C15/('26年全渠道汇总'!C15-'线下门店-小计'!C15))</f>
        <v>0</v>
      </c>
      <c r="D95" s="45">
        <f>'线下门店-小计'!D27*(D15/('26年全渠道汇总'!D15-'线下门店-小计'!D15))</f>
        <v>0</v>
      </c>
      <c r="E95" s="45">
        <f>'线下门店-小计'!E27*(E15/('26年全渠道汇总'!E15-'线下门店-小计'!E15))</f>
        <v>0</v>
      </c>
      <c r="F95" s="45">
        <f>'线下门店-小计'!F27*(F15/('26年全渠道汇总'!F15-'线下门店-小计'!F15))</f>
        <v>0</v>
      </c>
      <c r="G95" s="45">
        <f>'线下门店-小计'!G27*(G15/('26年全渠道汇总'!G15-'线下门店-小计'!G15))</f>
        <v>0</v>
      </c>
      <c r="H95" s="45">
        <f>'线下门店-小计'!H27*(H15/('26年全渠道汇总'!H15-'线下门店-小计'!H15))</f>
        <v>0</v>
      </c>
      <c r="I95" s="45">
        <f>'线下门店-小计'!I27*(I15/('26年全渠道汇总'!I15-'线下门店-小计'!I15))</f>
        <v>0</v>
      </c>
      <c r="J95" s="45">
        <f>'线下门店-小计'!J27*(J15/('26年全渠道汇总'!J15-'线下门店-小计'!J15))</f>
        <v>0</v>
      </c>
      <c r="K95" s="45">
        <f>'线下门店-小计'!K27*(K15/('26年全渠道汇总'!K15-'线下门店-小计'!K15))</f>
        <v>0</v>
      </c>
      <c r="L95" s="45">
        <f>'线下门店-小计'!L27*(L15/('26年全渠道汇总'!L15-'线下门店-小计'!L15))</f>
        <v>0</v>
      </c>
      <c r="M95" s="45">
        <f>'线下门店-小计'!M27*(M15/('26年全渠道汇总'!M15-'线下门店-小计'!M15))</f>
        <v>0</v>
      </c>
      <c r="N95" s="45">
        <f>'线下门店-小计'!N27*(N15/('26年全渠道汇总'!N15-'线下门店-小计'!N15))</f>
        <v>0</v>
      </c>
      <c r="O95" s="6"/>
      <c r="P95" s="6"/>
      <c r="Q95" s="6"/>
      <c r="R95" s="20"/>
      <c r="S95" s="6"/>
      <c r="T95" s="6"/>
    </row>
    <row r="96" ht="16.8" spans="1:20">
      <c r="A96" s="6"/>
      <c r="B96" s="4" t="s">
        <v>41</v>
      </c>
      <c r="C96" s="45">
        <f>'线下门店-小计'!C28*(C15/('26年全渠道汇总'!C15-'线下门店-小计'!C15))</f>
        <v>0</v>
      </c>
      <c r="D96" s="45">
        <f>'线下门店-小计'!D28*(D15/('26年全渠道汇总'!D15-'线下门店-小计'!D15))</f>
        <v>0</v>
      </c>
      <c r="E96" s="45">
        <f>'线下门店-小计'!E28*(E15/('26年全渠道汇总'!E15-'线下门店-小计'!E15))</f>
        <v>0</v>
      </c>
      <c r="F96" s="45">
        <f>'线下门店-小计'!F28*(F15/('26年全渠道汇总'!F15-'线下门店-小计'!F15))</f>
        <v>0</v>
      </c>
      <c r="G96" s="45">
        <f>'线下门店-小计'!G28*(G15/('26年全渠道汇总'!G15-'线下门店-小计'!G15))</f>
        <v>0</v>
      </c>
      <c r="H96" s="45">
        <f>'线下门店-小计'!H28*(H15/('26年全渠道汇总'!H15-'线下门店-小计'!H15))</f>
        <v>0</v>
      </c>
      <c r="I96" s="45">
        <f>'线下门店-小计'!I28*(I15/('26年全渠道汇总'!I15-'线下门店-小计'!I15))</f>
        <v>0</v>
      </c>
      <c r="J96" s="45">
        <f>'线下门店-小计'!J28*(J15/('26年全渠道汇总'!J15-'线下门店-小计'!J15))</f>
        <v>0</v>
      </c>
      <c r="K96" s="45">
        <f>'线下门店-小计'!K28*(K15/('26年全渠道汇总'!K15-'线下门店-小计'!K15))</f>
        <v>0</v>
      </c>
      <c r="L96" s="45">
        <f>'线下门店-小计'!L28*(L15/('26年全渠道汇总'!L15-'线下门店-小计'!L15))</f>
        <v>0</v>
      </c>
      <c r="M96" s="45">
        <f>'线下门店-小计'!M28*(M15/('26年全渠道汇总'!M15-'线下门店-小计'!M15))</f>
        <v>0</v>
      </c>
      <c r="N96" s="45">
        <f>'线下门店-小计'!N28*(N15/('26年全渠道汇总'!N15-'线下门店-小计'!N15))</f>
        <v>0</v>
      </c>
      <c r="O96" s="6"/>
      <c r="P96" s="6"/>
      <c r="Q96" s="6"/>
      <c r="R96" s="20"/>
      <c r="S96" s="6"/>
      <c r="T96" s="6"/>
    </row>
    <row r="97" ht="16.8" spans="1:20">
      <c r="A97" s="6"/>
      <c r="B97" s="4" t="s">
        <v>42</v>
      </c>
      <c r="C97" s="45">
        <f>'线下门店-小计'!C29*(C15/('26年全渠道汇总'!C15-'线下门店-小计'!C15))</f>
        <v>0</v>
      </c>
      <c r="D97" s="45">
        <f>'线下门店-小计'!D29*(D15/('26年全渠道汇总'!D15-'线下门店-小计'!D15))</f>
        <v>0</v>
      </c>
      <c r="E97" s="45">
        <f>'线下门店-小计'!E29*(E15/('26年全渠道汇总'!E15-'线下门店-小计'!E15))</f>
        <v>0</v>
      </c>
      <c r="F97" s="45">
        <f>'线下门店-小计'!F29*(F15/('26年全渠道汇总'!F15-'线下门店-小计'!F15))</f>
        <v>0</v>
      </c>
      <c r="G97" s="45">
        <f>'线下门店-小计'!G29*(G15/('26年全渠道汇总'!G15-'线下门店-小计'!G15))</f>
        <v>0</v>
      </c>
      <c r="H97" s="45">
        <f>'线下门店-小计'!H29*(H15/('26年全渠道汇总'!H15-'线下门店-小计'!H15))</f>
        <v>0</v>
      </c>
      <c r="I97" s="45">
        <f>'线下门店-小计'!I29*(I15/('26年全渠道汇总'!I15-'线下门店-小计'!I15))</f>
        <v>0</v>
      </c>
      <c r="J97" s="45">
        <f>'线下门店-小计'!J29*(J15/('26年全渠道汇总'!J15-'线下门店-小计'!J15))</f>
        <v>0</v>
      </c>
      <c r="K97" s="45">
        <f>'线下门店-小计'!K29*(K15/('26年全渠道汇总'!K15-'线下门店-小计'!K15))</f>
        <v>0</v>
      </c>
      <c r="L97" s="45">
        <f>'线下门店-小计'!L29*(L15/('26年全渠道汇总'!L15-'线下门店-小计'!L15))</f>
        <v>0</v>
      </c>
      <c r="M97" s="45">
        <f>'线下门店-小计'!M29*(M15/('26年全渠道汇总'!M15-'线下门店-小计'!M15))</f>
        <v>0</v>
      </c>
      <c r="N97" s="45">
        <f>'线下门店-小计'!N29*(N15/('26年全渠道汇总'!N15-'线下门店-小计'!N15))</f>
        <v>0</v>
      </c>
      <c r="O97" s="6"/>
      <c r="P97" s="6"/>
      <c r="Q97" s="6"/>
      <c r="R97" s="20"/>
      <c r="S97" s="6"/>
      <c r="T97" s="6"/>
    </row>
    <row r="98" ht="16.8" spans="1:20">
      <c r="A98" s="6"/>
      <c r="B98" s="4" t="s">
        <v>43</v>
      </c>
      <c r="C98" s="45">
        <f>'线下门店-小计'!C30*(C15/('26年全渠道汇总'!C15-'线下门店-小计'!C15))</f>
        <v>0</v>
      </c>
      <c r="D98" s="45">
        <f>'线下门店-小计'!D30*(D15/('26年全渠道汇总'!D15-'线下门店-小计'!D15))</f>
        <v>0</v>
      </c>
      <c r="E98" s="45">
        <f>'线下门店-小计'!E30*(E15/('26年全渠道汇总'!E15-'线下门店-小计'!E15))</f>
        <v>0</v>
      </c>
      <c r="F98" s="45">
        <f>'线下门店-小计'!F30*(F15/('26年全渠道汇总'!F15-'线下门店-小计'!F15))</f>
        <v>0</v>
      </c>
      <c r="G98" s="45">
        <f>'线下门店-小计'!G30*(G15/('26年全渠道汇总'!G15-'线下门店-小计'!G15))</f>
        <v>0</v>
      </c>
      <c r="H98" s="45">
        <f>'线下门店-小计'!H30*(H15/('26年全渠道汇总'!H15-'线下门店-小计'!H15))</f>
        <v>0</v>
      </c>
      <c r="I98" s="45">
        <f>'线下门店-小计'!I30*(I15/('26年全渠道汇总'!I15-'线下门店-小计'!I15))</f>
        <v>0</v>
      </c>
      <c r="J98" s="45">
        <f>'线下门店-小计'!J30*(J15/('26年全渠道汇总'!J15-'线下门店-小计'!J15))</f>
        <v>0</v>
      </c>
      <c r="K98" s="45">
        <f>'线下门店-小计'!K30*(K15/('26年全渠道汇总'!K15-'线下门店-小计'!K15))</f>
        <v>0</v>
      </c>
      <c r="L98" s="45">
        <f>'线下门店-小计'!L30*(L15/('26年全渠道汇总'!L15-'线下门店-小计'!L15))</f>
        <v>0</v>
      </c>
      <c r="M98" s="45">
        <f>'线下门店-小计'!M30*(M15/('26年全渠道汇总'!M15-'线下门店-小计'!M15))</f>
        <v>0</v>
      </c>
      <c r="N98" s="45">
        <f>'线下门店-小计'!N30*(N15/('26年全渠道汇总'!N15-'线下门店-小计'!N15))</f>
        <v>0</v>
      </c>
      <c r="O98" s="6"/>
      <c r="P98" s="6"/>
      <c r="Q98" s="6"/>
      <c r="R98" s="20"/>
      <c r="S98" s="6"/>
      <c r="T98" s="6"/>
    </row>
    <row r="99" ht="16.8" spans="1:20">
      <c r="A99" s="6"/>
      <c r="B99" s="4" t="s">
        <v>44</v>
      </c>
      <c r="C99" s="45">
        <f>'线下门店-小计'!C31*(C15/('26年全渠道汇总'!C15-'线下门店-小计'!C15))</f>
        <v>0</v>
      </c>
      <c r="D99" s="45">
        <f>'线下门店-小计'!D31*(D15/('26年全渠道汇总'!D15-'线下门店-小计'!D15))</f>
        <v>0</v>
      </c>
      <c r="E99" s="45">
        <f>'线下门店-小计'!E31*(E15/('26年全渠道汇总'!E15-'线下门店-小计'!E15))</f>
        <v>0</v>
      </c>
      <c r="F99" s="45">
        <f>'线下门店-小计'!F31*(F15/('26年全渠道汇总'!F15-'线下门店-小计'!F15))</f>
        <v>0</v>
      </c>
      <c r="G99" s="45">
        <f>'线下门店-小计'!G31*(G15/('26年全渠道汇总'!G15-'线下门店-小计'!G15))</f>
        <v>0</v>
      </c>
      <c r="H99" s="45">
        <f>'线下门店-小计'!H31*(H15/('26年全渠道汇总'!H15-'线下门店-小计'!H15))</f>
        <v>0</v>
      </c>
      <c r="I99" s="45">
        <f>'线下门店-小计'!I31*(I15/('26年全渠道汇总'!I15-'线下门店-小计'!I15))</f>
        <v>0</v>
      </c>
      <c r="J99" s="45">
        <f>'线下门店-小计'!J31*(J15/('26年全渠道汇总'!J15-'线下门店-小计'!J15))</f>
        <v>0</v>
      </c>
      <c r="K99" s="45">
        <f>'线下门店-小计'!K31*(K15/('26年全渠道汇总'!K15-'线下门店-小计'!K15))</f>
        <v>0</v>
      </c>
      <c r="L99" s="45">
        <f>'线下门店-小计'!L31*(L15/('26年全渠道汇总'!L15-'线下门店-小计'!L15))</f>
        <v>0</v>
      </c>
      <c r="M99" s="45">
        <f>'线下门店-小计'!M31*(M15/('26年全渠道汇总'!M15-'线下门店-小计'!M15))</f>
        <v>0</v>
      </c>
      <c r="N99" s="45">
        <f>'线下门店-小计'!N31*(N15/('26年全渠道汇总'!N15-'线下门店-小计'!N15))</f>
        <v>0</v>
      </c>
      <c r="O99" s="6"/>
      <c r="P99" s="6"/>
      <c r="Q99" s="6"/>
      <c r="R99" s="20"/>
      <c r="S99" s="6"/>
      <c r="T99" s="6"/>
    </row>
    <row r="100" spans="1:2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20"/>
      <c r="S100" s="6"/>
      <c r="T100" s="6"/>
    </row>
    <row r="101" spans="1:20">
      <c r="A101" s="6"/>
      <c r="B101" s="6" t="s">
        <v>121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20"/>
      <c r="S101" s="6"/>
      <c r="T101" s="6"/>
    </row>
    <row r="102" ht="16.8" spans="1:20">
      <c r="A102" s="6"/>
      <c r="B102" s="17" t="s">
        <v>39</v>
      </c>
      <c r="C102" s="37">
        <f t="shared" ref="C102:N102" si="37">SUM(C103:C107)</f>
        <v>338958.561440552</v>
      </c>
      <c r="D102" s="37">
        <f t="shared" si="37"/>
        <v>864065.875012633</v>
      </c>
      <c r="E102" s="37">
        <f t="shared" si="37"/>
        <v>1361984.21148629</v>
      </c>
      <c r="F102" s="37">
        <f t="shared" si="37"/>
        <v>808786.540720986</v>
      </c>
      <c r="G102" s="37">
        <f t="shared" si="37"/>
        <v>2896908.94358381</v>
      </c>
      <c r="H102" s="37">
        <f t="shared" si="37"/>
        <v>1740942.62027746</v>
      </c>
      <c r="I102" s="37">
        <f t="shared" si="37"/>
        <v>457930.065242537</v>
      </c>
      <c r="J102" s="37">
        <f t="shared" si="37"/>
        <v>640207.417514976</v>
      </c>
      <c r="K102" s="37">
        <f t="shared" si="37"/>
        <v>469962.488360264</v>
      </c>
      <c r="L102" s="37">
        <f t="shared" si="37"/>
        <v>1646945.00195462</v>
      </c>
      <c r="M102" s="37">
        <f t="shared" si="37"/>
        <v>680851.700702607</v>
      </c>
      <c r="N102" s="37">
        <f t="shared" si="37"/>
        <v>514373.212356355</v>
      </c>
      <c r="O102" s="6"/>
      <c r="P102" s="6"/>
      <c r="Q102" s="6"/>
      <c r="R102" s="20"/>
      <c r="S102" s="6"/>
      <c r="T102" s="6"/>
    </row>
    <row r="103" ht="16.8" spans="1:20">
      <c r="A103" s="6"/>
      <c r="B103" s="4" t="s">
        <v>40</v>
      </c>
      <c r="C103" s="45">
        <f t="shared" ref="C103:N103" si="38">C95+C27</f>
        <v>0</v>
      </c>
      <c r="D103" s="45">
        <f t="shared" si="38"/>
        <v>0</v>
      </c>
      <c r="E103" s="45">
        <f t="shared" si="38"/>
        <v>19170.9520978901</v>
      </c>
      <c r="F103" s="45">
        <f t="shared" si="38"/>
        <v>16014.6836013131</v>
      </c>
      <c r="G103" s="45">
        <f t="shared" si="38"/>
        <v>34230.6640932159</v>
      </c>
      <c r="H103" s="45">
        <f t="shared" si="38"/>
        <v>30026.535338565</v>
      </c>
      <c r="I103" s="45">
        <f t="shared" si="38"/>
        <v>19337.3761099223</v>
      </c>
      <c r="J103" s="45">
        <f t="shared" si="38"/>
        <v>26681.9365707217</v>
      </c>
      <c r="K103" s="45">
        <f t="shared" si="38"/>
        <v>21343.6469377874</v>
      </c>
      <c r="L103" s="45">
        <f t="shared" si="38"/>
        <v>35937.9926590899</v>
      </c>
      <c r="M103" s="45">
        <f t="shared" si="38"/>
        <v>27119.8228594443</v>
      </c>
      <c r="N103" s="45">
        <f t="shared" si="38"/>
        <v>0</v>
      </c>
      <c r="O103" s="6"/>
      <c r="P103" s="6"/>
      <c r="Q103" s="6"/>
      <c r="R103" s="20"/>
      <c r="S103" s="6"/>
      <c r="T103" s="6"/>
    </row>
    <row r="104" ht="16.8" spans="1:20">
      <c r="A104" s="6"/>
      <c r="B104" s="4" t="s">
        <v>41</v>
      </c>
      <c r="C104" s="45">
        <f t="shared" ref="C104:N104" si="39">C96+C28</f>
        <v>146616</v>
      </c>
      <c r="D104" s="45">
        <f t="shared" si="39"/>
        <v>146616</v>
      </c>
      <c r="E104" s="45">
        <f t="shared" si="39"/>
        <v>146616</v>
      </c>
      <c r="F104" s="45">
        <f t="shared" si="39"/>
        <v>165833.620321576</v>
      </c>
      <c r="G104" s="45">
        <f t="shared" si="39"/>
        <v>351999.984559296</v>
      </c>
      <c r="H104" s="45">
        <f t="shared" si="39"/>
        <v>242700.913083408</v>
      </c>
      <c r="I104" s="45">
        <f t="shared" si="39"/>
        <v>146616</v>
      </c>
      <c r="J104" s="45">
        <f t="shared" si="39"/>
        <v>178634.323884866</v>
      </c>
      <c r="K104" s="45">
        <f t="shared" si="39"/>
        <v>214915.67020092</v>
      </c>
      <c r="L104" s="45">
        <f t="shared" si="39"/>
        <v>189741.591190908</v>
      </c>
      <c r="M104" s="45">
        <f t="shared" si="39"/>
        <v>179159.787431333</v>
      </c>
      <c r="N104" s="45">
        <f t="shared" si="39"/>
        <v>146616</v>
      </c>
      <c r="O104" s="6"/>
      <c r="P104" s="6"/>
      <c r="Q104" s="6"/>
      <c r="R104" s="20"/>
      <c r="S104" s="6"/>
      <c r="T104" s="6"/>
    </row>
    <row r="105" ht="16.8" spans="1:20">
      <c r="A105" s="6"/>
      <c r="B105" s="4" t="s">
        <v>42</v>
      </c>
      <c r="C105" s="45">
        <f t="shared" ref="C105:N105" si="40">C97+C29</f>
        <v>9440.65555879974</v>
      </c>
      <c r="D105" s="45">
        <f t="shared" si="40"/>
        <v>7643.0740348178</v>
      </c>
      <c r="E105" s="45">
        <f t="shared" si="40"/>
        <v>7668.38083915602</v>
      </c>
      <c r="F105" s="45">
        <f t="shared" si="40"/>
        <v>32029.3672026261</v>
      </c>
      <c r="G105" s="45">
        <f t="shared" si="40"/>
        <v>205383.984559295</v>
      </c>
      <c r="H105" s="45">
        <f t="shared" si="40"/>
        <v>132116.755489686</v>
      </c>
      <c r="I105" s="45">
        <f t="shared" si="40"/>
        <v>0</v>
      </c>
      <c r="J105" s="45">
        <f t="shared" si="40"/>
        <v>32018.3238848661</v>
      </c>
      <c r="K105" s="45">
        <f t="shared" si="40"/>
        <v>68299.6702009198</v>
      </c>
      <c r="L105" s="45">
        <f t="shared" si="40"/>
        <v>71875.9853181798</v>
      </c>
      <c r="M105" s="45">
        <f t="shared" si="40"/>
        <v>54239.6457188886</v>
      </c>
      <c r="N105" s="45">
        <f t="shared" si="40"/>
        <v>9491.06887209069</v>
      </c>
      <c r="O105" s="6"/>
      <c r="P105" s="6"/>
      <c r="Q105" s="6"/>
      <c r="R105" s="20"/>
      <c r="S105" s="6"/>
      <c r="T105" s="6"/>
    </row>
    <row r="106" ht="16.8" spans="1:20">
      <c r="A106" s="6"/>
      <c r="B106" s="4" t="s">
        <v>43</v>
      </c>
      <c r="C106" s="45">
        <f t="shared" ref="C106:N106" si="41">C98+C30</f>
        <v>9440.65555879974</v>
      </c>
      <c r="D106" s="45">
        <f t="shared" si="41"/>
        <v>7643.0740348178</v>
      </c>
      <c r="E106" s="45">
        <f t="shared" si="41"/>
        <v>61347.0467132482</v>
      </c>
      <c r="F106" s="45">
        <f t="shared" si="41"/>
        <v>6405.87344052522</v>
      </c>
      <c r="G106" s="45">
        <f t="shared" si="41"/>
        <v>41076.7969118591</v>
      </c>
      <c r="H106" s="45">
        <f t="shared" si="41"/>
        <v>12010.614135426</v>
      </c>
      <c r="I106" s="45">
        <f t="shared" si="41"/>
        <v>7734.95044396893</v>
      </c>
      <c r="J106" s="45">
        <f t="shared" si="41"/>
        <v>10672.7746282887</v>
      </c>
      <c r="K106" s="45">
        <f t="shared" si="41"/>
        <v>8537.45877511497</v>
      </c>
      <c r="L106" s="45">
        <f t="shared" si="41"/>
        <v>28750.3941272719</v>
      </c>
      <c r="M106" s="45">
        <f t="shared" si="41"/>
        <v>21695.8582875554</v>
      </c>
      <c r="N106" s="45">
        <f t="shared" si="41"/>
        <v>9491.06887209069</v>
      </c>
      <c r="O106" s="6"/>
      <c r="P106" s="6"/>
      <c r="Q106" s="6"/>
      <c r="R106" s="20"/>
      <c r="S106" s="6"/>
      <c r="T106" s="6"/>
    </row>
    <row r="107" ht="16.8" spans="1:20">
      <c r="A107" s="6"/>
      <c r="B107" s="4" t="s">
        <v>44</v>
      </c>
      <c r="C107" s="45">
        <f t="shared" ref="C107:N107" si="42">C99+C31</f>
        <v>173461.250322953</v>
      </c>
      <c r="D107" s="45">
        <f t="shared" si="42"/>
        <v>702163.726942997</v>
      </c>
      <c r="E107" s="45">
        <f t="shared" si="42"/>
        <v>1127181.831836</v>
      </c>
      <c r="F107" s="45">
        <f t="shared" si="42"/>
        <v>588502.996154946</v>
      </c>
      <c r="G107" s="45">
        <f t="shared" si="42"/>
        <v>2264217.51346014</v>
      </c>
      <c r="H107" s="45">
        <f t="shared" si="42"/>
        <v>1324087.80223038</v>
      </c>
      <c r="I107" s="45">
        <f t="shared" si="42"/>
        <v>284241.738688645</v>
      </c>
      <c r="J107" s="45">
        <f t="shared" si="42"/>
        <v>392200.058546234</v>
      </c>
      <c r="K107" s="45">
        <f t="shared" si="42"/>
        <v>156866.042245522</v>
      </c>
      <c r="L107" s="45">
        <f t="shared" si="42"/>
        <v>1320639.03865917</v>
      </c>
      <c r="M107" s="45">
        <f t="shared" si="42"/>
        <v>398636.586405386</v>
      </c>
      <c r="N107" s="45">
        <f t="shared" si="42"/>
        <v>348775.074612174</v>
      </c>
      <c r="O107" s="6"/>
      <c r="P107" s="6"/>
      <c r="Q107" s="6"/>
      <c r="R107" s="20"/>
      <c r="S107" s="6"/>
      <c r="T107" s="6"/>
    </row>
    <row r="108" spans="1:20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20"/>
      <c r="S108" s="6"/>
      <c r="T108" s="6"/>
    </row>
    <row r="109" spans="1:20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20"/>
      <c r="S109" s="6"/>
      <c r="T109" s="6"/>
    </row>
    <row r="110" spans="1:2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20"/>
      <c r="S110" s="6"/>
      <c r="T110" s="6"/>
    </row>
    <row r="111" spans="1:20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20"/>
      <c r="S111" s="6"/>
      <c r="T111" s="6"/>
    </row>
    <row r="112" spans="1:20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20"/>
      <c r="S112" s="6"/>
      <c r="T112" s="6"/>
    </row>
    <row r="113" spans="1:20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20"/>
      <c r="S113" s="6"/>
      <c r="T113" s="6"/>
    </row>
    <row r="114" spans="1:20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20"/>
      <c r="S114" s="6"/>
      <c r="T114" s="6"/>
    </row>
    <row r="115" spans="1:20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20"/>
      <c r="S115" s="6"/>
      <c r="T115" s="6"/>
    </row>
    <row r="116" spans="1:20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20"/>
      <c r="S116" s="6"/>
      <c r="T116" s="6"/>
    </row>
    <row r="117" spans="1:20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20"/>
      <c r="S117" s="6"/>
      <c r="T117" s="6"/>
    </row>
    <row r="118" spans="1:20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20"/>
      <c r="S118" s="6"/>
      <c r="T118" s="6"/>
    </row>
    <row r="119" spans="1:20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20"/>
      <c r="S119" s="6"/>
      <c r="T119" s="6"/>
    </row>
    <row r="120" spans="1: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20"/>
      <c r="S120" s="6"/>
      <c r="T120" s="6"/>
    </row>
    <row r="121" spans="1:20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20"/>
      <c r="S121" s="6"/>
      <c r="T121" s="6"/>
    </row>
    <row r="122" spans="1:20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20"/>
      <c r="S122" s="6"/>
      <c r="T122" s="6"/>
    </row>
    <row r="123" spans="1:20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20"/>
      <c r="S123" s="6"/>
      <c r="T123" s="6"/>
    </row>
    <row r="124" spans="1:20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20"/>
      <c r="S124" s="6"/>
      <c r="T124" s="6"/>
    </row>
    <row r="125" spans="1:20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20"/>
      <c r="S125" s="6"/>
      <c r="T125" s="6"/>
    </row>
    <row r="126" spans="1:20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20"/>
      <c r="S126" s="6"/>
      <c r="T126" s="6"/>
    </row>
    <row r="127" spans="1:20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20"/>
      <c r="S127" s="6"/>
      <c r="T127" s="6"/>
    </row>
    <row r="128" spans="1:20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20"/>
      <c r="S128" s="6"/>
      <c r="T128" s="6"/>
    </row>
    <row r="129" spans="1:20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20"/>
      <c r="S129" s="6"/>
      <c r="T129" s="6"/>
    </row>
    <row r="130" spans="1:2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20"/>
      <c r="S130" s="6"/>
      <c r="T130" s="6"/>
    </row>
    <row r="131" spans="1:20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20"/>
      <c r="S131" s="6"/>
      <c r="T131" s="6"/>
    </row>
    <row r="132" spans="1:20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20"/>
      <c r="S132" s="6"/>
      <c r="T132" s="6"/>
    </row>
    <row r="133" spans="1:20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20"/>
      <c r="S133" s="6"/>
      <c r="T133" s="6"/>
    </row>
    <row r="134" spans="1:20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20"/>
      <c r="S134" s="6"/>
      <c r="T134" s="6"/>
    </row>
    <row r="135" spans="1:20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20"/>
      <c r="S135" s="6"/>
      <c r="T135" s="6"/>
    </row>
    <row r="136" spans="1:20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20"/>
      <c r="S136" s="6"/>
      <c r="T136" s="6"/>
    </row>
    <row r="137" spans="1:20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20"/>
      <c r="S137" s="6"/>
      <c r="T137" s="6"/>
    </row>
    <row r="138" spans="1:20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20"/>
      <c r="S138" s="6"/>
      <c r="T138" s="6"/>
    </row>
    <row r="139" spans="1:20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20"/>
      <c r="S139" s="6"/>
      <c r="T139" s="6"/>
    </row>
    <row r="140" spans="1:2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20"/>
      <c r="S140" s="6"/>
      <c r="T140" s="6"/>
    </row>
    <row r="141" spans="1:20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20"/>
      <c r="S141" s="6"/>
      <c r="T141" s="6"/>
    </row>
    <row r="142" spans="1:20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20"/>
      <c r="S142" s="6"/>
      <c r="T142" s="6"/>
    </row>
    <row r="143" spans="1:20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20"/>
      <c r="S143" s="6"/>
      <c r="T143" s="6"/>
    </row>
    <row r="144" spans="1:20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20"/>
      <c r="S144" s="6"/>
      <c r="T144" s="6"/>
    </row>
    <row r="145" spans="1:20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20"/>
      <c r="S145" s="6"/>
      <c r="T145" s="6"/>
    </row>
    <row r="146" spans="1:20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20"/>
      <c r="S146" s="6"/>
      <c r="T146" s="6"/>
    </row>
    <row r="147" spans="1:20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20"/>
      <c r="S147" s="6"/>
      <c r="T147" s="6"/>
    </row>
    <row r="148" spans="1:20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20"/>
      <c r="S148" s="6"/>
      <c r="T148" s="6"/>
    </row>
    <row r="149" spans="1:20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20"/>
      <c r="S149" s="6"/>
      <c r="T149" s="6"/>
    </row>
    <row r="150" spans="1:2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20"/>
      <c r="S150" s="6"/>
      <c r="T150" s="6"/>
    </row>
    <row r="151" spans="1:20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20"/>
      <c r="S151" s="6"/>
      <c r="T151" s="6"/>
    </row>
    <row r="152" spans="1:20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20"/>
      <c r="S152" s="6"/>
      <c r="T152" s="6"/>
    </row>
    <row r="153" spans="1:20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20"/>
      <c r="S153" s="6"/>
      <c r="T153" s="6"/>
    </row>
    <row r="154" spans="1:20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20"/>
      <c r="S154" s="6"/>
      <c r="T154" s="6"/>
    </row>
    <row r="155" spans="1:20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20"/>
      <c r="S155" s="6"/>
      <c r="T155" s="6"/>
    </row>
    <row r="156" spans="1:20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20"/>
      <c r="S156" s="6"/>
      <c r="T156" s="6"/>
    </row>
    <row r="157" spans="1:20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20"/>
      <c r="S157" s="6"/>
      <c r="T157" s="6"/>
    </row>
    <row r="158" spans="1:20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20"/>
      <c r="S158" s="6"/>
      <c r="T158" s="6"/>
    </row>
    <row r="159" spans="1:20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20"/>
      <c r="S159" s="6"/>
      <c r="T159" s="6"/>
    </row>
    <row r="160" spans="1:2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20"/>
      <c r="S160" s="6"/>
      <c r="T160" s="6"/>
    </row>
    <row r="161" spans="1:20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20"/>
      <c r="S161" s="6"/>
      <c r="T161" s="6"/>
    </row>
    <row r="162" spans="1:20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20"/>
      <c r="S162" s="6"/>
      <c r="T162" s="6"/>
    </row>
    <row r="163" spans="1:20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20"/>
      <c r="S163" s="6"/>
      <c r="T163" s="6"/>
    </row>
    <row r="164" spans="1:20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20"/>
      <c r="S164" s="6"/>
      <c r="T164" s="6"/>
    </row>
    <row r="165" spans="1:20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20"/>
      <c r="S165" s="6"/>
      <c r="T165" s="6"/>
    </row>
    <row r="166" spans="1:20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20"/>
      <c r="S166" s="6"/>
      <c r="T166" s="6"/>
    </row>
    <row r="167" spans="1:20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20"/>
      <c r="S167" s="6"/>
      <c r="T167" s="6"/>
    </row>
    <row r="168" spans="1:20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20"/>
      <c r="S168" s="6"/>
      <c r="T168" s="6"/>
    </row>
    <row r="169" spans="1:20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20"/>
      <c r="S169" s="6"/>
      <c r="T169" s="6"/>
    </row>
    <row r="170" spans="1:2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20"/>
      <c r="S170" s="6"/>
      <c r="T170" s="6"/>
    </row>
    <row r="171" spans="1:20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20"/>
      <c r="S171" s="6"/>
      <c r="T171" s="6"/>
    </row>
    <row r="172" spans="1:20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20"/>
      <c r="S172" s="6"/>
      <c r="T172" s="6"/>
    </row>
    <row r="173" spans="1:20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20"/>
      <c r="S173" s="6"/>
      <c r="T173" s="6"/>
    </row>
    <row r="174" spans="1:20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20"/>
      <c r="S174" s="6"/>
      <c r="T174" s="6"/>
    </row>
    <row r="175" spans="1:20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20"/>
      <c r="S175" s="6"/>
      <c r="T175" s="6"/>
    </row>
    <row r="176" spans="1:20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20"/>
      <c r="S176" s="6"/>
      <c r="T176" s="6"/>
    </row>
    <row r="177" spans="1:20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20"/>
      <c r="S177" s="6"/>
      <c r="T177" s="6"/>
    </row>
    <row r="178" spans="1:20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20"/>
      <c r="S178" s="6"/>
      <c r="T178" s="6"/>
    </row>
    <row r="179" spans="1:20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20"/>
      <c r="S179" s="6"/>
      <c r="T179" s="6"/>
    </row>
    <row r="180" spans="1:2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20"/>
      <c r="S180" s="6"/>
      <c r="T180" s="6"/>
    </row>
    <row r="181" spans="1:20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20"/>
      <c r="S181" s="6"/>
      <c r="T181" s="6"/>
    </row>
    <row r="182" spans="1:20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20"/>
      <c r="S182" s="6"/>
      <c r="T182" s="6"/>
    </row>
    <row r="183" spans="1:20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20"/>
      <c r="S183" s="6"/>
      <c r="T183" s="6"/>
    </row>
    <row r="184" spans="1:20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20"/>
      <c r="S184" s="6"/>
      <c r="T184" s="6"/>
    </row>
    <row r="185" spans="1:20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20"/>
      <c r="S185" s="6"/>
      <c r="T185" s="6"/>
    </row>
    <row r="186" spans="1:20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20"/>
      <c r="S186" s="6"/>
      <c r="T186" s="6"/>
    </row>
    <row r="187" spans="1:20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20"/>
      <c r="S187" s="6"/>
      <c r="T187" s="6"/>
    </row>
    <row r="188" spans="1:20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20"/>
      <c r="S188" s="6"/>
      <c r="T188" s="6"/>
    </row>
    <row r="189" spans="1:20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20"/>
      <c r="S189" s="6"/>
      <c r="T189" s="6"/>
    </row>
    <row r="190" spans="1:2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20"/>
      <c r="S190" s="6"/>
      <c r="T190" s="6"/>
    </row>
    <row r="191" spans="1:20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20"/>
      <c r="S191" s="6"/>
      <c r="T191" s="6"/>
    </row>
    <row r="192" spans="1:20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20"/>
      <c r="S192" s="6"/>
      <c r="T192" s="6"/>
    </row>
    <row r="193" spans="1:20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20"/>
      <c r="S193" s="6"/>
      <c r="T193" s="6"/>
    </row>
    <row r="194" spans="1:20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20"/>
      <c r="S194" s="6"/>
      <c r="T194" s="6"/>
    </row>
    <row r="195" spans="1:20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20"/>
      <c r="S195" s="6"/>
      <c r="T195" s="6"/>
    </row>
    <row r="196" spans="1:20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20"/>
      <c r="S196" s="6"/>
      <c r="T196" s="6"/>
    </row>
    <row r="197" spans="1:20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20"/>
      <c r="S197" s="6"/>
      <c r="T197" s="6"/>
    </row>
    <row r="198" spans="1:20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20"/>
      <c r="S198" s="6"/>
      <c r="T198" s="6"/>
    </row>
    <row r="199" spans="1:20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20"/>
      <c r="S199" s="6"/>
      <c r="T199" s="6"/>
    </row>
    <row r="200" spans="1:2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20"/>
      <c r="S200" s="6"/>
      <c r="T200" s="6"/>
    </row>
    <row r="201" spans="1:20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20"/>
      <c r="S201" s="6"/>
      <c r="T201" s="6"/>
    </row>
  </sheetData>
  <pageMargins left="0.75" right="0.75" top="1" bottom="1" header="0.5" footer="0.5"/>
  <headerFooter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97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4.4"/>
  <cols>
    <col min="1" max="1" width="7" customWidth="1"/>
    <col min="2" max="2" width="30" customWidth="1"/>
    <col min="3" max="15" width="19" customWidth="1"/>
    <col min="16" max="17" width="14" customWidth="1"/>
    <col min="18" max="18" width="11" customWidth="1"/>
    <col min="19" max="20" width="14" customWidth="1"/>
  </cols>
  <sheetData>
    <row r="1" ht="17" spans="1:20">
      <c r="A1" s="6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6"/>
      <c r="S1" s="6"/>
      <c r="T1" s="6"/>
    </row>
    <row r="2" ht="16.8" spans="1:20">
      <c r="A2" s="6"/>
      <c r="B2" s="4" t="s">
        <v>16</v>
      </c>
      <c r="C2" s="36">
        <v>1370.10571955616</v>
      </c>
      <c r="D2" s="36">
        <v>1249.65686508968</v>
      </c>
      <c r="E2" s="36">
        <v>1460.44236040602</v>
      </c>
      <c r="F2" s="36">
        <v>1212.01659806891</v>
      </c>
      <c r="G2" s="36">
        <v>2115.38300656748</v>
      </c>
      <c r="H2" s="36">
        <v>1829.3169772096</v>
      </c>
      <c r="I2" s="36">
        <v>1189.43243785645</v>
      </c>
      <c r="J2" s="36">
        <v>1495.07140606513</v>
      </c>
      <c r="K2" s="36">
        <v>1648.64369550988</v>
      </c>
      <c r="L2" s="36">
        <v>2184.6410978857</v>
      </c>
      <c r="M2" s="36">
        <v>1698.32884797731</v>
      </c>
      <c r="N2" s="36">
        <v>1517.65556627759</v>
      </c>
      <c r="O2" s="36">
        <f>SUM(C2:N2)</f>
        <v>18970.6945784699</v>
      </c>
      <c r="P2" s="36"/>
      <c r="Q2" s="6"/>
      <c r="R2" s="6"/>
      <c r="S2" s="6"/>
      <c r="T2" s="6"/>
    </row>
    <row r="3" ht="16.8" spans="1:20">
      <c r="A3" s="32"/>
      <c r="B3" s="8" t="s">
        <v>17</v>
      </c>
      <c r="C3" s="8">
        <v>327113.510676</v>
      </c>
      <c r="D3" s="8">
        <v>218075.673784</v>
      </c>
      <c r="E3" s="8">
        <v>654227.021352</v>
      </c>
      <c r="F3" s="8">
        <v>218075.673784</v>
      </c>
      <c r="G3" s="8">
        <v>1690086.471826</v>
      </c>
      <c r="H3" s="8">
        <v>599708.102906</v>
      </c>
      <c r="I3" s="8">
        <v>272594.59223</v>
      </c>
      <c r="J3" s="8">
        <v>1253935.124258</v>
      </c>
      <c r="K3" s="8">
        <v>545189.18446</v>
      </c>
      <c r="L3" s="8">
        <v>4252475.638788</v>
      </c>
      <c r="M3" s="8">
        <v>545189.18446</v>
      </c>
      <c r="N3" s="8">
        <v>327113.510676</v>
      </c>
      <c r="O3" s="8">
        <f>SUM(C3:N3)</f>
        <v>10903783.6892</v>
      </c>
      <c r="P3" s="8"/>
      <c r="Q3" s="10" t="s">
        <v>83</v>
      </c>
      <c r="R3" s="6"/>
      <c r="S3" s="6"/>
      <c r="T3" s="6"/>
    </row>
    <row r="4" ht="16.8" spans="1:20">
      <c r="A4" s="32"/>
      <c r="B4" s="8" t="s">
        <v>84</v>
      </c>
      <c r="C4" s="8">
        <v>251496.4296</v>
      </c>
      <c r="D4" s="8">
        <v>167715.481</v>
      </c>
      <c r="E4" s="8">
        <v>495563.9307</v>
      </c>
      <c r="F4" s="8">
        <v>176169.6024</v>
      </c>
      <c r="G4" s="8">
        <v>1278821.576</v>
      </c>
      <c r="H4" s="8">
        <v>483802.8212</v>
      </c>
      <c r="I4" s="8">
        <v>204218.6497</v>
      </c>
      <c r="J4" s="8">
        <v>890293.6471</v>
      </c>
      <c r="K4" s="8">
        <v>350077.4088</v>
      </c>
      <c r="L4" s="8">
        <v>3055502.808</v>
      </c>
      <c r="M4" s="8">
        <v>381768.7292</v>
      </c>
      <c r="N4" s="8">
        <v>245087.4765</v>
      </c>
      <c r="O4" s="8">
        <f>SUM(C4:N4)</f>
        <v>7980518.5602</v>
      </c>
      <c r="P4" s="8"/>
      <c r="Q4" s="10" t="s">
        <v>83</v>
      </c>
      <c r="R4" s="6"/>
      <c r="S4" s="6"/>
      <c r="T4" s="6"/>
    </row>
    <row r="5" ht="16.8" spans="1:20">
      <c r="A5" s="32"/>
      <c r="B5" s="8" t="s">
        <v>18</v>
      </c>
      <c r="C5" s="8">
        <f t="shared" ref="C5:N5" si="0">C4*15%</f>
        <v>37724.46444</v>
      </c>
      <c r="D5" s="8">
        <f t="shared" si="0"/>
        <v>25157.32215</v>
      </c>
      <c r="E5" s="8">
        <f t="shared" si="0"/>
        <v>74334.589605</v>
      </c>
      <c r="F5" s="8">
        <f t="shared" si="0"/>
        <v>26425.44036</v>
      </c>
      <c r="G5" s="8">
        <f t="shared" si="0"/>
        <v>191823.2364</v>
      </c>
      <c r="H5" s="8">
        <f t="shared" si="0"/>
        <v>72570.42318</v>
      </c>
      <c r="I5" s="8">
        <f t="shared" si="0"/>
        <v>30632.797455</v>
      </c>
      <c r="J5" s="8">
        <f t="shared" si="0"/>
        <v>133544.047065</v>
      </c>
      <c r="K5" s="8">
        <f t="shared" si="0"/>
        <v>52511.61132</v>
      </c>
      <c r="L5" s="8">
        <f t="shared" si="0"/>
        <v>458325.4212</v>
      </c>
      <c r="M5" s="8">
        <f t="shared" si="0"/>
        <v>57265.30938</v>
      </c>
      <c r="N5" s="8">
        <f t="shared" si="0"/>
        <v>36763.121475</v>
      </c>
      <c r="O5" s="8">
        <f>SUM(C5:N5)</f>
        <v>1197077.78403</v>
      </c>
      <c r="P5" s="8"/>
      <c r="Q5" s="11" t="s">
        <v>83</v>
      </c>
      <c r="R5" s="6"/>
      <c r="S5" s="6"/>
      <c r="T5" s="6"/>
    </row>
    <row r="6" ht="16.8" spans="1:20">
      <c r="A6" s="32"/>
      <c r="B6" s="12" t="s">
        <v>85</v>
      </c>
      <c r="C6" s="12">
        <f t="shared" ref="C6:N6" si="1">C3*(1-15%)</f>
        <v>278046.4840746</v>
      </c>
      <c r="D6" s="12">
        <f t="shared" si="1"/>
        <v>185364.3227164</v>
      </c>
      <c r="E6" s="12">
        <f t="shared" si="1"/>
        <v>556092.9681492</v>
      </c>
      <c r="F6" s="12">
        <f t="shared" si="1"/>
        <v>185364.3227164</v>
      </c>
      <c r="G6" s="12">
        <f t="shared" si="1"/>
        <v>1436573.5010521</v>
      </c>
      <c r="H6" s="12">
        <f t="shared" si="1"/>
        <v>509751.8874701</v>
      </c>
      <c r="I6" s="12">
        <f t="shared" si="1"/>
        <v>231705.4033955</v>
      </c>
      <c r="J6" s="12">
        <f t="shared" si="1"/>
        <v>1065844.8556193</v>
      </c>
      <c r="K6" s="12">
        <f t="shared" si="1"/>
        <v>463410.806791</v>
      </c>
      <c r="L6" s="12">
        <f t="shared" si="1"/>
        <v>3614604.2929698</v>
      </c>
      <c r="M6" s="12">
        <f t="shared" si="1"/>
        <v>463410.806791</v>
      </c>
      <c r="N6" s="12">
        <f t="shared" si="1"/>
        <v>278046.4840746</v>
      </c>
      <c r="O6" s="12">
        <f>SUM(C6:N6)</f>
        <v>9268216.13582</v>
      </c>
      <c r="P6" s="12"/>
      <c r="Q6" s="11" t="s">
        <v>83</v>
      </c>
      <c r="R6" s="6"/>
      <c r="S6" s="6"/>
      <c r="T6" s="6"/>
    </row>
    <row r="7" ht="16.8" spans="1:20">
      <c r="A7" s="32"/>
      <c r="B7" s="14" t="s">
        <v>20</v>
      </c>
      <c r="C7" s="14">
        <f t="shared" ref="C7:N7" si="2">(C3-C4)/C3</f>
        <v>0.231164652660579</v>
      </c>
      <c r="D7" s="14">
        <f t="shared" si="2"/>
        <v>0.230929896536194</v>
      </c>
      <c r="E7" s="14">
        <f t="shared" si="2"/>
        <v>0.242519928822434</v>
      </c>
      <c r="F7" s="14">
        <f t="shared" si="2"/>
        <v>0.192162980202492</v>
      </c>
      <c r="G7" s="14">
        <f t="shared" si="2"/>
        <v>0.24333955846748</v>
      </c>
      <c r="H7" s="14">
        <f t="shared" si="2"/>
        <v>0.193269494182851</v>
      </c>
      <c r="I7" s="14">
        <f t="shared" si="2"/>
        <v>0.2508338187146</v>
      </c>
      <c r="J7" s="14">
        <f t="shared" si="2"/>
        <v>0.290000232167657</v>
      </c>
      <c r="K7" s="14">
        <f t="shared" si="2"/>
        <v>0.35787902845735</v>
      </c>
      <c r="L7" s="14">
        <f t="shared" si="2"/>
        <v>0.281476704973941</v>
      </c>
      <c r="M7" s="14">
        <f t="shared" si="2"/>
        <v>0.299749994897395</v>
      </c>
      <c r="N7" s="14">
        <f t="shared" si="2"/>
        <v>0.250757096539633</v>
      </c>
      <c r="O7" s="14">
        <f>1-O8/O6</f>
        <v>0.268096397757362</v>
      </c>
      <c r="P7" s="14"/>
      <c r="Q7" s="6" t="s">
        <v>83</v>
      </c>
      <c r="R7" s="6"/>
      <c r="S7" s="6"/>
      <c r="T7" s="6"/>
    </row>
    <row r="8" ht="16.8" spans="1:20">
      <c r="A8" s="32"/>
      <c r="B8" s="12" t="s">
        <v>86</v>
      </c>
      <c r="C8" s="12">
        <f t="shared" ref="C8:N8" si="3">C4-C5</f>
        <v>213771.96516</v>
      </c>
      <c r="D8" s="12">
        <f t="shared" si="3"/>
        <v>142558.15885</v>
      </c>
      <c r="E8" s="12">
        <f t="shared" si="3"/>
        <v>421229.341095</v>
      </c>
      <c r="F8" s="12">
        <f t="shared" si="3"/>
        <v>149744.16204</v>
      </c>
      <c r="G8" s="12">
        <f t="shared" si="3"/>
        <v>1086998.3396</v>
      </c>
      <c r="H8" s="12">
        <f t="shared" si="3"/>
        <v>411232.39802</v>
      </c>
      <c r="I8" s="12">
        <f t="shared" si="3"/>
        <v>173585.852245</v>
      </c>
      <c r="J8" s="12">
        <f t="shared" si="3"/>
        <v>756749.600035</v>
      </c>
      <c r="K8" s="12">
        <f t="shared" si="3"/>
        <v>297565.79748</v>
      </c>
      <c r="L8" s="12">
        <f t="shared" si="3"/>
        <v>2597177.3868</v>
      </c>
      <c r="M8" s="12">
        <f t="shared" si="3"/>
        <v>324503.41982</v>
      </c>
      <c r="N8" s="12">
        <f t="shared" si="3"/>
        <v>208324.355025</v>
      </c>
      <c r="O8" s="12">
        <f>SUM(C8:N8)</f>
        <v>6783440.77617</v>
      </c>
      <c r="P8" s="12"/>
      <c r="Q8" s="6" t="s">
        <v>83</v>
      </c>
      <c r="R8" s="6"/>
      <c r="S8" s="6"/>
      <c r="T8" s="6"/>
    </row>
    <row r="9" ht="16.8" spans="1:20">
      <c r="A9" s="6"/>
      <c r="B9" s="4"/>
      <c r="C9" s="5">
        <f t="shared" ref="C9:O9" si="4">C10-C14-C15</f>
        <v>0</v>
      </c>
      <c r="D9" s="5">
        <f t="shared" si="4"/>
        <v>0</v>
      </c>
      <c r="E9" s="5">
        <f t="shared" si="4"/>
        <v>0</v>
      </c>
      <c r="F9" s="5">
        <f t="shared" si="4"/>
        <v>0</v>
      </c>
      <c r="G9" s="5">
        <f t="shared" si="4"/>
        <v>0</v>
      </c>
      <c r="H9" s="5">
        <f t="shared" si="4"/>
        <v>0</v>
      </c>
      <c r="I9" s="5">
        <f t="shared" si="4"/>
        <v>0</v>
      </c>
      <c r="J9" s="5">
        <f t="shared" si="4"/>
        <v>0</v>
      </c>
      <c r="K9" s="5">
        <f t="shared" si="4"/>
        <v>0</v>
      </c>
      <c r="L9" s="5">
        <f t="shared" si="4"/>
        <v>0</v>
      </c>
      <c r="M9" s="5">
        <f t="shared" si="4"/>
        <v>0</v>
      </c>
      <c r="N9" s="5">
        <f t="shared" si="4"/>
        <v>0</v>
      </c>
      <c r="O9" s="5">
        <f t="shared" si="4"/>
        <v>0</v>
      </c>
      <c r="P9" s="36"/>
      <c r="Q9" s="6"/>
      <c r="R9" s="6"/>
      <c r="S9" s="6"/>
      <c r="T9" s="6"/>
    </row>
    <row r="10" ht="16.8" spans="1:20">
      <c r="A10" s="32"/>
      <c r="B10" s="12" t="s">
        <v>22</v>
      </c>
      <c r="C10" s="12">
        <v>314633.60857908</v>
      </c>
      <c r="D10" s="12">
        <v>209819.785853556</v>
      </c>
      <c r="E10" s="12">
        <v>562452.577292968</v>
      </c>
      <c r="F10" s="12">
        <v>220396.280826778</v>
      </c>
      <c r="G10" s="12">
        <v>1451430.27319009</v>
      </c>
      <c r="H10" s="12">
        <v>549104.01429171</v>
      </c>
      <c r="I10" s="12">
        <v>255486.929959414</v>
      </c>
      <c r="J10" s="12">
        <v>1010460.86153128</v>
      </c>
      <c r="K10" s="12">
        <v>437962.950758159</v>
      </c>
      <c r="L10" s="12">
        <v>3467918.71405564</v>
      </c>
      <c r="M10" s="12">
        <v>433297.890274404</v>
      </c>
      <c r="N10" s="12">
        <v>306615.713278243</v>
      </c>
      <c r="O10" s="12">
        <f t="shared" ref="O10:O16" si="5">SUM(C10:N10)</f>
        <v>9219579.59989132</v>
      </c>
      <c r="P10" s="12"/>
      <c r="Q10" s="6"/>
      <c r="R10" s="6"/>
      <c r="S10" s="6"/>
      <c r="T10" s="6"/>
    </row>
    <row r="11" ht="16.8" spans="1:20">
      <c r="A11" s="6"/>
      <c r="B11" s="17" t="s">
        <v>23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>
        <f t="shared" si="5"/>
        <v>0</v>
      </c>
      <c r="P11" s="37"/>
      <c r="Q11" s="6" t="s">
        <v>88</v>
      </c>
      <c r="R11" s="6"/>
      <c r="S11" s="6"/>
      <c r="T11" s="6"/>
    </row>
    <row r="12" ht="16.8" spans="1:20">
      <c r="A12" s="6"/>
      <c r="B12" s="17" t="s">
        <v>25</v>
      </c>
      <c r="C12" s="37">
        <f t="shared" ref="C12:N12" si="6">C5</f>
        <v>37724.46444</v>
      </c>
      <c r="D12" s="37">
        <f t="shared" si="6"/>
        <v>25157.32215</v>
      </c>
      <c r="E12" s="37">
        <f t="shared" si="6"/>
        <v>74334.589605</v>
      </c>
      <c r="F12" s="37">
        <f t="shared" si="6"/>
        <v>26425.44036</v>
      </c>
      <c r="G12" s="37">
        <f t="shared" si="6"/>
        <v>191823.2364</v>
      </c>
      <c r="H12" s="37">
        <f t="shared" si="6"/>
        <v>72570.42318</v>
      </c>
      <c r="I12" s="37">
        <f t="shared" si="6"/>
        <v>30632.797455</v>
      </c>
      <c r="J12" s="37">
        <f t="shared" si="6"/>
        <v>133544.047065</v>
      </c>
      <c r="K12" s="37">
        <f t="shared" si="6"/>
        <v>52511.61132</v>
      </c>
      <c r="L12" s="37">
        <f t="shared" si="6"/>
        <v>458325.4212</v>
      </c>
      <c r="M12" s="37">
        <f t="shared" si="6"/>
        <v>57265.30938</v>
      </c>
      <c r="N12" s="37">
        <f t="shared" si="6"/>
        <v>36763.121475</v>
      </c>
      <c r="O12" s="37">
        <f t="shared" si="5"/>
        <v>1197077.78403</v>
      </c>
      <c r="P12" s="39">
        <v>0.15</v>
      </c>
      <c r="Q12" s="6" t="s">
        <v>83</v>
      </c>
      <c r="R12" s="20">
        <f>O12/$O$10</f>
        <v>0.129840820946338</v>
      </c>
      <c r="S12" s="6"/>
      <c r="T12" s="6"/>
    </row>
    <row r="13" ht="16.8" spans="1:20">
      <c r="A13" s="6"/>
      <c r="B13" s="17" t="s">
        <v>27</v>
      </c>
      <c r="C13" s="37">
        <v>63137.1789790795</v>
      </c>
      <c r="D13" s="37">
        <v>42104.3048535565</v>
      </c>
      <c r="E13" s="37">
        <v>66888.6465929677</v>
      </c>
      <c r="F13" s="37">
        <v>44226.6784267782</v>
      </c>
      <c r="G13" s="37">
        <v>172608.697190088</v>
      </c>
      <c r="H13" s="37">
        <v>65301.1930917101</v>
      </c>
      <c r="I13" s="37">
        <v>51268.2802594142</v>
      </c>
      <c r="J13" s="37">
        <v>120167.214431283</v>
      </c>
      <c r="K13" s="37">
        <v>87885.541958159</v>
      </c>
      <c r="L13" s="37">
        <v>412415.906055635</v>
      </c>
      <c r="M13" s="37">
        <v>51529.1610744042</v>
      </c>
      <c r="N13" s="37">
        <v>61528.2367782427</v>
      </c>
      <c r="O13" s="37">
        <f t="shared" si="5"/>
        <v>1239061.03969132</v>
      </c>
      <c r="P13" s="37"/>
      <c r="Q13" s="6" t="s">
        <v>83</v>
      </c>
      <c r="R13" s="20">
        <f>O13/$O$10</f>
        <v>0.134394527024413</v>
      </c>
      <c r="S13" s="6"/>
      <c r="T13" s="6"/>
    </row>
    <row r="14" ht="16.8" spans="1:20">
      <c r="A14" s="6"/>
      <c r="B14" s="21" t="s">
        <v>28</v>
      </c>
      <c r="C14" s="40">
        <f t="shared" ref="C14:N14" si="7">SUM(C11:C13)</f>
        <v>100861.643419079</v>
      </c>
      <c r="D14" s="40">
        <f t="shared" si="7"/>
        <v>67261.6270035565</v>
      </c>
      <c r="E14" s="40">
        <f t="shared" si="7"/>
        <v>141223.236197968</v>
      </c>
      <c r="F14" s="40">
        <f t="shared" si="7"/>
        <v>70652.1187867782</v>
      </c>
      <c r="G14" s="40">
        <f t="shared" si="7"/>
        <v>364431.933590088</v>
      </c>
      <c r="H14" s="40">
        <f t="shared" si="7"/>
        <v>137871.61627171</v>
      </c>
      <c r="I14" s="40">
        <f t="shared" si="7"/>
        <v>81901.0777144142</v>
      </c>
      <c r="J14" s="40">
        <f t="shared" si="7"/>
        <v>253711.261496283</v>
      </c>
      <c r="K14" s="40">
        <f t="shared" si="7"/>
        <v>140397.153278159</v>
      </c>
      <c r="L14" s="40">
        <f t="shared" si="7"/>
        <v>870741.327255635</v>
      </c>
      <c r="M14" s="40">
        <f t="shared" si="7"/>
        <v>108794.470454404</v>
      </c>
      <c r="N14" s="40">
        <f t="shared" si="7"/>
        <v>98291.3582532427</v>
      </c>
      <c r="O14" s="40">
        <f t="shared" si="5"/>
        <v>2436138.82372132</v>
      </c>
      <c r="P14" s="80">
        <f>O14/O10</f>
        <v>0.264235347970751</v>
      </c>
      <c r="Q14" s="6"/>
      <c r="R14" s="6"/>
      <c r="S14" s="6"/>
      <c r="T14" s="6"/>
    </row>
    <row r="15" ht="16.8" spans="1:20">
      <c r="A15" s="32"/>
      <c r="B15" s="12" t="s">
        <v>29</v>
      </c>
      <c r="C15" s="12">
        <f t="shared" ref="C15:N15" si="8">C8</f>
        <v>213771.96516</v>
      </c>
      <c r="D15" s="12">
        <f t="shared" si="8"/>
        <v>142558.15885</v>
      </c>
      <c r="E15" s="12">
        <f t="shared" si="8"/>
        <v>421229.341095</v>
      </c>
      <c r="F15" s="12">
        <f t="shared" si="8"/>
        <v>149744.16204</v>
      </c>
      <c r="G15" s="12">
        <f t="shared" si="8"/>
        <v>1086998.3396</v>
      </c>
      <c r="H15" s="12">
        <f t="shared" si="8"/>
        <v>411232.39802</v>
      </c>
      <c r="I15" s="12">
        <f t="shared" si="8"/>
        <v>173585.852245</v>
      </c>
      <c r="J15" s="12">
        <f t="shared" si="8"/>
        <v>756749.600035</v>
      </c>
      <c r="K15" s="12">
        <f t="shared" si="8"/>
        <v>297565.79748</v>
      </c>
      <c r="L15" s="12">
        <f t="shared" si="8"/>
        <v>2597177.3868</v>
      </c>
      <c r="M15" s="12">
        <f t="shared" si="8"/>
        <v>324503.41982</v>
      </c>
      <c r="N15" s="12">
        <f t="shared" si="8"/>
        <v>208324.355025</v>
      </c>
      <c r="O15" s="12">
        <f t="shared" si="5"/>
        <v>6783440.77617</v>
      </c>
      <c r="P15" s="12"/>
      <c r="Q15" s="6"/>
      <c r="R15" s="6"/>
      <c r="S15" s="6"/>
      <c r="T15" s="6"/>
    </row>
    <row r="16" ht="16.8" spans="1:20">
      <c r="A16" s="32"/>
      <c r="B16" s="12" t="s">
        <v>30</v>
      </c>
      <c r="C16" s="12">
        <f t="shared" ref="C16:N16" si="9">+C8/1.13</f>
        <v>189178.730230089</v>
      </c>
      <c r="D16" s="12">
        <f t="shared" si="9"/>
        <v>126157.662699115</v>
      </c>
      <c r="E16" s="12">
        <f t="shared" si="9"/>
        <v>372769.328402655</v>
      </c>
      <c r="F16" s="12">
        <f t="shared" si="9"/>
        <v>132516.957557522</v>
      </c>
      <c r="G16" s="12">
        <f t="shared" si="9"/>
        <v>961945.433274336</v>
      </c>
      <c r="H16" s="12">
        <f t="shared" si="9"/>
        <v>363922.476123894</v>
      </c>
      <c r="I16" s="12">
        <f t="shared" si="9"/>
        <v>153615.798446903</v>
      </c>
      <c r="J16" s="12">
        <f t="shared" si="9"/>
        <v>669689.911535398</v>
      </c>
      <c r="K16" s="12">
        <f t="shared" si="9"/>
        <v>263332.564141593</v>
      </c>
      <c r="L16" s="12">
        <f t="shared" si="9"/>
        <v>2298387.0679646</v>
      </c>
      <c r="M16" s="12">
        <f t="shared" si="9"/>
        <v>287171.167982301</v>
      </c>
      <c r="N16" s="12">
        <f t="shared" si="9"/>
        <v>184357.83630531</v>
      </c>
      <c r="O16" s="12">
        <f t="shared" si="5"/>
        <v>6003044.93466372</v>
      </c>
      <c r="P16" s="12"/>
      <c r="Q16" s="6"/>
      <c r="R16" s="6"/>
      <c r="S16" s="6"/>
      <c r="T16" s="6"/>
    </row>
    <row r="17" spans="1:20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ht="16.8" spans="1:20">
      <c r="A18" s="6"/>
      <c r="B18" s="17" t="s">
        <v>31</v>
      </c>
      <c r="C18" s="37">
        <f t="shared" ref="C18:N18" si="10">C64*C65</f>
        <v>92599.5310076596</v>
      </c>
      <c r="D18" s="37">
        <f t="shared" si="10"/>
        <v>61489.5092226696</v>
      </c>
      <c r="E18" s="37">
        <f t="shared" si="10"/>
        <v>191689.537526969</v>
      </c>
      <c r="F18" s="37">
        <f t="shared" si="10"/>
        <v>68328.6386451429</v>
      </c>
      <c r="G18" s="37">
        <f t="shared" si="10"/>
        <v>441845.765034006</v>
      </c>
      <c r="H18" s="37">
        <f t="shared" si="10"/>
        <v>169806.943399378</v>
      </c>
      <c r="I18" s="37">
        <f t="shared" si="10"/>
        <v>66212.2695923327</v>
      </c>
      <c r="J18" s="37">
        <f t="shared" si="10"/>
        <v>287863.093053972</v>
      </c>
      <c r="K18" s="37">
        <f t="shared" si="10"/>
        <v>111235.397664251</v>
      </c>
      <c r="L18" s="37">
        <f t="shared" si="10"/>
        <v>955208.742862218</v>
      </c>
      <c r="M18" s="37">
        <f t="shared" si="10"/>
        <v>116599.29266351</v>
      </c>
      <c r="N18" s="37">
        <f t="shared" si="10"/>
        <v>74113.3536225535</v>
      </c>
      <c r="O18" s="37">
        <f>SUM(C18:N18)</f>
        <v>2636992.07429466</v>
      </c>
      <c r="P18" s="38">
        <f>O18/O16</f>
        <v>0.439275751388721</v>
      </c>
      <c r="Q18" s="6"/>
      <c r="R18" s="6"/>
      <c r="S18" s="6"/>
      <c r="T18" s="6"/>
    </row>
    <row r="19" ht="16.8" spans="1:20">
      <c r="A19" s="6"/>
      <c r="B19" s="21" t="s">
        <v>32</v>
      </c>
      <c r="C19" s="40">
        <f t="shared" ref="C19:N19" si="11">C16-C18</f>
        <v>96579.1992224289</v>
      </c>
      <c r="D19" s="40">
        <f t="shared" si="11"/>
        <v>64668.1534764454</v>
      </c>
      <c r="E19" s="40">
        <f t="shared" si="11"/>
        <v>181079.790875686</v>
      </c>
      <c r="F19" s="40">
        <f t="shared" si="11"/>
        <v>64188.3189123793</v>
      </c>
      <c r="G19" s="40">
        <f t="shared" si="11"/>
        <v>520099.66824033</v>
      </c>
      <c r="H19" s="40">
        <f t="shared" si="11"/>
        <v>194115.532724516</v>
      </c>
      <c r="I19" s="40">
        <f t="shared" si="11"/>
        <v>87403.52885457</v>
      </c>
      <c r="J19" s="40">
        <f t="shared" si="11"/>
        <v>381826.818481426</v>
      </c>
      <c r="K19" s="40">
        <f t="shared" si="11"/>
        <v>152097.166477342</v>
      </c>
      <c r="L19" s="40">
        <f t="shared" si="11"/>
        <v>1343178.32510238</v>
      </c>
      <c r="M19" s="40">
        <f t="shared" si="11"/>
        <v>170571.875318791</v>
      </c>
      <c r="N19" s="40">
        <f t="shared" si="11"/>
        <v>110244.482682756</v>
      </c>
      <c r="O19" s="40">
        <f>SUM(C19:N19)</f>
        <v>3366052.86036905</v>
      </c>
      <c r="P19" s="41">
        <f>O19/$O$16</f>
        <v>0.560724248611279</v>
      </c>
      <c r="Q19" s="6"/>
      <c r="R19" s="6"/>
      <c r="S19" s="6"/>
      <c r="T19" s="6"/>
    </row>
    <row r="20" ht="16.8" spans="1:20">
      <c r="A20" s="36"/>
      <c r="B20" s="4" t="s">
        <v>33</v>
      </c>
      <c r="C20" s="36">
        <f t="shared" ref="C20:N20" si="12">C16*2.5%</f>
        <v>4729.46825575221</v>
      </c>
      <c r="D20" s="36">
        <f t="shared" si="12"/>
        <v>3153.94156747788</v>
      </c>
      <c r="E20" s="36">
        <f t="shared" si="12"/>
        <v>9319.23321006638</v>
      </c>
      <c r="F20" s="36">
        <f t="shared" si="12"/>
        <v>3312.92393893805</v>
      </c>
      <c r="G20" s="36">
        <f t="shared" si="12"/>
        <v>24048.6358318584</v>
      </c>
      <c r="H20" s="36">
        <f t="shared" si="12"/>
        <v>9098.06190309735</v>
      </c>
      <c r="I20" s="36">
        <f t="shared" si="12"/>
        <v>3840.39496117257</v>
      </c>
      <c r="J20" s="36">
        <f t="shared" si="12"/>
        <v>16742.247788385</v>
      </c>
      <c r="K20" s="36">
        <f t="shared" si="12"/>
        <v>6583.31410353982</v>
      </c>
      <c r="L20" s="36">
        <f t="shared" si="12"/>
        <v>57459.6766991151</v>
      </c>
      <c r="M20" s="36">
        <f t="shared" si="12"/>
        <v>7179.27919955752</v>
      </c>
      <c r="N20" s="36">
        <f t="shared" si="12"/>
        <v>4608.94590763274</v>
      </c>
      <c r="O20" s="36">
        <f>SUM(C20:N20)</f>
        <v>150076.123366593</v>
      </c>
      <c r="P20" s="42">
        <v>0.025</v>
      </c>
      <c r="Q20" s="6"/>
      <c r="R20" s="6"/>
      <c r="S20" s="6"/>
      <c r="T20" s="6"/>
    </row>
    <row r="21" ht="16.8" spans="1:20">
      <c r="A21" s="6"/>
      <c r="B21" s="21" t="s">
        <v>35</v>
      </c>
      <c r="C21" s="40">
        <f t="shared" ref="C21:N21" si="13">SUM(C18,C20)</f>
        <v>97328.9992634118</v>
      </c>
      <c r="D21" s="40">
        <f t="shared" si="13"/>
        <v>64643.4507901475</v>
      </c>
      <c r="E21" s="40">
        <f t="shared" si="13"/>
        <v>201008.770737036</v>
      </c>
      <c r="F21" s="40">
        <f t="shared" si="13"/>
        <v>71641.5625840809</v>
      </c>
      <c r="G21" s="40">
        <f t="shared" si="13"/>
        <v>465894.400865865</v>
      </c>
      <c r="H21" s="40">
        <f t="shared" si="13"/>
        <v>178905.005302475</v>
      </c>
      <c r="I21" s="40">
        <f t="shared" si="13"/>
        <v>70052.6645535053</v>
      </c>
      <c r="J21" s="40">
        <f t="shared" si="13"/>
        <v>304605.340842357</v>
      </c>
      <c r="K21" s="40">
        <f t="shared" si="13"/>
        <v>117818.711767791</v>
      </c>
      <c r="L21" s="40">
        <f t="shared" si="13"/>
        <v>1012668.41956133</v>
      </c>
      <c r="M21" s="40">
        <f t="shared" si="13"/>
        <v>123778.571863068</v>
      </c>
      <c r="N21" s="40">
        <f t="shared" si="13"/>
        <v>78722.2995301863</v>
      </c>
      <c r="O21" s="40">
        <f>SUM(C21:N21)</f>
        <v>2787068.19766126</v>
      </c>
      <c r="P21" s="41">
        <f>O21/$O$16</f>
        <v>0.464275751388722</v>
      </c>
      <c r="Q21" s="6"/>
      <c r="R21" s="6"/>
      <c r="S21" s="6"/>
      <c r="T21" s="6"/>
    </row>
    <row r="22" ht="16.8" spans="1:20">
      <c r="A22" s="32"/>
      <c r="B22" s="12" t="s">
        <v>36</v>
      </c>
      <c r="C22" s="12">
        <f t="shared" ref="C22:N22" si="14">C16-C21</f>
        <v>91849.7309666767</v>
      </c>
      <c r="D22" s="12">
        <f t="shared" si="14"/>
        <v>61514.2119089676</v>
      </c>
      <c r="E22" s="12">
        <f t="shared" si="14"/>
        <v>171760.557665619</v>
      </c>
      <c r="F22" s="12">
        <f t="shared" si="14"/>
        <v>60875.3949734412</v>
      </c>
      <c r="G22" s="12">
        <f t="shared" si="14"/>
        <v>496051.032408472</v>
      </c>
      <c r="H22" s="12">
        <f t="shared" si="14"/>
        <v>185017.470821419</v>
      </c>
      <c r="I22" s="12">
        <f t="shared" si="14"/>
        <v>83563.1338933974</v>
      </c>
      <c r="J22" s="12">
        <f t="shared" si="14"/>
        <v>365084.570693041</v>
      </c>
      <c r="K22" s="12">
        <f t="shared" si="14"/>
        <v>145513.852373802</v>
      </c>
      <c r="L22" s="12">
        <f t="shared" si="14"/>
        <v>1285718.64840327</v>
      </c>
      <c r="M22" s="12">
        <f t="shared" si="14"/>
        <v>163392.596119233</v>
      </c>
      <c r="N22" s="12">
        <f t="shared" si="14"/>
        <v>105635.536775123</v>
      </c>
      <c r="O22" s="12">
        <f>SUM(C22:N22)</f>
        <v>3215976.73700246</v>
      </c>
      <c r="P22" s="43">
        <f>O22/$O$16</f>
        <v>0.535724248611279</v>
      </c>
      <c r="Q22" s="6"/>
      <c r="R22" s="6"/>
      <c r="S22" s="6"/>
      <c r="T22" s="6"/>
    </row>
    <row r="23" ht="16.8" spans="1:20">
      <c r="A23" s="6"/>
      <c r="B23" s="14" t="s">
        <v>37</v>
      </c>
      <c r="C23" s="44">
        <f t="shared" ref="C23:O23" si="15">C19/C16</f>
        <v>0.510518276050191</v>
      </c>
      <c r="D23" s="44">
        <f t="shared" si="15"/>
        <v>0.512597904026476</v>
      </c>
      <c r="E23" s="44">
        <f t="shared" si="15"/>
        <v>0.485769018743109</v>
      </c>
      <c r="F23" s="44">
        <f t="shared" si="15"/>
        <v>0.484378151260504</v>
      </c>
      <c r="G23" s="44">
        <f t="shared" si="15"/>
        <v>0.54067481402763</v>
      </c>
      <c r="H23" s="44">
        <f t="shared" si="15"/>
        <v>0.533398032438181</v>
      </c>
      <c r="I23" s="44">
        <f t="shared" si="15"/>
        <v>0.56897486937049</v>
      </c>
      <c r="J23" s="44">
        <f t="shared" si="15"/>
        <v>0.570154652032926</v>
      </c>
      <c r="K23" s="44">
        <f t="shared" si="15"/>
        <v>0.577585863613738</v>
      </c>
      <c r="L23" s="44">
        <f t="shared" si="15"/>
        <v>0.584400401404917</v>
      </c>
      <c r="M23" s="44">
        <f t="shared" si="15"/>
        <v>0.59397284385215</v>
      </c>
      <c r="N23" s="44">
        <f t="shared" si="15"/>
        <v>0.597991845056065</v>
      </c>
      <c r="O23" s="44">
        <f t="shared" si="15"/>
        <v>0.560724248611279</v>
      </c>
      <c r="P23" s="42"/>
      <c r="Q23" s="6"/>
      <c r="R23" s="6"/>
      <c r="S23" s="6"/>
      <c r="T23" s="6"/>
    </row>
    <row r="24" ht="16.8" spans="1:20">
      <c r="A24" s="6"/>
      <c r="B24" s="14" t="s">
        <v>38</v>
      </c>
      <c r="C24" s="44">
        <f t="shared" ref="C24:O24" si="16">IFERROR(1-C21/C16,0)</f>
        <v>0.485518276050191</v>
      </c>
      <c r="D24" s="44">
        <f t="shared" si="16"/>
        <v>0.487597904026476</v>
      </c>
      <c r="E24" s="44">
        <f t="shared" si="16"/>
        <v>0.460769018743109</v>
      </c>
      <c r="F24" s="44">
        <f t="shared" si="16"/>
        <v>0.459378151260504</v>
      </c>
      <c r="G24" s="44">
        <f t="shared" si="16"/>
        <v>0.51567481402763</v>
      </c>
      <c r="H24" s="44">
        <f t="shared" si="16"/>
        <v>0.508398032438181</v>
      </c>
      <c r="I24" s="44">
        <f t="shared" si="16"/>
        <v>0.54397486937049</v>
      </c>
      <c r="J24" s="44">
        <f t="shared" si="16"/>
        <v>0.545154652032926</v>
      </c>
      <c r="K24" s="44">
        <f t="shared" si="16"/>
        <v>0.552585863613738</v>
      </c>
      <c r="L24" s="44">
        <f t="shared" si="16"/>
        <v>0.559400401404917</v>
      </c>
      <c r="M24" s="44">
        <f t="shared" si="16"/>
        <v>0.56897284385215</v>
      </c>
      <c r="N24" s="44">
        <f t="shared" si="16"/>
        <v>0.572991845056065</v>
      </c>
      <c r="O24" s="44">
        <f t="shared" si="16"/>
        <v>0.535724248611278</v>
      </c>
      <c r="P24" s="42"/>
      <c r="Q24" s="6"/>
      <c r="R24" s="6"/>
      <c r="S24" s="6"/>
      <c r="T24" s="6"/>
    </row>
    <row r="25" ht="16.8" spans="1:20">
      <c r="A25" s="6"/>
      <c r="B25" s="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42"/>
      <c r="Q25" s="6"/>
      <c r="R25" s="6"/>
      <c r="S25" s="6"/>
      <c r="T25" s="6"/>
    </row>
    <row r="26" ht="16.8" spans="1:20">
      <c r="A26" s="6"/>
      <c r="B26" s="17" t="s">
        <v>39</v>
      </c>
      <c r="C26" s="37">
        <f t="shared" ref="C26:N26" si="17">SUM(C27:C31)</f>
        <v>5807.72095639577</v>
      </c>
      <c r="D26" s="37">
        <f t="shared" si="17"/>
        <v>20397.761287936</v>
      </c>
      <c r="E26" s="37">
        <f t="shared" si="17"/>
        <v>36773.3801745794</v>
      </c>
      <c r="F26" s="37">
        <f t="shared" si="17"/>
        <v>20272.2787014281</v>
      </c>
      <c r="G26" s="37">
        <f t="shared" si="17"/>
        <v>91136.3128001331</v>
      </c>
      <c r="H26" s="37">
        <f t="shared" si="17"/>
        <v>51352.3933684122</v>
      </c>
      <c r="I26" s="37">
        <f t="shared" si="17"/>
        <v>9358.10442805757</v>
      </c>
      <c r="J26" s="37">
        <f t="shared" si="17"/>
        <v>16641.0784640835</v>
      </c>
      <c r="K26" s="37">
        <f t="shared" si="17"/>
        <v>13021.787110726</v>
      </c>
      <c r="L26" s="37">
        <f t="shared" si="17"/>
        <v>50497.8062119804</v>
      </c>
      <c r="M26" s="37">
        <f t="shared" si="17"/>
        <v>18207.4705585143</v>
      </c>
      <c r="N26" s="37">
        <f t="shared" si="17"/>
        <v>10744.6414828282</v>
      </c>
      <c r="O26" s="37">
        <f t="shared" ref="O26:O31" si="18">SUM(C26:N26)</f>
        <v>344210.735545074</v>
      </c>
      <c r="P26" s="38">
        <f t="shared" ref="P26:P31" si="19">O26/$O$16</f>
        <v>0.0573393568249805</v>
      </c>
      <c r="Q26" s="6"/>
      <c r="R26" s="6"/>
      <c r="S26" s="6"/>
      <c r="T26" s="6"/>
    </row>
    <row r="27" ht="16.8" spans="1:20">
      <c r="A27" s="36"/>
      <c r="B27" s="4" t="s">
        <v>40</v>
      </c>
      <c r="C27" s="45">
        <v>0</v>
      </c>
      <c r="D27" s="45">
        <v>0</v>
      </c>
      <c r="E27" s="45">
        <v>1004.73716323987</v>
      </c>
      <c r="F27" s="45">
        <v>824.076369976751</v>
      </c>
      <c r="G27" s="45">
        <v>1815.46439840903</v>
      </c>
      <c r="H27" s="45">
        <v>1556.13313237613</v>
      </c>
      <c r="I27" s="45">
        <v>995.543024261444</v>
      </c>
      <c r="J27" s="45">
        <v>1410.26088678674</v>
      </c>
      <c r="K27" s="45">
        <v>1103.54128057</v>
      </c>
      <c r="L27" s="45">
        <v>2019.91224847922</v>
      </c>
      <c r="M27" s="45">
        <v>1400.57465834725</v>
      </c>
      <c r="N27" s="45">
        <v>0</v>
      </c>
      <c r="O27" s="36">
        <f t="shared" si="18"/>
        <v>12130.2431624464</v>
      </c>
      <c r="P27" s="42">
        <f t="shared" si="19"/>
        <v>0.00202068171977226</v>
      </c>
      <c r="Q27" s="4"/>
      <c r="R27" s="6"/>
      <c r="S27" s="6"/>
      <c r="T27" s="6"/>
    </row>
    <row r="28" ht="16.8" spans="1:20">
      <c r="A28" s="36"/>
      <c r="B28" s="4" t="s">
        <v>41</v>
      </c>
      <c r="C28" s="45">
        <v>0</v>
      </c>
      <c r="D28" s="45">
        <v>0</v>
      </c>
      <c r="E28" s="45">
        <v>0</v>
      </c>
      <c r="F28" s="45">
        <v>988.891643972101</v>
      </c>
      <c r="G28" s="45">
        <v>10892.7863904541</v>
      </c>
      <c r="H28" s="45">
        <v>4979.62602360361</v>
      </c>
      <c r="I28" s="45">
        <v>0</v>
      </c>
      <c r="J28" s="45">
        <v>1692.31306414409</v>
      </c>
      <c r="K28" s="45">
        <v>3531.33209782399</v>
      </c>
      <c r="L28" s="45">
        <v>2423.89469817506</v>
      </c>
      <c r="M28" s="45">
        <v>1680.6895900167</v>
      </c>
      <c r="N28" s="45">
        <v>0</v>
      </c>
      <c r="O28" s="36">
        <f t="shared" si="18"/>
        <v>26189.5335081897</v>
      </c>
      <c r="P28" s="42">
        <f t="shared" si="19"/>
        <v>0.00436270822444823</v>
      </c>
      <c r="Q28" s="4"/>
      <c r="R28" s="6"/>
      <c r="S28" s="6"/>
      <c r="T28" s="6"/>
    </row>
    <row r="29" ht="16.8" spans="1:20">
      <c r="A29" s="36"/>
      <c r="B29" s="4" t="s">
        <v>42</v>
      </c>
      <c r="C29" s="45">
        <v>483.976746366314</v>
      </c>
      <c r="D29" s="45">
        <v>392.264640152616</v>
      </c>
      <c r="E29" s="45">
        <v>401.894865295949</v>
      </c>
      <c r="F29" s="45">
        <v>1648.1527399535</v>
      </c>
      <c r="G29" s="45">
        <v>10892.7863904541</v>
      </c>
      <c r="H29" s="45">
        <v>6846.98578245496</v>
      </c>
      <c r="I29" s="45">
        <v>0</v>
      </c>
      <c r="J29" s="45">
        <v>1692.31306414409</v>
      </c>
      <c r="K29" s="45">
        <v>3531.33209782399</v>
      </c>
      <c r="L29" s="45">
        <v>4039.82449695843</v>
      </c>
      <c r="M29" s="45">
        <v>2801.1493166945</v>
      </c>
      <c r="N29" s="45">
        <v>488.392794674008</v>
      </c>
      <c r="O29" s="36">
        <f t="shared" si="18"/>
        <v>33219.0729349725</v>
      </c>
      <c r="P29" s="42">
        <f t="shared" si="19"/>
        <v>0.00553370386137771</v>
      </c>
      <c r="Q29" s="6"/>
      <c r="R29" s="6"/>
      <c r="S29" s="6"/>
      <c r="T29" s="6"/>
    </row>
    <row r="30" ht="16.8" spans="1:20">
      <c r="A30" s="36"/>
      <c r="B30" s="4" t="s">
        <v>43</v>
      </c>
      <c r="C30" s="45">
        <v>483.976746366314</v>
      </c>
      <c r="D30" s="45">
        <v>392.264640152616</v>
      </c>
      <c r="E30" s="45">
        <v>3215.15892236759</v>
      </c>
      <c r="F30" s="45">
        <v>329.6305479907</v>
      </c>
      <c r="G30" s="45">
        <v>2178.55727809083</v>
      </c>
      <c r="H30" s="45">
        <v>622.453252950451</v>
      </c>
      <c r="I30" s="45">
        <v>398.217209704578</v>
      </c>
      <c r="J30" s="45">
        <v>564.104354714696</v>
      </c>
      <c r="K30" s="45">
        <v>441.416512227999</v>
      </c>
      <c r="L30" s="45">
        <v>1615.92979878337</v>
      </c>
      <c r="M30" s="45">
        <v>1120.4597266778</v>
      </c>
      <c r="N30" s="45">
        <v>488.392794674008</v>
      </c>
      <c r="O30" s="36">
        <f t="shared" si="18"/>
        <v>11850.561784701</v>
      </c>
      <c r="P30" s="42">
        <f t="shared" si="19"/>
        <v>0.00197409180069128</v>
      </c>
      <c r="Q30" s="6"/>
      <c r="R30" s="6"/>
      <c r="S30" s="6"/>
      <c r="T30" s="6"/>
    </row>
    <row r="31" ht="16.8" collapsed="1" spans="1:20">
      <c r="A31" s="36"/>
      <c r="B31" s="4" t="s">
        <v>44</v>
      </c>
      <c r="C31" s="45">
        <v>4839.76746366314</v>
      </c>
      <c r="D31" s="45">
        <v>19613.2320076308</v>
      </c>
      <c r="E31" s="45">
        <v>32151.5892236759</v>
      </c>
      <c r="F31" s="45">
        <v>16481.527399535</v>
      </c>
      <c r="G31" s="45">
        <v>65356.7183427249</v>
      </c>
      <c r="H31" s="45">
        <v>37347.1951770271</v>
      </c>
      <c r="I31" s="45">
        <v>7964.34419409155</v>
      </c>
      <c r="J31" s="45">
        <v>11282.0870942939</v>
      </c>
      <c r="K31" s="45">
        <v>4414.16512227999</v>
      </c>
      <c r="L31" s="45">
        <v>40398.2449695843</v>
      </c>
      <c r="M31" s="45">
        <v>11204.597266778</v>
      </c>
      <c r="N31" s="45">
        <v>9767.85589348017</v>
      </c>
      <c r="O31" s="36">
        <f t="shared" si="18"/>
        <v>260821.324154765</v>
      </c>
      <c r="P31" s="42">
        <f t="shared" si="19"/>
        <v>0.043448171218691</v>
      </c>
      <c r="Q31" s="6"/>
      <c r="R31" s="6"/>
      <c r="S31" s="6"/>
      <c r="T31" s="6"/>
    </row>
    <row r="32" ht="16.8" hidden="1" outlineLevel="1" spans="1:20">
      <c r="A32" s="36"/>
      <c r="B32" s="4" t="s">
        <v>45</v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42"/>
      <c r="Q32" s="6"/>
      <c r="R32" s="6"/>
      <c r="S32" s="6"/>
      <c r="T32" s="6"/>
    </row>
    <row r="33" ht="16.8" hidden="1" outlineLevel="1" spans="1:20">
      <c r="A33" s="36"/>
      <c r="B33" s="4" t="s">
        <v>46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42"/>
      <c r="Q33" s="6"/>
      <c r="R33" s="6"/>
      <c r="S33" s="6"/>
      <c r="T33" s="6"/>
    </row>
    <row r="34" ht="16.8" hidden="1" outlineLevel="1" spans="1:20">
      <c r="A34" s="36"/>
      <c r="B34" s="4" t="s">
        <v>47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42"/>
      <c r="Q34" s="6"/>
      <c r="R34" s="6"/>
      <c r="S34" s="6"/>
      <c r="T34" s="6"/>
    </row>
    <row r="35" ht="16.8" hidden="1" outlineLevel="1" spans="1:20">
      <c r="A35" s="36"/>
      <c r="B35" s="4" t="s">
        <v>48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42"/>
      <c r="Q35" s="6"/>
      <c r="R35" s="6"/>
      <c r="S35" s="6"/>
      <c r="T35" s="6"/>
    </row>
    <row r="36" ht="16.8" hidden="1" outlineLevel="1" spans="1:20">
      <c r="A36" s="36"/>
      <c r="B36" s="4" t="s">
        <v>49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36"/>
      <c r="P36" s="42"/>
      <c r="Q36" s="6"/>
      <c r="R36" s="6"/>
      <c r="S36" s="6"/>
      <c r="T36" s="6"/>
    </row>
    <row r="37" ht="16.8" spans="1:20">
      <c r="A37" s="6"/>
      <c r="B37" s="17" t="s">
        <v>50</v>
      </c>
      <c r="C37" s="37">
        <f t="shared" ref="C37:N37" si="20">SUM(C38:C40)</f>
        <v>0</v>
      </c>
      <c r="D37" s="37">
        <f t="shared" si="20"/>
        <v>0</v>
      </c>
      <c r="E37" s="37">
        <f t="shared" si="20"/>
        <v>0</v>
      </c>
      <c r="F37" s="37">
        <f t="shared" si="20"/>
        <v>0</v>
      </c>
      <c r="G37" s="37">
        <f t="shared" si="20"/>
        <v>0</v>
      </c>
      <c r="H37" s="37">
        <f t="shared" si="20"/>
        <v>0</v>
      </c>
      <c r="I37" s="37">
        <f t="shared" si="20"/>
        <v>0</v>
      </c>
      <c r="J37" s="37">
        <f t="shared" si="20"/>
        <v>0</v>
      </c>
      <c r="K37" s="37">
        <f t="shared" si="20"/>
        <v>0</v>
      </c>
      <c r="L37" s="37">
        <f t="shared" si="20"/>
        <v>0</v>
      </c>
      <c r="M37" s="37">
        <f t="shared" si="20"/>
        <v>0</v>
      </c>
      <c r="N37" s="37">
        <f t="shared" si="20"/>
        <v>0</v>
      </c>
      <c r="O37" s="37">
        <f>SUM(C37:N37)</f>
        <v>0</v>
      </c>
      <c r="P37" s="38">
        <f>O37/$O$16</f>
        <v>0</v>
      </c>
      <c r="Q37" s="6"/>
      <c r="R37" s="6"/>
      <c r="S37" s="6"/>
      <c r="T37" s="6"/>
    </row>
    <row r="38" ht="16.8" spans="1:20">
      <c r="A38" s="36"/>
      <c r="B38" s="4" t="s">
        <v>51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36">
        <f>SUM(C38:N38)</f>
        <v>0</v>
      </c>
      <c r="P38" s="42">
        <f>O38/$O$16</f>
        <v>0</v>
      </c>
      <c r="Q38" s="6" t="s">
        <v>91</v>
      </c>
      <c r="R38" s="6"/>
      <c r="S38" s="6"/>
      <c r="T38" s="6"/>
    </row>
    <row r="39" ht="16.8" spans="1:20">
      <c r="A39" s="36"/>
      <c r="B39" s="4" t="s">
        <v>53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36">
        <f>SUM(C39:N39)</f>
        <v>0</v>
      </c>
      <c r="P39" s="42">
        <f>O39/$O$16</f>
        <v>0</v>
      </c>
      <c r="Q39" s="6" t="s">
        <v>91</v>
      </c>
      <c r="R39" s="6"/>
      <c r="S39" s="6"/>
      <c r="T39" s="6"/>
    </row>
    <row r="40" ht="16.8" collapsed="1" spans="1:20">
      <c r="A40" s="36"/>
      <c r="B40" s="4" t="s">
        <v>55</v>
      </c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36">
        <f>SUM(C40:N40)</f>
        <v>0</v>
      </c>
      <c r="P40" s="42">
        <f>O40/$O$16</f>
        <v>0</v>
      </c>
      <c r="Q40" s="6" t="s">
        <v>91</v>
      </c>
      <c r="R40" s="6"/>
      <c r="S40" s="6"/>
      <c r="T40" s="6"/>
    </row>
    <row r="41" ht="16.8" hidden="1" outlineLevel="1" spans="1:20">
      <c r="A41" s="36"/>
      <c r="B41" s="4" t="s">
        <v>57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2">
        <f>O38/$O$16</f>
        <v>0</v>
      </c>
      <c r="P41" s="6"/>
      <c r="Q41" s="6" t="s">
        <v>91</v>
      </c>
      <c r="R41" s="6"/>
      <c r="S41" s="6"/>
      <c r="T41" s="6"/>
    </row>
    <row r="42" ht="16.8" hidden="1" outlineLevel="1" spans="1:20">
      <c r="A42" s="36"/>
      <c r="B42" s="4" t="s">
        <v>58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2">
        <f>O39/$O$16</f>
        <v>0</v>
      </c>
      <c r="P42" s="6"/>
      <c r="Q42" s="6" t="s">
        <v>91</v>
      </c>
      <c r="R42" s="6"/>
      <c r="S42" s="6"/>
      <c r="T42" s="6"/>
    </row>
    <row r="43" ht="16.8" hidden="1" outlineLevel="1" spans="1:20">
      <c r="A43" s="36"/>
      <c r="B43" s="4" t="s">
        <v>59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2">
        <f>O40/$O$16</f>
        <v>0</v>
      </c>
      <c r="P43" s="6"/>
      <c r="Q43" s="6" t="s">
        <v>91</v>
      </c>
      <c r="R43" s="6"/>
      <c r="S43" s="6"/>
      <c r="T43" s="6"/>
    </row>
    <row r="44" ht="16.8" spans="1:20">
      <c r="A44" s="6"/>
      <c r="B44" s="17" t="s">
        <v>60</v>
      </c>
      <c r="C44" s="37">
        <f t="shared" ref="C44:N44" si="21">SUM(C45:C46)</f>
        <v>66860.0885483774</v>
      </c>
      <c r="D44" s="37">
        <f t="shared" si="21"/>
        <v>44587.0024016981</v>
      </c>
      <c r="E44" s="37">
        <f t="shared" si="21"/>
        <v>131745.203463453</v>
      </c>
      <c r="F44" s="37">
        <f t="shared" si="21"/>
        <v>46834.5226003019</v>
      </c>
      <c r="G44" s="37">
        <f t="shared" si="21"/>
        <v>339973.509544151</v>
      </c>
      <c r="H44" s="37">
        <f t="shared" si="21"/>
        <v>128618.523598264</v>
      </c>
      <c r="I44" s="37">
        <f t="shared" si="21"/>
        <v>54291.3353636415</v>
      </c>
      <c r="J44" s="37">
        <f t="shared" si="21"/>
        <v>236683.726181868</v>
      </c>
      <c r="K44" s="37">
        <f t="shared" si="21"/>
        <v>93067.7488677736</v>
      </c>
      <c r="L44" s="37">
        <f t="shared" si="21"/>
        <v>812302.538956981</v>
      </c>
      <c r="M44" s="37">
        <f t="shared" si="21"/>
        <v>101492.856498642</v>
      </c>
      <c r="N44" s="37">
        <f t="shared" si="21"/>
        <v>65156.2744129245</v>
      </c>
      <c r="O44" s="37">
        <f t="shared" ref="O44:O60" si="22">SUM(C44:N44)</f>
        <v>2121613.33043808</v>
      </c>
      <c r="P44" s="38">
        <f>O44/$O$16</f>
        <v>0.353422863485017</v>
      </c>
      <c r="Q44" s="6"/>
      <c r="R44" s="6"/>
      <c r="S44" s="6"/>
      <c r="T44" s="6"/>
    </row>
    <row r="45" ht="16.8" spans="1:20">
      <c r="A45" s="36"/>
      <c r="B45" s="4" t="s">
        <v>61</v>
      </c>
      <c r="C45" s="45">
        <f t="shared" ref="C45:N45" si="23">(C4*20%+C4*5%)/1.06</f>
        <v>59315.1956603774</v>
      </c>
      <c r="D45" s="45">
        <f t="shared" si="23"/>
        <v>39555.5379716981</v>
      </c>
      <c r="E45" s="45">
        <f t="shared" si="23"/>
        <v>116878.285542453</v>
      </c>
      <c r="F45" s="45">
        <f t="shared" si="23"/>
        <v>41549.4345283019</v>
      </c>
      <c r="G45" s="45">
        <f t="shared" si="23"/>
        <v>301608.862264151</v>
      </c>
      <c r="H45" s="45">
        <f t="shared" si="23"/>
        <v>114104.438962264</v>
      </c>
      <c r="I45" s="45">
        <f t="shared" si="23"/>
        <v>48164.7758726415</v>
      </c>
      <c r="J45" s="45">
        <f t="shared" si="23"/>
        <v>209974.916768868</v>
      </c>
      <c r="K45" s="45">
        <f t="shared" si="23"/>
        <v>82565.4266037736</v>
      </c>
      <c r="L45" s="45">
        <f t="shared" si="23"/>
        <v>720637.454716981</v>
      </c>
      <c r="M45" s="45">
        <f t="shared" si="23"/>
        <v>90039.7946226415</v>
      </c>
      <c r="N45" s="45">
        <f t="shared" si="23"/>
        <v>57803.6501179245</v>
      </c>
      <c r="O45" s="36">
        <f t="shared" si="22"/>
        <v>1882197.77363208</v>
      </c>
      <c r="P45" s="42">
        <v>0.01</v>
      </c>
      <c r="Q45" s="6" t="s">
        <v>92</v>
      </c>
      <c r="R45" s="6"/>
      <c r="S45" s="6"/>
      <c r="T45" s="6"/>
    </row>
    <row r="46" ht="16.8" spans="1:20">
      <c r="A46" s="36"/>
      <c r="B46" s="4" t="s">
        <v>63</v>
      </c>
      <c r="C46" s="45">
        <f t="shared" ref="C46:N46" si="24">C4*3%</f>
        <v>7544.892888</v>
      </c>
      <c r="D46" s="45">
        <f t="shared" si="24"/>
        <v>5031.46443</v>
      </c>
      <c r="E46" s="45">
        <f t="shared" si="24"/>
        <v>14866.917921</v>
      </c>
      <c r="F46" s="45">
        <f t="shared" si="24"/>
        <v>5285.088072</v>
      </c>
      <c r="G46" s="45">
        <f t="shared" si="24"/>
        <v>38364.64728</v>
      </c>
      <c r="H46" s="45">
        <f t="shared" si="24"/>
        <v>14514.084636</v>
      </c>
      <c r="I46" s="45">
        <f t="shared" si="24"/>
        <v>6126.559491</v>
      </c>
      <c r="J46" s="45">
        <f t="shared" si="24"/>
        <v>26708.809413</v>
      </c>
      <c r="K46" s="45">
        <f t="shared" si="24"/>
        <v>10502.322264</v>
      </c>
      <c r="L46" s="45">
        <f t="shared" si="24"/>
        <v>91665.08424</v>
      </c>
      <c r="M46" s="45">
        <f t="shared" si="24"/>
        <v>11453.061876</v>
      </c>
      <c r="N46" s="45">
        <f t="shared" si="24"/>
        <v>7352.624295</v>
      </c>
      <c r="O46" s="36">
        <f t="shared" si="22"/>
        <v>239415.556806</v>
      </c>
      <c r="P46" s="42">
        <v>0.02</v>
      </c>
      <c r="Q46" s="4" t="s">
        <v>83</v>
      </c>
      <c r="R46" s="6"/>
      <c r="S46" s="6"/>
      <c r="T46" s="6"/>
    </row>
    <row r="47" ht="16.8" spans="1:20">
      <c r="A47" s="6"/>
      <c r="B47" s="17" t="s">
        <v>65</v>
      </c>
      <c r="C47" s="37">
        <f t="shared" ref="C47:N47" si="25">SUM(C48:C51)</f>
        <v>0</v>
      </c>
      <c r="D47" s="37">
        <f t="shared" si="25"/>
        <v>0</v>
      </c>
      <c r="E47" s="37">
        <f t="shared" si="25"/>
        <v>0</v>
      </c>
      <c r="F47" s="37">
        <f t="shared" si="25"/>
        <v>0</v>
      </c>
      <c r="G47" s="37">
        <f t="shared" si="25"/>
        <v>0</v>
      </c>
      <c r="H47" s="37">
        <f t="shared" si="25"/>
        <v>0</v>
      </c>
      <c r="I47" s="37">
        <f t="shared" si="25"/>
        <v>0</v>
      </c>
      <c r="J47" s="37">
        <f t="shared" si="25"/>
        <v>0</v>
      </c>
      <c r="K47" s="37">
        <f t="shared" si="25"/>
        <v>0</v>
      </c>
      <c r="L47" s="37">
        <f t="shared" si="25"/>
        <v>0</v>
      </c>
      <c r="M47" s="37">
        <f t="shared" si="25"/>
        <v>0</v>
      </c>
      <c r="N47" s="37">
        <f t="shared" si="25"/>
        <v>0</v>
      </c>
      <c r="O47" s="37">
        <f t="shared" si="22"/>
        <v>0</v>
      </c>
      <c r="P47" s="38">
        <f t="shared" ref="P47:P52" si="26">O47/$O$16</f>
        <v>0</v>
      </c>
      <c r="Q47" s="6"/>
      <c r="R47" s="6"/>
      <c r="S47" s="6"/>
      <c r="T47" s="6"/>
    </row>
    <row r="48" ht="16.8" spans="1:20">
      <c r="A48" s="36"/>
      <c r="B48" s="4" t="s">
        <v>66</v>
      </c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36">
        <f t="shared" si="22"/>
        <v>0</v>
      </c>
      <c r="P48" s="42">
        <f t="shared" si="26"/>
        <v>0</v>
      </c>
      <c r="Q48" s="4" t="s">
        <v>95</v>
      </c>
      <c r="R48" s="6"/>
      <c r="S48" s="6"/>
      <c r="T48" s="6"/>
    </row>
    <row r="49" ht="16.8" spans="1:20">
      <c r="A49" s="36"/>
      <c r="B49" s="4" t="s">
        <v>67</v>
      </c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36">
        <f t="shared" si="22"/>
        <v>0</v>
      </c>
      <c r="P49" s="42">
        <f t="shared" si="26"/>
        <v>0</v>
      </c>
      <c r="Q49" s="4" t="s">
        <v>95</v>
      </c>
      <c r="R49" s="6"/>
      <c r="S49" s="6"/>
      <c r="T49" s="6"/>
    </row>
    <row r="50" ht="16.8" spans="1:20">
      <c r="A50" s="36"/>
      <c r="B50" s="4" t="s">
        <v>68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36">
        <f t="shared" si="22"/>
        <v>0</v>
      </c>
      <c r="P50" s="42">
        <f t="shared" si="26"/>
        <v>0</v>
      </c>
      <c r="Q50" s="4" t="s">
        <v>95</v>
      </c>
      <c r="R50" s="6"/>
      <c r="S50" s="6"/>
      <c r="T50" s="6"/>
    </row>
    <row r="51" ht="16.8" spans="1:20">
      <c r="A51" s="6"/>
      <c r="B51" s="4" t="s">
        <v>69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36">
        <f t="shared" si="22"/>
        <v>0</v>
      </c>
      <c r="P51" s="42">
        <f t="shared" si="26"/>
        <v>0</v>
      </c>
      <c r="Q51" s="4" t="s">
        <v>95</v>
      </c>
      <c r="R51" s="6"/>
      <c r="S51" s="6"/>
      <c r="T51" s="6"/>
    </row>
    <row r="52" ht="16.8" spans="1:20">
      <c r="A52" s="6"/>
      <c r="B52" s="21" t="s">
        <v>70</v>
      </c>
      <c r="C52" s="40">
        <f t="shared" ref="C52:N52" si="27">SUM(C26,C37,C44,C47)</f>
        <v>72667.8095047731</v>
      </c>
      <c r="D52" s="40">
        <f t="shared" si="27"/>
        <v>64984.7636896341</v>
      </c>
      <c r="E52" s="40">
        <f t="shared" si="27"/>
        <v>168518.583638032</v>
      </c>
      <c r="F52" s="40">
        <f t="shared" si="27"/>
        <v>67106.80130173</v>
      </c>
      <c r="G52" s="40">
        <f t="shared" si="27"/>
        <v>431109.822344284</v>
      </c>
      <c r="H52" s="40">
        <f t="shared" si="27"/>
        <v>179970.916966676</v>
      </c>
      <c r="I52" s="40">
        <f t="shared" si="27"/>
        <v>63649.4397916991</v>
      </c>
      <c r="J52" s="40">
        <f t="shared" si="27"/>
        <v>253324.804645951</v>
      </c>
      <c r="K52" s="40">
        <f t="shared" si="27"/>
        <v>106089.5359785</v>
      </c>
      <c r="L52" s="40">
        <f t="shared" si="27"/>
        <v>862800.345168962</v>
      </c>
      <c r="M52" s="40">
        <f t="shared" si="27"/>
        <v>119700.327057156</v>
      </c>
      <c r="N52" s="40">
        <f t="shared" si="27"/>
        <v>75900.9158957527</v>
      </c>
      <c r="O52" s="40">
        <f t="shared" si="22"/>
        <v>2465824.06598315</v>
      </c>
      <c r="P52" s="41">
        <f t="shared" si="26"/>
        <v>0.410762220309997</v>
      </c>
      <c r="Q52" s="6"/>
      <c r="R52" s="6"/>
      <c r="S52" s="6"/>
      <c r="T52" s="6"/>
    </row>
    <row r="53" ht="16.8" spans="1:20">
      <c r="A53" s="36"/>
      <c r="B53" s="4" t="s">
        <v>71</v>
      </c>
      <c r="C53" s="45">
        <f t="shared" ref="C53:N53" si="28">C16*$P$53</f>
        <v>5675.36190690266</v>
      </c>
      <c r="D53" s="45">
        <f t="shared" si="28"/>
        <v>3784.72988097345</v>
      </c>
      <c r="E53" s="45">
        <f t="shared" si="28"/>
        <v>11183.0798520796</v>
      </c>
      <c r="F53" s="45">
        <f t="shared" si="28"/>
        <v>3975.50872672566</v>
      </c>
      <c r="G53" s="45">
        <f t="shared" si="28"/>
        <v>28858.3629982301</v>
      </c>
      <c r="H53" s="45">
        <f t="shared" si="28"/>
        <v>10917.6742837168</v>
      </c>
      <c r="I53" s="45">
        <f t="shared" si="28"/>
        <v>4608.47395340708</v>
      </c>
      <c r="J53" s="45">
        <f t="shared" si="28"/>
        <v>20090.6973460619</v>
      </c>
      <c r="K53" s="45">
        <f t="shared" si="28"/>
        <v>7899.97692424779</v>
      </c>
      <c r="L53" s="45">
        <f t="shared" si="28"/>
        <v>68951.6120389381</v>
      </c>
      <c r="M53" s="45">
        <f t="shared" si="28"/>
        <v>8615.13503946903</v>
      </c>
      <c r="N53" s="45">
        <f t="shared" si="28"/>
        <v>5530.73508915929</v>
      </c>
      <c r="O53" s="36">
        <f t="shared" si="22"/>
        <v>180091.348039912</v>
      </c>
      <c r="P53" s="42">
        <v>0.03</v>
      </c>
      <c r="Q53" s="20">
        <f>O53/O16</f>
        <v>0.03</v>
      </c>
      <c r="R53" s="6"/>
      <c r="S53" s="6"/>
      <c r="T53" s="6"/>
    </row>
    <row r="54" ht="16.8" spans="1:20">
      <c r="A54" s="36"/>
      <c r="B54" s="4" t="s">
        <v>73</v>
      </c>
      <c r="C54" s="45">
        <f t="shared" ref="C54:N54" si="29">C16*$P$54</f>
        <v>2648.50222322124</v>
      </c>
      <c r="D54" s="45">
        <f t="shared" si="29"/>
        <v>1766.20727778761</v>
      </c>
      <c r="E54" s="45">
        <f t="shared" si="29"/>
        <v>5218.77059763717</v>
      </c>
      <c r="F54" s="45">
        <f t="shared" si="29"/>
        <v>1855.23740580531</v>
      </c>
      <c r="G54" s="45">
        <f t="shared" si="29"/>
        <v>13467.2360658407</v>
      </c>
      <c r="H54" s="45">
        <f t="shared" si="29"/>
        <v>5094.91466573451</v>
      </c>
      <c r="I54" s="45">
        <f t="shared" si="29"/>
        <v>2150.62117825664</v>
      </c>
      <c r="J54" s="45">
        <f t="shared" si="29"/>
        <v>9375.65876149558</v>
      </c>
      <c r="K54" s="45">
        <f t="shared" si="29"/>
        <v>3686.6558979823</v>
      </c>
      <c r="L54" s="45">
        <f t="shared" si="29"/>
        <v>32177.4189515044</v>
      </c>
      <c r="M54" s="45">
        <f t="shared" si="29"/>
        <v>4020.39635175221</v>
      </c>
      <c r="N54" s="45">
        <f t="shared" si="29"/>
        <v>2581.00970827434</v>
      </c>
      <c r="O54" s="36">
        <f t="shared" si="22"/>
        <v>84042.629085292</v>
      </c>
      <c r="P54" s="42">
        <v>0.014</v>
      </c>
      <c r="Q54" s="20">
        <f>O54/O16</f>
        <v>0.014</v>
      </c>
      <c r="R54" s="6"/>
      <c r="S54" s="6"/>
      <c r="T54" s="6"/>
    </row>
    <row r="55" ht="16.8" spans="1:20">
      <c r="A55" s="36"/>
      <c r="B55" s="4" t="s">
        <v>75</v>
      </c>
      <c r="C55" s="45">
        <v>31729.5324381925</v>
      </c>
      <c r="D55" s="45">
        <v>20748.299186771</v>
      </c>
      <c r="E55" s="45">
        <v>16183.5117930439</v>
      </c>
      <c r="F55" s="45">
        <v>24905.5060880281</v>
      </c>
      <c r="G55" s="45">
        <v>21388.7785274969</v>
      </c>
      <c r="H55" s="45">
        <v>14984.3154732138</v>
      </c>
      <c r="I55" s="45">
        <v>20877.3020239964</v>
      </c>
      <c r="J55" s="45">
        <v>16151.7828912796</v>
      </c>
      <c r="K55" s="45">
        <v>22256.1352826844</v>
      </c>
      <c r="L55" s="45">
        <v>17567.3604105531</v>
      </c>
      <c r="M55" s="45">
        <v>15386.9556870844</v>
      </c>
      <c r="N55" s="45">
        <v>15012.6957970825</v>
      </c>
      <c r="O55" s="36">
        <f t="shared" si="22"/>
        <v>237192.175599427</v>
      </c>
      <c r="P55" s="42">
        <v>0.03</v>
      </c>
      <c r="Q55" s="20"/>
      <c r="R55" s="6"/>
      <c r="S55" s="6"/>
      <c r="T55" s="6"/>
    </row>
    <row r="56" ht="16.8" spans="1:20">
      <c r="A56" s="36"/>
      <c r="B56" s="4" t="s">
        <v>77</v>
      </c>
      <c r="C56" s="45">
        <f t="shared" ref="C56:N56" si="30">C16*$P$56</f>
        <v>189.178730230089</v>
      </c>
      <c r="D56" s="45">
        <f t="shared" si="30"/>
        <v>126.157662699115</v>
      </c>
      <c r="E56" s="45">
        <f t="shared" si="30"/>
        <v>372.769328402655</v>
      </c>
      <c r="F56" s="45">
        <f t="shared" si="30"/>
        <v>132.516957557522</v>
      </c>
      <c r="G56" s="45">
        <f t="shared" si="30"/>
        <v>961.945433274336</v>
      </c>
      <c r="H56" s="45">
        <f t="shared" si="30"/>
        <v>363.922476123894</v>
      </c>
      <c r="I56" s="45">
        <f t="shared" si="30"/>
        <v>153.615798446903</v>
      </c>
      <c r="J56" s="45">
        <f t="shared" si="30"/>
        <v>669.689911535398</v>
      </c>
      <c r="K56" s="45">
        <f t="shared" si="30"/>
        <v>263.332564141593</v>
      </c>
      <c r="L56" s="45">
        <f t="shared" si="30"/>
        <v>2298.3870679646</v>
      </c>
      <c r="M56" s="45">
        <f t="shared" si="30"/>
        <v>287.171167982301</v>
      </c>
      <c r="N56" s="45">
        <f t="shared" si="30"/>
        <v>184.35783630531</v>
      </c>
      <c r="O56" s="36">
        <f t="shared" si="22"/>
        <v>6003.04493466372</v>
      </c>
      <c r="P56" s="42">
        <v>0.001</v>
      </c>
      <c r="Q56" s="6"/>
      <c r="R56" s="6"/>
      <c r="S56" s="6"/>
      <c r="T56" s="6"/>
    </row>
    <row r="57" ht="16.8" spans="1:20">
      <c r="A57" s="36"/>
      <c r="B57" s="4" t="s">
        <v>79</v>
      </c>
      <c r="C57" s="45">
        <v>3764.02670207736</v>
      </c>
      <c r="D57" s="45"/>
      <c r="E57" s="45"/>
      <c r="F57" s="45"/>
      <c r="G57" s="45">
        <v>1505.61068083094</v>
      </c>
      <c r="H57" s="45"/>
      <c r="I57" s="45"/>
      <c r="J57" s="45"/>
      <c r="K57" s="45"/>
      <c r="L57" s="45">
        <v>1505.61068083094</v>
      </c>
      <c r="M57" s="45"/>
      <c r="N57" s="45">
        <v>4516.83204249283</v>
      </c>
      <c r="O57" s="36">
        <f t="shared" si="22"/>
        <v>11292.0801062321</v>
      </c>
      <c r="P57" s="42">
        <f>O57/$O$16</f>
        <v>0.00188105873421463</v>
      </c>
      <c r="Q57" s="4"/>
      <c r="R57" s="6"/>
      <c r="S57" s="6"/>
      <c r="T57" s="6"/>
    </row>
    <row r="58" ht="16.8" spans="1:20">
      <c r="A58" s="6"/>
      <c r="B58" s="21" t="s">
        <v>80</v>
      </c>
      <c r="C58" s="40">
        <f t="shared" ref="C58:N58" si="31">SUM(C53:C57)</f>
        <v>44006.6020006238</v>
      </c>
      <c r="D58" s="40">
        <f t="shared" si="31"/>
        <v>26425.3940082312</v>
      </c>
      <c r="E58" s="40">
        <f t="shared" si="31"/>
        <v>32958.1315711634</v>
      </c>
      <c r="F58" s="40">
        <f t="shared" si="31"/>
        <v>30868.7691781166</v>
      </c>
      <c r="G58" s="40">
        <f t="shared" si="31"/>
        <v>66181.933705673</v>
      </c>
      <c r="H58" s="40">
        <f t="shared" si="31"/>
        <v>31360.826898789</v>
      </c>
      <c r="I58" s="40">
        <f t="shared" si="31"/>
        <v>27790.0129541071</v>
      </c>
      <c r="J58" s="40">
        <f t="shared" si="31"/>
        <v>46287.8289103725</v>
      </c>
      <c r="K58" s="40">
        <f t="shared" si="31"/>
        <v>34106.1006690561</v>
      </c>
      <c r="L58" s="40">
        <f t="shared" si="31"/>
        <v>122500.389149791</v>
      </c>
      <c r="M58" s="40">
        <f t="shared" si="31"/>
        <v>28309.658246288</v>
      </c>
      <c r="N58" s="40">
        <f t="shared" si="31"/>
        <v>27825.6304733143</v>
      </c>
      <c r="O58" s="40">
        <f t="shared" si="22"/>
        <v>518621.277765526</v>
      </c>
      <c r="P58" s="41">
        <f>O58/$O$16</f>
        <v>0.0863930361025323</v>
      </c>
      <c r="Q58" s="6"/>
      <c r="R58" s="6"/>
      <c r="S58" s="6"/>
      <c r="T58" s="6"/>
    </row>
    <row r="59" ht="16.8" spans="1:20">
      <c r="A59" s="32"/>
      <c r="B59" s="12" t="s">
        <v>81</v>
      </c>
      <c r="C59" s="12">
        <f t="shared" ref="C59:N59" si="32">SUM(C52,C58)</f>
        <v>116674.411505397</v>
      </c>
      <c r="D59" s="12">
        <f t="shared" si="32"/>
        <v>91410.1576978653</v>
      </c>
      <c r="E59" s="12">
        <f t="shared" si="32"/>
        <v>201476.715209196</v>
      </c>
      <c r="F59" s="12">
        <f t="shared" si="32"/>
        <v>97975.5704798465</v>
      </c>
      <c r="G59" s="12">
        <f t="shared" si="32"/>
        <v>497291.756049957</v>
      </c>
      <c r="H59" s="12">
        <f t="shared" si="32"/>
        <v>211331.743865465</v>
      </c>
      <c r="I59" s="12">
        <f t="shared" si="32"/>
        <v>91439.4527458061</v>
      </c>
      <c r="J59" s="12">
        <f t="shared" si="32"/>
        <v>299612.633556324</v>
      </c>
      <c r="K59" s="12">
        <f t="shared" si="32"/>
        <v>140195.636647556</v>
      </c>
      <c r="L59" s="12">
        <f t="shared" si="32"/>
        <v>985300.734318753</v>
      </c>
      <c r="M59" s="12">
        <f t="shared" si="32"/>
        <v>148009.985303444</v>
      </c>
      <c r="N59" s="12">
        <f t="shared" si="32"/>
        <v>103726.546369067</v>
      </c>
      <c r="O59" s="12">
        <f t="shared" si="22"/>
        <v>2984445.34374868</v>
      </c>
      <c r="P59" s="43">
        <f>O59/$O$16</f>
        <v>0.497155256412529</v>
      </c>
      <c r="Q59" s="32"/>
      <c r="R59" s="48"/>
      <c r="S59" s="6"/>
      <c r="T59" s="6"/>
    </row>
    <row r="60" ht="16.8" spans="1:20">
      <c r="A60" s="32"/>
      <c r="B60" s="12" t="s">
        <v>82</v>
      </c>
      <c r="C60" s="12">
        <f t="shared" ref="C60:N60" si="33">C22-C59</f>
        <v>-24824.6805387202</v>
      </c>
      <c r="D60" s="12">
        <f t="shared" si="33"/>
        <v>-29895.9457888977</v>
      </c>
      <c r="E60" s="12">
        <f t="shared" si="33"/>
        <v>-29716.1575435764</v>
      </c>
      <c r="F60" s="12">
        <f t="shared" si="33"/>
        <v>-37100.1755064053</v>
      </c>
      <c r="G60" s="12">
        <f t="shared" si="33"/>
        <v>-1240.72364148544</v>
      </c>
      <c r="H60" s="12">
        <f t="shared" si="33"/>
        <v>-26314.2730440467</v>
      </c>
      <c r="I60" s="12">
        <f t="shared" si="33"/>
        <v>-7876.3188524087</v>
      </c>
      <c r="J60" s="12">
        <f t="shared" si="33"/>
        <v>65471.937136717</v>
      </c>
      <c r="K60" s="12">
        <f t="shared" si="33"/>
        <v>5318.21572624656</v>
      </c>
      <c r="L60" s="12">
        <f t="shared" si="33"/>
        <v>300417.914084516</v>
      </c>
      <c r="M60" s="12">
        <f t="shared" si="33"/>
        <v>15382.6108157894</v>
      </c>
      <c r="N60" s="12">
        <f t="shared" si="33"/>
        <v>1908.9904060565</v>
      </c>
      <c r="O60" s="12">
        <f t="shared" si="22"/>
        <v>231531.393253786</v>
      </c>
      <c r="P60" s="43">
        <f>O60/$O$16</f>
        <v>0.0385689921987492</v>
      </c>
      <c r="Q60" s="32"/>
      <c r="R60" s="49"/>
      <c r="S60" s="6"/>
      <c r="T60" s="6"/>
    </row>
    <row r="61" spans="1:20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>
      <c r="A62" s="6"/>
      <c r="B62" s="61" t="s">
        <v>117</v>
      </c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35"/>
      <c r="P62" s="6"/>
      <c r="Q62" s="6"/>
      <c r="R62" s="6"/>
      <c r="S62" s="6"/>
      <c r="T62" s="6"/>
    </row>
    <row r="63" ht="16.8" spans="1:20">
      <c r="A63" s="6"/>
      <c r="B63" s="63" t="s">
        <v>118</v>
      </c>
      <c r="C63" s="63">
        <v>366.6</v>
      </c>
      <c r="D63" s="63">
        <v>362.6</v>
      </c>
      <c r="E63" s="63">
        <v>362.8</v>
      </c>
      <c r="F63" s="63">
        <v>357</v>
      </c>
      <c r="G63" s="63">
        <v>376.4</v>
      </c>
      <c r="H63" s="63">
        <v>376.1</v>
      </c>
      <c r="I63" s="63">
        <v>401.9</v>
      </c>
      <c r="J63" s="63">
        <v>400.9</v>
      </c>
      <c r="K63" s="63">
        <v>401.8</v>
      </c>
      <c r="L63" s="63">
        <v>398.6</v>
      </c>
      <c r="M63" s="63">
        <v>397.7</v>
      </c>
      <c r="N63" s="63">
        <v>392.4</v>
      </c>
      <c r="O63" s="6"/>
      <c r="P63" s="6"/>
      <c r="Q63" s="6"/>
      <c r="R63" s="6"/>
      <c r="S63" s="6"/>
      <c r="T63" s="6"/>
    </row>
    <row r="64" ht="16.8" spans="1:20">
      <c r="A64" s="6"/>
      <c r="B64" s="63" t="s">
        <v>119</v>
      </c>
      <c r="C64" s="63">
        <v>158.8</v>
      </c>
      <c r="D64" s="63">
        <v>156.4</v>
      </c>
      <c r="E64" s="63">
        <v>165.1</v>
      </c>
      <c r="F64" s="63">
        <v>162.9</v>
      </c>
      <c r="G64" s="63">
        <v>153</v>
      </c>
      <c r="H64" s="63">
        <v>155.3</v>
      </c>
      <c r="I64" s="63">
        <v>153.3</v>
      </c>
      <c r="J64" s="63">
        <v>152.5</v>
      </c>
      <c r="K64" s="63">
        <v>150.2</v>
      </c>
      <c r="L64" s="63">
        <v>146.6</v>
      </c>
      <c r="M64" s="63">
        <v>142.9</v>
      </c>
      <c r="N64" s="63">
        <v>139.6</v>
      </c>
      <c r="O64" s="6"/>
      <c r="P64" s="6"/>
      <c r="Q64" s="6"/>
      <c r="R64" s="6"/>
      <c r="S64" s="6"/>
      <c r="T64" s="6"/>
    </row>
    <row r="65" spans="1:20">
      <c r="A65" s="6"/>
      <c r="B65" s="61" t="s">
        <v>16</v>
      </c>
      <c r="C65" s="64">
        <f t="shared" ref="C65:N65" si="34">C8/C63</f>
        <v>583.120472340426</v>
      </c>
      <c r="D65" s="64">
        <f t="shared" si="34"/>
        <v>393.155429812466</v>
      </c>
      <c r="E65" s="64">
        <f t="shared" si="34"/>
        <v>1161.05110555402</v>
      </c>
      <c r="F65" s="64">
        <f t="shared" si="34"/>
        <v>419.451434285714</v>
      </c>
      <c r="G65" s="64">
        <f t="shared" si="34"/>
        <v>2887.88081721573</v>
      </c>
      <c r="H65" s="64">
        <f t="shared" si="34"/>
        <v>1093.41238505717</v>
      </c>
      <c r="I65" s="64">
        <f t="shared" si="34"/>
        <v>431.913043655138</v>
      </c>
      <c r="J65" s="64">
        <f t="shared" si="34"/>
        <v>1887.62683969818</v>
      </c>
      <c r="K65" s="64">
        <f t="shared" si="34"/>
        <v>740.581875261324</v>
      </c>
      <c r="L65" s="64">
        <f t="shared" si="34"/>
        <v>6515.74858705469</v>
      </c>
      <c r="M65" s="64">
        <f t="shared" si="34"/>
        <v>815.950263565502</v>
      </c>
      <c r="N65" s="64">
        <f t="shared" si="34"/>
        <v>530.897948585627</v>
      </c>
      <c r="O65" s="6"/>
      <c r="P65" s="6"/>
      <c r="Q65" s="6"/>
      <c r="R65" s="6"/>
      <c r="S65" s="6"/>
      <c r="T65" s="6"/>
    </row>
    <row r="66" spans="1:20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>
      <c r="A78" s="6"/>
      <c r="B78" s="6"/>
      <c r="C78" s="35">
        <f t="shared" ref="C78:O78" si="35">C16-C18-C20-C26-C37-C44-C47-C58-C60</f>
        <v>0</v>
      </c>
      <c r="D78" s="35">
        <f t="shared" si="35"/>
        <v>0</v>
      </c>
      <c r="E78" s="35">
        <f t="shared" si="35"/>
        <v>0</v>
      </c>
      <c r="F78" s="35">
        <f t="shared" si="35"/>
        <v>0</v>
      </c>
      <c r="G78" s="35">
        <f t="shared" si="35"/>
        <v>1.45519152283669e-11</v>
      </c>
      <c r="H78" s="35">
        <f t="shared" si="35"/>
        <v>0</v>
      </c>
      <c r="I78" s="35">
        <f t="shared" si="35"/>
        <v>-7.27595761418343e-12</v>
      </c>
      <c r="J78" s="35">
        <f t="shared" si="35"/>
        <v>0</v>
      </c>
      <c r="K78" s="35">
        <f t="shared" si="35"/>
        <v>-2.91038304567337e-11</v>
      </c>
      <c r="L78" s="35">
        <f t="shared" si="35"/>
        <v>0</v>
      </c>
      <c r="M78" s="35">
        <f t="shared" si="35"/>
        <v>0</v>
      </c>
      <c r="N78" s="35">
        <f t="shared" si="35"/>
        <v>1.09139364212751e-11</v>
      </c>
      <c r="O78" s="35">
        <f t="shared" si="35"/>
        <v>-4.65661287307739e-10</v>
      </c>
      <c r="P78" s="6"/>
      <c r="Q78" s="6"/>
      <c r="R78" s="6"/>
      <c r="S78" s="6"/>
      <c r="T78" s="6"/>
    </row>
    <row r="79" spans="1:20">
      <c r="A79" s="6"/>
      <c r="B79" s="6"/>
      <c r="C79" s="53">
        <f t="shared" ref="C79:O79" si="36">C10-C11-C12-C13-C15</f>
        <v>0</v>
      </c>
      <c r="D79" s="53">
        <f t="shared" si="36"/>
        <v>0</v>
      </c>
      <c r="E79" s="53">
        <f t="shared" si="36"/>
        <v>0</v>
      </c>
      <c r="F79" s="53">
        <f t="shared" si="36"/>
        <v>0</v>
      </c>
      <c r="G79" s="53">
        <f t="shared" si="36"/>
        <v>0</v>
      </c>
      <c r="H79" s="53">
        <f t="shared" si="36"/>
        <v>0</v>
      </c>
      <c r="I79" s="53">
        <f t="shared" si="36"/>
        <v>0</v>
      </c>
      <c r="J79" s="53">
        <f t="shared" si="36"/>
        <v>0</v>
      </c>
      <c r="K79" s="53">
        <f t="shared" si="36"/>
        <v>0</v>
      </c>
      <c r="L79" s="53">
        <f t="shared" si="36"/>
        <v>0</v>
      </c>
      <c r="M79" s="53">
        <f t="shared" si="36"/>
        <v>0</v>
      </c>
      <c r="N79" s="53">
        <f t="shared" si="36"/>
        <v>0</v>
      </c>
      <c r="O79" s="53">
        <f t="shared" si="36"/>
        <v>0</v>
      </c>
      <c r="P79" s="6"/>
      <c r="Q79" s="6"/>
      <c r="R79" s="6"/>
      <c r="S79" s="6"/>
      <c r="T79" s="6"/>
    </row>
    <row r="80" spans="1:2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>
      <c r="A93" s="6"/>
      <c r="B93" s="6" t="s">
        <v>120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ht="16.8" spans="1:20">
      <c r="A94" s="6"/>
      <c r="B94" s="17" t="s">
        <v>39</v>
      </c>
      <c r="C94" s="37">
        <f t="shared" ref="C94:N94" si="37">SUM(C95:C99)</f>
        <v>0</v>
      </c>
      <c r="D94" s="37">
        <f t="shared" si="37"/>
        <v>0</v>
      </c>
      <c r="E94" s="37">
        <f t="shared" si="37"/>
        <v>0</v>
      </c>
      <c r="F94" s="37">
        <f t="shared" si="37"/>
        <v>0</v>
      </c>
      <c r="G94" s="37">
        <f t="shared" si="37"/>
        <v>0</v>
      </c>
      <c r="H94" s="37">
        <f t="shared" si="37"/>
        <v>0</v>
      </c>
      <c r="I94" s="37">
        <f t="shared" si="37"/>
        <v>0</v>
      </c>
      <c r="J94" s="37">
        <f t="shared" si="37"/>
        <v>0</v>
      </c>
      <c r="K94" s="37">
        <f t="shared" si="37"/>
        <v>0</v>
      </c>
      <c r="L94" s="37">
        <f t="shared" si="37"/>
        <v>0</v>
      </c>
      <c r="M94" s="37">
        <f t="shared" si="37"/>
        <v>0</v>
      </c>
      <c r="N94" s="37">
        <f t="shared" si="37"/>
        <v>0</v>
      </c>
      <c r="O94" s="6"/>
      <c r="P94" s="6"/>
      <c r="Q94" s="6"/>
      <c r="R94" s="6"/>
      <c r="S94" s="6"/>
      <c r="T94" s="6"/>
    </row>
    <row r="95" ht="16.8" spans="1:20">
      <c r="A95" s="6"/>
      <c r="B95" s="4" t="s">
        <v>40</v>
      </c>
      <c r="C95" s="45">
        <f>'线下门店-小计'!C27*(C15/('26年全渠道汇总'!C15-'线下门店-小计'!C15))</f>
        <v>0</v>
      </c>
      <c r="D95" s="45">
        <f>'线下门店-小计'!D27*(D15/('26年全渠道汇总'!D15-'线下门店-小计'!D15))</f>
        <v>0</v>
      </c>
      <c r="E95" s="45">
        <f>'线下门店-小计'!E27*(E15/('26年全渠道汇总'!E15-'线下门店-小计'!E15))</f>
        <v>0</v>
      </c>
      <c r="F95" s="45">
        <f>'线下门店-小计'!F27*(F15/('26年全渠道汇总'!F15-'线下门店-小计'!F15))</f>
        <v>0</v>
      </c>
      <c r="G95" s="45">
        <f>'线下门店-小计'!G27*(G15/('26年全渠道汇总'!G15-'线下门店-小计'!G15))</f>
        <v>0</v>
      </c>
      <c r="H95" s="45">
        <f>'线下门店-小计'!H27*(H15/('26年全渠道汇总'!H15-'线下门店-小计'!H15))</f>
        <v>0</v>
      </c>
      <c r="I95" s="45">
        <f>'线下门店-小计'!I27*(I15/('26年全渠道汇总'!I15-'线下门店-小计'!I15))</f>
        <v>0</v>
      </c>
      <c r="J95" s="45">
        <f>'线下门店-小计'!J27*(J15/('26年全渠道汇总'!J15-'线下门店-小计'!J15))</f>
        <v>0</v>
      </c>
      <c r="K95" s="45">
        <f>'线下门店-小计'!K27*(K15/('26年全渠道汇总'!K15-'线下门店-小计'!K15))</f>
        <v>0</v>
      </c>
      <c r="L95" s="45">
        <f>'线下门店-小计'!L27*(L15/('26年全渠道汇总'!L15-'线下门店-小计'!L15))</f>
        <v>0</v>
      </c>
      <c r="M95" s="45">
        <f>'线下门店-小计'!M27*(M15/('26年全渠道汇总'!M15-'线下门店-小计'!M15))</f>
        <v>0</v>
      </c>
      <c r="N95" s="45">
        <f>'线下门店-小计'!N27*(N15/('26年全渠道汇总'!N15-'线下门店-小计'!N15))</f>
        <v>0</v>
      </c>
      <c r="O95" s="6"/>
      <c r="P95" s="6"/>
      <c r="Q95" s="6"/>
      <c r="R95" s="6"/>
      <c r="S95" s="6"/>
      <c r="T95" s="6"/>
    </row>
    <row r="96" ht="16.8" spans="1:20">
      <c r="A96" s="6"/>
      <c r="B96" s="4" t="s">
        <v>41</v>
      </c>
      <c r="C96" s="45">
        <f>'线下门店-小计'!C28*(C15/('26年全渠道汇总'!C15-'线下门店-小计'!C15))</f>
        <v>0</v>
      </c>
      <c r="D96" s="45">
        <f>'线下门店-小计'!D28*(D15/('26年全渠道汇总'!D15-'线下门店-小计'!D15))</f>
        <v>0</v>
      </c>
      <c r="E96" s="45">
        <f>'线下门店-小计'!E28*(E15/('26年全渠道汇总'!E15-'线下门店-小计'!E15))</f>
        <v>0</v>
      </c>
      <c r="F96" s="45">
        <f>'线下门店-小计'!F28*(F15/('26年全渠道汇总'!F15-'线下门店-小计'!F15))</f>
        <v>0</v>
      </c>
      <c r="G96" s="45">
        <f>'线下门店-小计'!G28*(G15/('26年全渠道汇总'!G15-'线下门店-小计'!G15))</f>
        <v>0</v>
      </c>
      <c r="H96" s="45">
        <f>'线下门店-小计'!H28*(H15/('26年全渠道汇总'!H15-'线下门店-小计'!H15))</f>
        <v>0</v>
      </c>
      <c r="I96" s="45">
        <f>'线下门店-小计'!I28*(I15/('26年全渠道汇总'!I15-'线下门店-小计'!I15))</f>
        <v>0</v>
      </c>
      <c r="J96" s="45">
        <f>'线下门店-小计'!J28*(J15/('26年全渠道汇总'!J15-'线下门店-小计'!J15))</f>
        <v>0</v>
      </c>
      <c r="K96" s="45">
        <f>'线下门店-小计'!K28*(K15/('26年全渠道汇总'!K15-'线下门店-小计'!K15))</f>
        <v>0</v>
      </c>
      <c r="L96" s="45">
        <f>'线下门店-小计'!L28*(L15/('26年全渠道汇总'!L15-'线下门店-小计'!L15))</f>
        <v>0</v>
      </c>
      <c r="M96" s="45">
        <f>'线下门店-小计'!M28*(M15/('26年全渠道汇总'!M15-'线下门店-小计'!M15))</f>
        <v>0</v>
      </c>
      <c r="N96" s="45">
        <f>'线下门店-小计'!N28*(N15/('26年全渠道汇总'!N15-'线下门店-小计'!N15))</f>
        <v>0</v>
      </c>
      <c r="O96" s="6"/>
      <c r="P96" s="6"/>
      <c r="Q96" s="6"/>
      <c r="R96" s="6"/>
      <c r="S96" s="6"/>
      <c r="T96" s="6"/>
    </row>
    <row r="97" ht="16.8" spans="1:20">
      <c r="A97" s="6"/>
      <c r="B97" s="4" t="s">
        <v>42</v>
      </c>
      <c r="C97" s="45">
        <f>'线下门店-小计'!C29*(C15/('26年全渠道汇总'!C15-'线下门店-小计'!C15))</f>
        <v>0</v>
      </c>
      <c r="D97" s="45">
        <f>'线下门店-小计'!D29*(D15/('26年全渠道汇总'!D15-'线下门店-小计'!D15))</f>
        <v>0</v>
      </c>
      <c r="E97" s="45">
        <f>'线下门店-小计'!E29*(E15/('26年全渠道汇总'!E15-'线下门店-小计'!E15))</f>
        <v>0</v>
      </c>
      <c r="F97" s="45">
        <f>'线下门店-小计'!F29*(F15/('26年全渠道汇总'!F15-'线下门店-小计'!F15))</f>
        <v>0</v>
      </c>
      <c r="G97" s="45">
        <f>'线下门店-小计'!G29*(G15/('26年全渠道汇总'!G15-'线下门店-小计'!G15))</f>
        <v>0</v>
      </c>
      <c r="H97" s="45">
        <f>'线下门店-小计'!H29*(H15/('26年全渠道汇总'!H15-'线下门店-小计'!H15))</f>
        <v>0</v>
      </c>
      <c r="I97" s="45">
        <f>'线下门店-小计'!I29*(I15/('26年全渠道汇总'!I15-'线下门店-小计'!I15))</f>
        <v>0</v>
      </c>
      <c r="J97" s="45">
        <f>'线下门店-小计'!J29*(J15/('26年全渠道汇总'!J15-'线下门店-小计'!J15))</f>
        <v>0</v>
      </c>
      <c r="K97" s="45">
        <f>'线下门店-小计'!K29*(K15/('26年全渠道汇总'!K15-'线下门店-小计'!K15))</f>
        <v>0</v>
      </c>
      <c r="L97" s="45">
        <f>'线下门店-小计'!L29*(L15/('26年全渠道汇总'!L15-'线下门店-小计'!L15))</f>
        <v>0</v>
      </c>
      <c r="M97" s="45">
        <f>'线下门店-小计'!M29*(M15/('26年全渠道汇总'!M15-'线下门店-小计'!M15))</f>
        <v>0</v>
      </c>
      <c r="N97" s="45">
        <f>'线下门店-小计'!N29*(N15/('26年全渠道汇总'!N15-'线下门店-小计'!N15))</f>
        <v>0</v>
      </c>
      <c r="O97" s="6"/>
      <c r="P97" s="6"/>
      <c r="Q97" s="6"/>
      <c r="R97" s="6"/>
      <c r="S97" s="6"/>
      <c r="T97" s="6"/>
    </row>
    <row r="98" ht="16.8" spans="1:20">
      <c r="A98" s="6"/>
      <c r="B98" s="4" t="s">
        <v>43</v>
      </c>
      <c r="C98" s="45">
        <f>'线下门店-小计'!C30*(C15/('26年全渠道汇总'!C15-'线下门店-小计'!C15))</f>
        <v>0</v>
      </c>
      <c r="D98" s="45">
        <f>'线下门店-小计'!D30*(D15/('26年全渠道汇总'!D15-'线下门店-小计'!D15))</f>
        <v>0</v>
      </c>
      <c r="E98" s="45">
        <f>'线下门店-小计'!E30*(E15/('26年全渠道汇总'!E15-'线下门店-小计'!E15))</f>
        <v>0</v>
      </c>
      <c r="F98" s="45">
        <f>'线下门店-小计'!F30*(F15/('26年全渠道汇总'!F15-'线下门店-小计'!F15))</f>
        <v>0</v>
      </c>
      <c r="G98" s="45">
        <f>'线下门店-小计'!G30*(G15/('26年全渠道汇总'!G15-'线下门店-小计'!G15))</f>
        <v>0</v>
      </c>
      <c r="H98" s="45">
        <f>'线下门店-小计'!H30*(H15/('26年全渠道汇总'!H15-'线下门店-小计'!H15))</f>
        <v>0</v>
      </c>
      <c r="I98" s="45">
        <f>'线下门店-小计'!I30*(I15/('26年全渠道汇总'!I15-'线下门店-小计'!I15))</f>
        <v>0</v>
      </c>
      <c r="J98" s="45">
        <f>'线下门店-小计'!J30*(J15/('26年全渠道汇总'!J15-'线下门店-小计'!J15))</f>
        <v>0</v>
      </c>
      <c r="K98" s="45">
        <f>'线下门店-小计'!K30*(K15/('26年全渠道汇总'!K15-'线下门店-小计'!K15))</f>
        <v>0</v>
      </c>
      <c r="L98" s="45">
        <f>'线下门店-小计'!L30*(L15/('26年全渠道汇总'!L15-'线下门店-小计'!L15))</f>
        <v>0</v>
      </c>
      <c r="M98" s="45">
        <f>'线下门店-小计'!M30*(M15/('26年全渠道汇总'!M15-'线下门店-小计'!M15))</f>
        <v>0</v>
      </c>
      <c r="N98" s="45">
        <f>'线下门店-小计'!N30*(N15/('26年全渠道汇总'!N15-'线下门店-小计'!N15))</f>
        <v>0</v>
      </c>
      <c r="O98" s="6"/>
      <c r="P98" s="6"/>
      <c r="Q98" s="6"/>
      <c r="R98" s="6"/>
      <c r="S98" s="6"/>
      <c r="T98" s="6"/>
    </row>
    <row r="99" ht="16.8" spans="1:20">
      <c r="A99" s="6"/>
      <c r="B99" s="4" t="s">
        <v>44</v>
      </c>
      <c r="C99" s="45">
        <f>'线下门店-小计'!C31*(C15/('26年全渠道汇总'!C15-'线下门店-小计'!C15))</f>
        <v>0</v>
      </c>
      <c r="D99" s="45">
        <f>'线下门店-小计'!D31*(D15/('26年全渠道汇总'!D15-'线下门店-小计'!D15))</f>
        <v>0</v>
      </c>
      <c r="E99" s="45">
        <f>'线下门店-小计'!E31*(E15/('26年全渠道汇总'!E15-'线下门店-小计'!E15))</f>
        <v>0</v>
      </c>
      <c r="F99" s="45">
        <f>'线下门店-小计'!F31*(F15/('26年全渠道汇总'!F15-'线下门店-小计'!F15))</f>
        <v>0</v>
      </c>
      <c r="G99" s="45">
        <f>'线下门店-小计'!G31*(G15/('26年全渠道汇总'!G15-'线下门店-小计'!G15))</f>
        <v>0</v>
      </c>
      <c r="H99" s="45">
        <f>'线下门店-小计'!H31*(H15/('26年全渠道汇总'!H15-'线下门店-小计'!H15))</f>
        <v>0</v>
      </c>
      <c r="I99" s="45">
        <f>'线下门店-小计'!I31*(I15/('26年全渠道汇总'!I15-'线下门店-小计'!I15))</f>
        <v>0</v>
      </c>
      <c r="J99" s="45">
        <f>'线下门店-小计'!J31*(J15/('26年全渠道汇总'!J15-'线下门店-小计'!J15))</f>
        <v>0</v>
      </c>
      <c r="K99" s="45">
        <f>'线下门店-小计'!K31*(K15/('26年全渠道汇总'!K15-'线下门店-小计'!K15))</f>
        <v>0</v>
      </c>
      <c r="L99" s="45">
        <f>'线下门店-小计'!L31*(L15/('26年全渠道汇总'!L15-'线下门店-小计'!L15))</f>
        <v>0</v>
      </c>
      <c r="M99" s="45">
        <f>'线下门店-小计'!M31*(M15/('26年全渠道汇总'!M15-'线下门店-小计'!M15))</f>
        <v>0</v>
      </c>
      <c r="N99" s="45">
        <f>'线下门店-小计'!N31*(N15/('26年全渠道汇总'!N15-'线下门店-小计'!N15))</f>
        <v>0</v>
      </c>
      <c r="O99" s="6"/>
      <c r="P99" s="6"/>
      <c r="Q99" s="6"/>
      <c r="R99" s="6"/>
      <c r="S99" s="6"/>
      <c r="T99" s="6"/>
    </row>
    <row r="100" spans="1:2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>
      <c r="A101" s="6"/>
      <c r="B101" s="6" t="s">
        <v>121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ht="16.8" spans="1:20">
      <c r="A102" s="6"/>
      <c r="B102" s="17" t="s">
        <v>39</v>
      </c>
      <c r="C102" s="37">
        <f t="shared" ref="C102:N102" si="38">SUM(C103:C107)</f>
        <v>5807.72095639577</v>
      </c>
      <c r="D102" s="37">
        <f t="shared" si="38"/>
        <v>20397.761287936</v>
      </c>
      <c r="E102" s="37">
        <f t="shared" si="38"/>
        <v>36773.3801745794</v>
      </c>
      <c r="F102" s="37">
        <f t="shared" si="38"/>
        <v>20272.2787014281</v>
      </c>
      <c r="G102" s="37">
        <f t="shared" si="38"/>
        <v>91136.3128001331</v>
      </c>
      <c r="H102" s="37">
        <f t="shared" si="38"/>
        <v>51352.3933684122</v>
      </c>
      <c r="I102" s="37">
        <f t="shared" si="38"/>
        <v>9358.10442805757</v>
      </c>
      <c r="J102" s="37">
        <f t="shared" si="38"/>
        <v>16641.0784640835</v>
      </c>
      <c r="K102" s="37">
        <f t="shared" si="38"/>
        <v>13021.787110726</v>
      </c>
      <c r="L102" s="37">
        <f t="shared" si="38"/>
        <v>50497.8062119804</v>
      </c>
      <c r="M102" s="37">
        <f t="shared" si="38"/>
        <v>18207.4705585143</v>
      </c>
      <c r="N102" s="37">
        <f t="shared" si="38"/>
        <v>10744.6414828282</v>
      </c>
      <c r="O102" s="6"/>
      <c r="P102" s="6"/>
      <c r="Q102" s="6"/>
      <c r="R102" s="6"/>
      <c r="S102" s="6"/>
      <c r="T102" s="6"/>
    </row>
    <row r="103" ht="16.8" spans="1:20">
      <c r="A103" s="6"/>
      <c r="B103" s="4" t="s">
        <v>40</v>
      </c>
      <c r="C103" s="45">
        <f t="shared" ref="C103:N103" si="39">C95+C27</f>
        <v>0</v>
      </c>
      <c r="D103" s="45">
        <f t="shared" si="39"/>
        <v>0</v>
      </c>
      <c r="E103" s="45">
        <f t="shared" si="39"/>
        <v>1004.73716323987</v>
      </c>
      <c r="F103" s="45">
        <f t="shared" si="39"/>
        <v>824.076369976751</v>
      </c>
      <c r="G103" s="45">
        <f t="shared" si="39"/>
        <v>1815.46439840903</v>
      </c>
      <c r="H103" s="45">
        <f t="shared" si="39"/>
        <v>1556.13313237613</v>
      </c>
      <c r="I103" s="45">
        <f t="shared" si="39"/>
        <v>995.543024261444</v>
      </c>
      <c r="J103" s="45">
        <f t="shared" si="39"/>
        <v>1410.26088678674</v>
      </c>
      <c r="K103" s="45">
        <f t="shared" si="39"/>
        <v>1103.54128057</v>
      </c>
      <c r="L103" s="45">
        <f t="shared" si="39"/>
        <v>2019.91224847922</v>
      </c>
      <c r="M103" s="45">
        <f t="shared" si="39"/>
        <v>1400.57465834725</v>
      </c>
      <c r="N103" s="45">
        <f t="shared" si="39"/>
        <v>0</v>
      </c>
      <c r="O103" s="6"/>
      <c r="P103" s="6"/>
      <c r="Q103" s="6"/>
      <c r="R103" s="6"/>
      <c r="S103" s="6"/>
      <c r="T103" s="6"/>
    </row>
    <row r="104" ht="16.8" spans="1:20">
      <c r="A104" s="6"/>
      <c r="B104" s="4" t="s">
        <v>41</v>
      </c>
      <c r="C104" s="45">
        <f t="shared" ref="C104:N104" si="40">C96+C28</f>
        <v>0</v>
      </c>
      <c r="D104" s="45">
        <f t="shared" si="40"/>
        <v>0</v>
      </c>
      <c r="E104" s="45">
        <f t="shared" si="40"/>
        <v>0</v>
      </c>
      <c r="F104" s="45">
        <f t="shared" si="40"/>
        <v>988.891643972101</v>
      </c>
      <c r="G104" s="45">
        <f t="shared" si="40"/>
        <v>10892.7863904541</v>
      </c>
      <c r="H104" s="45">
        <f t="shared" si="40"/>
        <v>4979.62602360361</v>
      </c>
      <c r="I104" s="45">
        <f t="shared" si="40"/>
        <v>0</v>
      </c>
      <c r="J104" s="45">
        <f t="shared" si="40"/>
        <v>1692.31306414409</v>
      </c>
      <c r="K104" s="45">
        <f t="shared" si="40"/>
        <v>3531.33209782399</v>
      </c>
      <c r="L104" s="45">
        <f t="shared" si="40"/>
        <v>2423.89469817506</v>
      </c>
      <c r="M104" s="45">
        <f t="shared" si="40"/>
        <v>1680.6895900167</v>
      </c>
      <c r="N104" s="45">
        <f t="shared" si="40"/>
        <v>0</v>
      </c>
      <c r="O104" s="6"/>
      <c r="P104" s="6"/>
      <c r="Q104" s="6"/>
      <c r="R104" s="6"/>
      <c r="S104" s="6"/>
      <c r="T104" s="6"/>
    </row>
    <row r="105" ht="16.8" spans="1:20">
      <c r="A105" s="6"/>
      <c r="B105" s="4" t="s">
        <v>42</v>
      </c>
      <c r="C105" s="45">
        <f t="shared" ref="C105:N105" si="41">C97+C29</f>
        <v>483.976746366314</v>
      </c>
      <c r="D105" s="45">
        <f t="shared" si="41"/>
        <v>392.264640152616</v>
      </c>
      <c r="E105" s="45">
        <f t="shared" si="41"/>
        <v>401.894865295949</v>
      </c>
      <c r="F105" s="45">
        <f t="shared" si="41"/>
        <v>1648.1527399535</v>
      </c>
      <c r="G105" s="45">
        <f t="shared" si="41"/>
        <v>10892.7863904541</v>
      </c>
      <c r="H105" s="45">
        <f t="shared" si="41"/>
        <v>6846.98578245496</v>
      </c>
      <c r="I105" s="45">
        <f t="shared" si="41"/>
        <v>0</v>
      </c>
      <c r="J105" s="45">
        <f t="shared" si="41"/>
        <v>1692.31306414409</v>
      </c>
      <c r="K105" s="45">
        <f t="shared" si="41"/>
        <v>3531.33209782399</v>
      </c>
      <c r="L105" s="45">
        <f t="shared" si="41"/>
        <v>4039.82449695843</v>
      </c>
      <c r="M105" s="45">
        <f t="shared" si="41"/>
        <v>2801.1493166945</v>
      </c>
      <c r="N105" s="45">
        <f t="shared" si="41"/>
        <v>488.392794674008</v>
      </c>
      <c r="O105" s="6"/>
      <c r="P105" s="6"/>
      <c r="Q105" s="6"/>
      <c r="R105" s="6"/>
      <c r="S105" s="6"/>
      <c r="T105" s="6"/>
    </row>
    <row r="106" ht="16.8" spans="1:20">
      <c r="A106" s="6"/>
      <c r="B106" s="4" t="s">
        <v>43</v>
      </c>
      <c r="C106" s="45">
        <f t="shared" ref="C106:N106" si="42">C98+C30</f>
        <v>483.976746366314</v>
      </c>
      <c r="D106" s="45">
        <f t="shared" si="42"/>
        <v>392.264640152616</v>
      </c>
      <c r="E106" s="45">
        <f t="shared" si="42"/>
        <v>3215.15892236759</v>
      </c>
      <c r="F106" s="45">
        <f t="shared" si="42"/>
        <v>329.6305479907</v>
      </c>
      <c r="G106" s="45">
        <f t="shared" si="42"/>
        <v>2178.55727809083</v>
      </c>
      <c r="H106" s="45">
        <f t="shared" si="42"/>
        <v>622.453252950451</v>
      </c>
      <c r="I106" s="45">
        <f t="shared" si="42"/>
        <v>398.217209704578</v>
      </c>
      <c r="J106" s="45">
        <f t="shared" si="42"/>
        <v>564.104354714696</v>
      </c>
      <c r="K106" s="45">
        <f t="shared" si="42"/>
        <v>441.416512227999</v>
      </c>
      <c r="L106" s="45">
        <f t="shared" si="42"/>
        <v>1615.92979878337</v>
      </c>
      <c r="M106" s="45">
        <f t="shared" si="42"/>
        <v>1120.4597266778</v>
      </c>
      <c r="N106" s="45">
        <f t="shared" si="42"/>
        <v>488.392794674008</v>
      </c>
      <c r="O106" s="6"/>
      <c r="P106" s="6"/>
      <c r="Q106" s="6"/>
      <c r="R106" s="6"/>
      <c r="S106" s="6"/>
      <c r="T106" s="6"/>
    </row>
    <row r="107" ht="16.8" spans="1:20">
      <c r="A107" s="6"/>
      <c r="B107" s="4" t="s">
        <v>44</v>
      </c>
      <c r="C107" s="45">
        <f t="shared" ref="C107:N107" si="43">C99+C31</f>
        <v>4839.76746366314</v>
      </c>
      <c r="D107" s="45">
        <f t="shared" si="43"/>
        <v>19613.2320076308</v>
      </c>
      <c r="E107" s="45">
        <f t="shared" si="43"/>
        <v>32151.5892236759</v>
      </c>
      <c r="F107" s="45">
        <f t="shared" si="43"/>
        <v>16481.527399535</v>
      </c>
      <c r="G107" s="45">
        <f t="shared" si="43"/>
        <v>65356.7183427249</v>
      </c>
      <c r="H107" s="45">
        <f t="shared" si="43"/>
        <v>37347.1951770271</v>
      </c>
      <c r="I107" s="45">
        <f t="shared" si="43"/>
        <v>7964.34419409155</v>
      </c>
      <c r="J107" s="45">
        <f t="shared" si="43"/>
        <v>11282.0870942939</v>
      </c>
      <c r="K107" s="45">
        <f t="shared" si="43"/>
        <v>4414.16512227999</v>
      </c>
      <c r="L107" s="45">
        <f t="shared" si="43"/>
        <v>40398.2449695843</v>
      </c>
      <c r="M107" s="45">
        <f t="shared" si="43"/>
        <v>11204.597266778</v>
      </c>
      <c r="N107" s="45">
        <f t="shared" si="43"/>
        <v>9767.85589348017</v>
      </c>
      <c r="O107" s="6"/>
      <c r="P107" s="6"/>
      <c r="Q107" s="6"/>
      <c r="R107" s="6"/>
      <c r="S107" s="6"/>
      <c r="T107" s="6"/>
    </row>
    <row r="108" spans="1:20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</sheetData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4C724"/>
    <outlinePr summaryBelow="0" summaryRight="0"/>
  </sheetPr>
  <dimension ref="A1:S201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4.4"/>
  <cols>
    <col min="1" max="1" width="7" customWidth="1"/>
    <col min="2" max="2" width="30" customWidth="1"/>
    <col min="3" max="15" width="19" customWidth="1"/>
    <col min="16" max="17" width="14" customWidth="1"/>
    <col min="18" max="18" width="11" customWidth="1"/>
    <col min="19" max="20" width="14" customWidth="1"/>
  </cols>
  <sheetData>
    <row r="1" ht="17" spans="1:18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</row>
    <row r="2" ht="16.8" spans="1:18">
      <c r="B2" s="4" t="s">
        <v>16</v>
      </c>
      <c r="C2" s="5">
        <f>+抖音!C2+抖音达播!C2+快手!C2</f>
        <v>18131.4430665715</v>
      </c>
      <c r="D2" s="5">
        <f>+抖音!D2+抖音达播!D2+快手!D2</f>
        <v>16537.4700497301</v>
      </c>
      <c r="E2" s="5">
        <f>+抖音!E2+抖音达播!E2+快手!E2</f>
        <v>19326.9228292026</v>
      </c>
      <c r="F2" s="5">
        <f>+抖音!F2+抖音达播!F2+快手!F2</f>
        <v>16039.3534819671</v>
      </c>
      <c r="G2" s="5">
        <f>+抖音!G2+抖音达播!G2+快手!G2</f>
        <v>27994.151108278</v>
      </c>
      <c r="H2" s="5">
        <f>+抖音!H2+抖音达播!H2+快手!H2</f>
        <v>24208.4651932795</v>
      </c>
      <c r="I2" s="5">
        <f>+抖音!I2+抖音达播!I2+快手!I2</f>
        <v>15740.4835413093</v>
      </c>
      <c r="J2" s="5">
        <f>+抖音!J2+抖音达播!J2+快手!J2</f>
        <v>19785.1900715445</v>
      </c>
      <c r="K2" s="5">
        <f>+抖音!K2+抖音达播!K2+快手!K2</f>
        <v>21817.5056680174</v>
      </c>
      <c r="L2" s="5">
        <f>+抖音!L2+抖音达播!L2+快手!L2</f>
        <v>28910.6855929618</v>
      </c>
      <c r="M2" s="5">
        <f>+抖音!M2+抖音达播!M2+快手!M2</f>
        <v>22475.0195374645</v>
      </c>
      <c r="N2" s="5">
        <f>+抖音!N2+抖音达播!N2+快手!N2</f>
        <v>20084.0600122023</v>
      </c>
      <c r="O2" s="5">
        <f>SUM(C2:N2)</f>
        <v>251050.750152528</v>
      </c>
      <c r="P2" s="5"/>
      <c r="Q2" s="6"/>
    </row>
    <row r="3" ht="16.8" spans="1:18">
      <c r="A3" s="7"/>
      <c r="B3" s="8" t="s">
        <v>17</v>
      </c>
      <c r="C3" s="9">
        <f>+抖音!C3+抖音达播!C3+快手!C3</f>
        <v>11616669.7750193</v>
      </c>
      <c r="D3" s="9">
        <f>+抖音!D3+抖音达播!D3+快手!D3</f>
        <v>13068753.4968967</v>
      </c>
      <c r="E3" s="9">
        <f>+抖音!E3+抖音达播!E3+快手!E3</f>
        <v>8712502.33126447</v>
      </c>
      <c r="F3" s="9">
        <f>+抖音!F3+抖音达播!F3+快手!F3</f>
        <v>7260418.60938706</v>
      </c>
      <c r="G3" s="9">
        <f>+抖音!G3+抖音达播!G3+快手!G3</f>
        <v>15972920.9406515</v>
      </c>
      <c r="H3" s="9">
        <f>+抖音!H3+抖音达播!H3+快手!H3</f>
        <v>14520837.2187741</v>
      </c>
      <c r="I3" s="9">
        <f>+抖音!I3+抖音达播!I3+快手!I3</f>
        <v>8712502.33126447</v>
      </c>
      <c r="J3" s="9">
        <f>+抖音!J3+抖音达播!J3+快手!J3</f>
        <v>13068753.4968967</v>
      </c>
      <c r="K3" s="9">
        <f>+抖音!K3+抖音达播!K3+快手!K3</f>
        <v>8712502.33126447</v>
      </c>
      <c r="L3" s="9">
        <f>+抖音!L3+抖音达播!L3+快手!L3</f>
        <v>15972920.9406515</v>
      </c>
      <c r="M3" s="9">
        <f>+抖音!M3+抖音达播!M3+快手!M3</f>
        <v>14520837.2187741</v>
      </c>
      <c r="N3" s="9">
        <f>+抖音!N3+抖音达播!N3+快手!N3</f>
        <v>13068753.4968967</v>
      </c>
      <c r="O3" s="9">
        <f>SUM(C3:N3)</f>
        <v>145208372.187741</v>
      </c>
      <c r="P3" s="9"/>
      <c r="Q3" s="10" t="s">
        <v>83</v>
      </c>
    </row>
    <row r="4" ht="16.8" spans="1:18">
      <c r="A4" s="7"/>
      <c r="B4" s="8" t="s">
        <v>84</v>
      </c>
      <c r="C4" s="9">
        <f>+抖音!C4+抖音达播!C4+快手!C4</f>
        <v>8473081.11134433</v>
      </c>
      <c r="D4" s="9">
        <f>+抖音!D4+抖音达播!D4+快手!D4</f>
        <v>9398043.83469955</v>
      </c>
      <c r="E4" s="9">
        <f>+抖音!E4+抖音达播!E4+快手!E4</f>
        <v>6431973.4810476</v>
      </c>
      <c r="F4" s="9">
        <f>+抖音!F4+抖音达播!F4+快手!F4</f>
        <v>5429399.11944852</v>
      </c>
      <c r="G4" s="9">
        <f>+抖音!G4+抖音达播!G4+快手!G4</f>
        <v>11333771.3393222</v>
      </c>
      <c r="H4" s="9">
        <f>+抖音!H4+抖音达播!H4+快手!H4</f>
        <v>10303428.4902929</v>
      </c>
      <c r="I4" s="9">
        <f>+抖音!I4+抖音达播!I4+快手!I4</f>
        <v>6515278.94333822</v>
      </c>
      <c r="J4" s="9">
        <f>+抖音!J4+抖音达播!J4+快手!J4</f>
        <v>9523002.02813547</v>
      </c>
      <c r="K4" s="9">
        <f>+抖音!K4+抖音达播!K4+快手!K4</f>
        <v>6515278.94333822</v>
      </c>
      <c r="L4" s="9">
        <f>+抖音!L4+抖音达播!L4+快手!L4</f>
        <v>11333771.3393222</v>
      </c>
      <c r="M4" s="9">
        <f>+抖音!M4+抖音达播!M4+快手!M4</f>
        <v>10581113.364595</v>
      </c>
      <c r="N4" s="9">
        <f>+抖音!N4+抖音达播!N4+快手!N4</f>
        <v>9772918.41500733</v>
      </c>
      <c r="O4" s="9">
        <f>SUM(C4:N4)</f>
        <v>105611060.409892</v>
      </c>
      <c r="P4" s="9"/>
      <c r="Q4" s="10" t="s">
        <v>83</v>
      </c>
    </row>
    <row r="5" ht="16.8" spans="1:18">
      <c r="A5" s="7"/>
      <c r="B5" s="8" t="s">
        <v>18</v>
      </c>
      <c r="C5" s="9">
        <f>+抖音!C5+抖音达播!C5+快手!C5</f>
        <v>1270962.16670165</v>
      </c>
      <c r="D5" s="9">
        <f>+抖音!D5+抖音达播!D5+快手!D5</f>
        <v>1409706.57520493</v>
      </c>
      <c r="E5" s="9">
        <f>+抖音!E5+抖音达播!E5+快手!E5</f>
        <v>964796.02215714</v>
      </c>
      <c r="F5" s="9">
        <f>+抖音!F5+抖音达播!F5+快手!F5</f>
        <v>814409.867917278</v>
      </c>
      <c r="G5" s="9">
        <f>+抖音!G5+抖音达播!G5+快手!G5</f>
        <v>1700065.70089833</v>
      </c>
      <c r="H5" s="9">
        <f>+抖音!H5+抖音达播!H5+快手!H5</f>
        <v>1545514.27354394</v>
      </c>
      <c r="I5" s="9">
        <f>+抖音!I5+抖音达播!I5+快手!I5</f>
        <v>977291.841500733</v>
      </c>
      <c r="J5" s="9">
        <f>+抖音!J5+抖音达播!J5+快手!J5</f>
        <v>1428450.30422032</v>
      </c>
      <c r="K5" s="9">
        <f>+抖音!K5+抖音达播!K5+快手!K5</f>
        <v>977291.841500733</v>
      </c>
      <c r="L5" s="9">
        <f>+抖音!L5+抖音达播!L5+快手!L5</f>
        <v>1700065.70089833</v>
      </c>
      <c r="M5" s="9">
        <f>+抖音!M5+抖音达播!M5+快手!M5</f>
        <v>1587167.00468925</v>
      </c>
      <c r="N5" s="9">
        <f>+抖音!N5+抖音达播!N5+快手!N5</f>
        <v>1465937.7622511</v>
      </c>
      <c r="O5" s="9">
        <f>SUM(C5:N5)</f>
        <v>15841659.0614837</v>
      </c>
      <c r="P5" s="9"/>
      <c r="Q5" s="11" t="s">
        <v>83</v>
      </c>
    </row>
    <row r="6" ht="16.8" spans="1:18">
      <c r="A6" s="7"/>
      <c r="B6" s="12" t="s">
        <v>85</v>
      </c>
      <c r="C6" s="13">
        <f>+抖音!C6+抖音达播!C6+快手!C6</f>
        <v>9874169.3087664</v>
      </c>
      <c r="D6" s="13">
        <f>+抖音!D6+抖音达播!D6+快手!D6</f>
        <v>11108440.4723622</v>
      </c>
      <c r="E6" s="13">
        <f>+抖音!E6+抖音达播!E6+快手!E6</f>
        <v>7405626.9815748</v>
      </c>
      <c r="F6" s="13">
        <f>+抖音!F6+抖音达播!F6+快手!F6</f>
        <v>6171355.817979</v>
      </c>
      <c r="G6" s="13">
        <f>+抖音!G6+抖音达播!G6+快手!G6</f>
        <v>13576982.7995538</v>
      </c>
      <c r="H6" s="13">
        <f>+抖音!H6+抖音达播!H6+快手!H6</f>
        <v>12342711.635958</v>
      </c>
      <c r="I6" s="13">
        <f>+抖音!I6+抖音达播!I6+快手!I6</f>
        <v>7405626.9815748</v>
      </c>
      <c r="J6" s="13">
        <f>+抖音!J6+抖音达播!J6+快手!J6</f>
        <v>11108440.4723622</v>
      </c>
      <c r="K6" s="13">
        <f>+抖音!K6+抖音达播!K6+快手!K6</f>
        <v>7405626.9815748</v>
      </c>
      <c r="L6" s="13">
        <f>+抖音!L6+抖音达播!L6+快手!L6</f>
        <v>13576982.7995538</v>
      </c>
      <c r="M6" s="13">
        <f>+抖音!M6+抖音达播!M6+快手!M6</f>
        <v>12342711.635958</v>
      </c>
      <c r="N6" s="13">
        <f>+抖音!N6+抖音达播!N6+快手!N6</f>
        <v>11108440.4723622</v>
      </c>
      <c r="O6" s="13">
        <f>SUM(C6:N6)</f>
        <v>123427116.35958</v>
      </c>
      <c r="P6" s="13"/>
      <c r="Q6" s="11" t="s">
        <v>83</v>
      </c>
    </row>
    <row r="7" ht="16.8" spans="1:18">
      <c r="A7" s="7"/>
      <c r="B7" s="14" t="s">
        <v>20</v>
      </c>
      <c r="C7" s="15">
        <f t="shared" ref="C7:O7" si="0">1-C8/C6</f>
        <v>0.270610142541453</v>
      </c>
      <c r="D7" s="15">
        <f t="shared" si="0"/>
        <v>0.2808768</v>
      </c>
      <c r="E7" s="15">
        <f t="shared" si="0"/>
        <v>0.2617536</v>
      </c>
      <c r="F7" s="15">
        <f t="shared" si="0"/>
        <v>0.252192</v>
      </c>
      <c r="G7" s="15">
        <f t="shared" si="0"/>
        <v>0.2904384</v>
      </c>
      <c r="H7" s="15">
        <f t="shared" si="0"/>
        <v>0.2904384</v>
      </c>
      <c r="I7" s="15">
        <f t="shared" si="0"/>
        <v>0.252192</v>
      </c>
      <c r="J7" s="15">
        <f t="shared" si="0"/>
        <v>0.2713152</v>
      </c>
      <c r="K7" s="15">
        <f t="shared" si="0"/>
        <v>0.252192</v>
      </c>
      <c r="L7" s="15">
        <f t="shared" si="0"/>
        <v>0.2904384</v>
      </c>
      <c r="M7" s="15">
        <f t="shared" si="0"/>
        <v>0.2713152</v>
      </c>
      <c r="N7" s="15">
        <f t="shared" si="0"/>
        <v>0.252192</v>
      </c>
      <c r="O7" s="15">
        <f t="shared" si="0"/>
        <v>0.272693035403316</v>
      </c>
      <c r="P7" s="15"/>
      <c r="Q7" s="6" t="s">
        <v>83</v>
      </c>
    </row>
    <row r="8" ht="16.8" spans="1:18">
      <c r="A8" s="7"/>
      <c r="B8" s="12" t="s">
        <v>86</v>
      </c>
      <c r="C8" s="13">
        <f>+抖音!C8+抖音达播!C8+快手!C8</f>
        <v>7202118.94464268</v>
      </c>
      <c r="D8" s="13">
        <f>+抖音!D8+抖音达播!D8+快手!D8</f>
        <v>7988337.25949461</v>
      </c>
      <c r="E8" s="13">
        <f>+抖音!E8+抖音达播!E8+快手!E8</f>
        <v>5467177.45889046</v>
      </c>
      <c r="F8" s="13">
        <f>+抖音!F8+抖音达播!F8+快手!F8</f>
        <v>4614989.25153124</v>
      </c>
      <c r="G8" s="13">
        <f>+抖音!G8+抖音达播!G8+快手!G8</f>
        <v>9633705.63842387</v>
      </c>
      <c r="H8" s="13">
        <f>+抖音!H8+抖音达播!H8+快手!H8</f>
        <v>8757914.21674898</v>
      </c>
      <c r="I8" s="13">
        <f>+抖音!I8+抖音达播!I8+快手!I8</f>
        <v>5537987.10183749</v>
      </c>
      <c r="J8" s="13">
        <f>+抖音!J8+抖音达播!J8+快手!J8</f>
        <v>8094551.72391515</v>
      </c>
      <c r="K8" s="13">
        <f>+抖音!K8+抖音达播!K8+快手!K8</f>
        <v>5537987.10183749</v>
      </c>
      <c r="L8" s="13">
        <f>+抖音!L8+抖音达播!L8+快手!L8</f>
        <v>9633705.63842387</v>
      </c>
      <c r="M8" s="13">
        <f>+抖音!M8+抖音达播!M8+快手!M8</f>
        <v>8993946.35990573</v>
      </c>
      <c r="N8" s="13">
        <f>+抖音!N8+抖音达播!N8+快手!N8</f>
        <v>8306980.65275623</v>
      </c>
      <c r="O8" s="13">
        <f>SUM(C8:N8)</f>
        <v>89769401.3484078</v>
      </c>
      <c r="P8" s="13"/>
      <c r="Q8" s="6" t="s">
        <v>83</v>
      </c>
    </row>
    <row r="9" ht="16.8" spans="1:18">
      <c r="B9" s="4"/>
      <c r="C9" s="5">
        <f>+抖音!C9+抖音达播!C9+快手!C9</f>
        <v>0</v>
      </c>
      <c r="D9" s="5">
        <f>+抖音!D9+抖音达播!D9+快手!D9</f>
        <v>0</v>
      </c>
      <c r="E9" s="5">
        <f>+抖音!E9+抖音达播!E9+快手!E9</f>
        <v>0</v>
      </c>
      <c r="F9" s="5">
        <f>+抖音!F9+抖音达播!F9+快手!F9</f>
        <v>0</v>
      </c>
      <c r="G9" s="5">
        <f>+抖音!G9+抖音达播!G9+快手!G9</f>
        <v>0</v>
      </c>
      <c r="H9" s="5">
        <f>+抖音!H9+抖音达播!H9+快手!H9</f>
        <v>0</v>
      </c>
      <c r="I9" s="5">
        <f>+抖音!I9+抖音达播!I9+快手!I9</f>
        <v>0</v>
      </c>
      <c r="J9" s="5">
        <f>+抖音!J9+抖音达播!J9+快手!J9</f>
        <v>0</v>
      </c>
      <c r="K9" s="5">
        <f>+抖音!K9+抖音达播!K9+快手!K9</f>
        <v>0</v>
      </c>
      <c r="L9" s="5">
        <f>+抖音!L9+抖音达播!L9+快手!L9</f>
        <v>0</v>
      </c>
      <c r="M9" s="5">
        <f>+抖音!M9+抖音达播!M9+快手!M9</f>
        <v>0</v>
      </c>
      <c r="N9" s="5">
        <f>+抖音!N9+抖音达播!N9+快手!N9</f>
        <v>0</v>
      </c>
      <c r="O9" s="5">
        <f>O8+O14-O10</f>
        <v>0</v>
      </c>
      <c r="P9" s="5"/>
      <c r="Q9" s="6"/>
    </row>
    <row r="10" ht="16.8" spans="1:18">
      <c r="A10" s="7"/>
      <c r="B10" s="12" t="s">
        <v>22</v>
      </c>
      <c r="C10" s="13">
        <f>+抖音!C10+抖音达播!C10+快手!C10</f>
        <v>11054624.134038</v>
      </c>
      <c r="D10" s="13">
        <f>+抖音!D10+抖音达播!D10+快手!D10</f>
        <v>10160822.2919244</v>
      </c>
      <c r="E10" s="13">
        <f>+抖音!E10+抖音达播!E10+快手!E10</f>
        <v>6543204.43484975</v>
      </c>
      <c r="F10" s="13">
        <f>+抖音!F10+抖音达播!F10+快手!F10</f>
        <v>5509697.58383005</v>
      </c>
      <c r="G10" s="13">
        <f>+抖音!G10+抖音达播!G10+快手!G10</f>
        <v>11576323.2886648</v>
      </c>
      <c r="H10" s="13">
        <f>+抖音!H10+抖音达播!H10+快手!H10</f>
        <v>10528027.5902567</v>
      </c>
      <c r="I10" s="13">
        <f>+抖音!I10+抖音达播!I10+快手!I10</f>
        <v>6628874.31847371</v>
      </c>
      <c r="J10" s="13">
        <f>+抖音!J10+抖音达播!J10+快手!J10</f>
        <v>9713992.08341633</v>
      </c>
      <c r="K10" s="13">
        <f>+抖音!K10+抖音达播!K10+快手!K10</f>
        <v>6628874.31847371</v>
      </c>
      <c r="L10" s="13">
        <f>+抖音!L10+抖音达播!L10+快手!L10</f>
        <v>11581411.4332332</v>
      </c>
      <c r="M10" s="13">
        <f>+抖音!M10+抖音达播!M10+快手!M10</f>
        <v>10795520.7769685</v>
      </c>
      <c r="N10" s="13">
        <f>+抖音!N10+抖音达播!N10+快手!N10</f>
        <v>9984314.62672685</v>
      </c>
      <c r="O10" s="13">
        <f t="shared" ref="O10:O16" si="1">SUM(C10:N10)</f>
        <v>110705686.880856</v>
      </c>
      <c r="P10" s="13"/>
      <c r="Q10" s="6"/>
    </row>
    <row r="11" ht="16.8" spans="1:18">
      <c r="B11" s="17" t="s">
        <v>23</v>
      </c>
      <c r="C11" s="18">
        <f>+抖音!C11+抖音达播!C11+快手!C11</f>
        <v>0</v>
      </c>
      <c r="D11" s="18">
        <f>+抖音!D11+抖音达播!D11+快手!D11</f>
        <v>0</v>
      </c>
      <c r="E11" s="18">
        <f>+抖音!E11+抖音达播!E11+快手!E11</f>
        <v>0</v>
      </c>
      <c r="F11" s="18">
        <f>+抖音!F11+抖音达播!F11+快手!F11</f>
        <v>0</v>
      </c>
      <c r="G11" s="18">
        <f>+抖音!G11+抖音达播!G11+快手!G11</f>
        <v>0</v>
      </c>
      <c r="H11" s="18">
        <f>+抖音!H11+抖音达播!H11+快手!H11</f>
        <v>0</v>
      </c>
      <c r="I11" s="18">
        <f>+抖音!I11+抖音达播!I11+快手!I11</f>
        <v>0</v>
      </c>
      <c r="J11" s="18">
        <f>+抖音!J11+抖音达播!J11+快手!J11</f>
        <v>0</v>
      </c>
      <c r="K11" s="18">
        <f>+抖音!K11+抖音达播!K11+快手!K11</f>
        <v>0</v>
      </c>
      <c r="L11" s="18">
        <f>+抖音!L11+抖音达播!L11+快手!L11</f>
        <v>0</v>
      </c>
      <c r="M11" s="18">
        <f>+抖音!M11+抖音达播!M11+快手!M11</f>
        <v>0</v>
      </c>
      <c r="N11" s="18">
        <f>+抖音!N11+抖音达播!N11+快手!N11</f>
        <v>0</v>
      </c>
      <c r="O11" s="18">
        <f t="shared" si="1"/>
        <v>0</v>
      </c>
      <c r="P11" s="18"/>
      <c r="Q11" s="6" t="s">
        <v>88</v>
      </c>
    </row>
    <row r="12" ht="16.8" spans="1:18">
      <c r="B12" s="17" t="s">
        <v>25</v>
      </c>
      <c r="C12" s="18">
        <f>+抖音!C12+抖音达播!C12+快手!C12</f>
        <v>1270962.16670165</v>
      </c>
      <c r="D12" s="18">
        <f>+抖音!D12+抖音达播!D12+快手!D12</f>
        <v>1409706.57520493</v>
      </c>
      <c r="E12" s="18">
        <f>+抖音!E12+抖音达播!E12+快手!E12</f>
        <v>964796.02215714</v>
      </c>
      <c r="F12" s="18">
        <f>+抖音!F12+抖音达播!F12+快手!F12</f>
        <v>814409.867917278</v>
      </c>
      <c r="G12" s="18">
        <f>+抖音!G12+抖音达播!G12+快手!G12</f>
        <v>1700065.70089833</v>
      </c>
      <c r="H12" s="18">
        <f>+抖音!H12+抖音达播!H12+快手!H12</f>
        <v>1545514.27354394</v>
      </c>
      <c r="I12" s="18">
        <f>+抖音!I12+抖音达播!I12+快手!I12</f>
        <v>977291.841500733</v>
      </c>
      <c r="J12" s="18">
        <f>+抖音!J12+抖音达播!J12+快手!J12</f>
        <v>1428450.30422032</v>
      </c>
      <c r="K12" s="18">
        <f>+抖音!K12+抖音达播!K12+快手!K12</f>
        <v>977291.841500733</v>
      </c>
      <c r="L12" s="18">
        <f>+抖音!L12+抖音达播!L12+快手!L12</f>
        <v>1700065.70089833</v>
      </c>
      <c r="M12" s="18">
        <f>+抖音!M12+抖音达播!M12+快手!M12</f>
        <v>1587167.00468925</v>
      </c>
      <c r="N12" s="18">
        <f>+抖音!N12+抖音达播!N12+快手!N12</f>
        <v>1465937.7622511</v>
      </c>
      <c r="O12" s="18">
        <f t="shared" si="1"/>
        <v>15841659.0614837</v>
      </c>
      <c r="P12" s="19">
        <v>0.15</v>
      </c>
      <c r="Q12" s="6" t="s">
        <v>83</v>
      </c>
      <c r="R12" s="20">
        <f>O12/$O$10</f>
        <v>0.143097066716481</v>
      </c>
    </row>
    <row r="13" ht="24" customHeight="1" spans="1:18">
      <c r="B13" s="17" t="s">
        <v>27</v>
      </c>
      <c r="C13" s="18">
        <f>+抖音!C13+抖音达播!C13+快手!C13</f>
        <v>2581543.02269363</v>
      </c>
      <c r="D13" s="18">
        <f>+抖音!D13+抖音达播!D13+快手!D13</f>
        <v>762778.457224833</v>
      </c>
      <c r="E13" s="18">
        <f>+抖音!E13+抖音达播!E13+快手!E13</f>
        <v>111230.953802151</v>
      </c>
      <c r="F13" s="18">
        <f>+抖音!F13+抖音达播!F13+快手!F13</f>
        <v>80298.4643815309</v>
      </c>
      <c r="G13" s="18">
        <f>+抖音!G13+抖音达播!G13+快手!G13</f>
        <v>242551.949342601</v>
      </c>
      <c r="H13" s="18">
        <f>+抖音!H13+抖音达播!H13+快手!H13</f>
        <v>224599.099963751</v>
      </c>
      <c r="I13" s="18">
        <f>+抖音!I13+抖音达播!I13+快手!I13</f>
        <v>113595.375135491</v>
      </c>
      <c r="J13" s="18">
        <f>+抖音!J13+抖音达播!J13+快手!J13</f>
        <v>190990.055280859</v>
      </c>
      <c r="K13" s="18">
        <f>+抖音!K13+抖音达播!K13+快手!K13</f>
        <v>113595.375135491</v>
      </c>
      <c r="L13" s="18">
        <f>+抖音!L13+抖音达播!L13+快手!L13</f>
        <v>247640.093911042</v>
      </c>
      <c r="M13" s="18">
        <f>+抖音!M13+抖音达播!M13+快手!M13</f>
        <v>214407.412373519</v>
      </c>
      <c r="N13" s="18">
        <f>+抖音!N13+抖音达播!N13+快手!N13</f>
        <v>211396.211719522</v>
      </c>
      <c r="O13" s="18">
        <f t="shared" si="1"/>
        <v>5094626.47096442</v>
      </c>
      <c r="P13" s="19"/>
      <c r="Q13" s="6" t="s">
        <v>83</v>
      </c>
      <c r="R13" s="20">
        <f>O13/$O$10</f>
        <v>0.0460195552234581</v>
      </c>
    </row>
    <row r="14" ht="16.8" spans="1:18">
      <c r="B14" s="21" t="s">
        <v>28</v>
      </c>
      <c r="C14" s="22">
        <f>+抖音!C14+抖音达播!C14+快手!C14</f>
        <v>3852505.18939528</v>
      </c>
      <c r="D14" s="22">
        <f>+抖音!D14+抖音达播!D14+快手!D14</f>
        <v>2172485.03242976</v>
      </c>
      <c r="E14" s="22">
        <f>+抖音!E14+抖音达播!E14+快手!E14</f>
        <v>1076026.97595929</v>
      </c>
      <c r="F14" s="22">
        <f>+抖音!F14+抖音达播!F14+快手!F14</f>
        <v>894708.332298809</v>
      </c>
      <c r="G14" s="22">
        <f>+抖音!G14+抖音达播!G14+快手!G14</f>
        <v>1942617.65024093</v>
      </c>
      <c r="H14" s="22">
        <f>+抖音!H14+抖音达播!H14+快手!H14</f>
        <v>1770113.37350769</v>
      </c>
      <c r="I14" s="22">
        <f>+抖音!I14+抖音达播!I14+快手!I14</f>
        <v>1090887.21663622</v>
      </c>
      <c r="J14" s="22">
        <f>+抖音!J14+抖音达播!J14+快手!J14</f>
        <v>1619440.35950118</v>
      </c>
      <c r="K14" s="22">
        <f>+抖音!K14+抖音达播!K14+快手!K14</f>
        <v>1090887.21663622</v>
      </c>
      <c r="L14" s="22">
        <f>+抖音!L14+抖音达播!L14+快手!L14</f>
        <v>1947705.79480937</v>
      </c>
      <c r="M14" s="22">
        <f>+抖音!M14+抖音达播!M14+快手!M14</f>
        <v>1801574.41706276</v>
      </c>
      <c r="N14" s="22">
        <f>+抖音!N14+抖音达播!N14+快手!N14</f>
        <v>1677333.97397062</v>
      </c>
      <c r="O14" s="22">
        <f t="shared" si="1"/>
        <v>20936285.5324481</v>
      </c>
      <c r="P14" s="22"/>
      <c r="Q14" s="6"/>
      <c r="R14" s="20">
        <f>O14/$O$10</f>
        <v>0.189116621939939</v>
      </c>
    </row>
    <row r="15" ht="16.8" spans="1:18">
      <c r="A15" s="7"/>
      <c r="B15" s="12" t="s">
        <v>29</v>
      </c>
      <c r="C15" s="13">
        <f>+抖音!C15+抖音达播!C15+快手!C15</f>
        <v>7202118.94464268</v>
      </c>
      <c r="D15" s="13">
        <f>+抖音!D15+抖音达播!D15+快手!D15</f>
        <v>7988337.25949461</v>
      </c>
      <c r="E15" s="13">
        <f>+抖音!E15+抖音达播!E15+快手!E15</f>
        <v>5467177.45889046</v>
      </c>
      <c r="F15" s="13">
        <f>+抖音!F15+抖音达播!F15+快手!F15</f>
        <v>4614989.25153124</v>
      </c>
      <c r="G15" s="13">
        <f>+抖音!G15+抖音达播!G15+快手!G15</f>
        <v>9633705.63842387</v>
      </c>
      <c r="H15" s="13">
        <f>+抖音!H15+抖音达播!H15+快手!H15</f>
        <v>8757914.21674898</v>
      </c>
      <c r="I15" s="13">
        <f>+抖音!I15+抖音达播!I15+快手!I15</f>
        <v>5537987.10183749</v>
      </c>
      <c r="J15" s="13">
        <f>+抖音!J15+抖音达播!J15+快手!J15</f>
        <v>8094551.72391515</v>
      </c>
      <c r="K15" s="13">
        <f>+抖音!K15+抖音达播!K15+快手!K15</f>
        <v>5537987.10183749</v>
      </c>
      <c r="L15" s="13">
        <f>+抖音!L15+抖音达播!L15+快手!L15</f>
        <v>9633705.63842387</v>
      </c>
      <c r="M15" s="13">
        <f>+抖音!M15+抖音达播!M15+快手!M15</f>
        <v>8993946.35990573</v>
      </c>
      <c r="N15" s="13">
        <f>+抖音!N15+抖音达播!N15+快手!N15</f>
        <v>8306980.65275623</v>
      </c>
      <c r="O15" s="13">
        <f t="shared" si="1"/>
        <v>89769401.3484078</v>
      </c>
      <c r="P15" s="13"/>
      <c r="Q15" s="6"/>
    </row>
    <row r="16" ht="16.8" spans="1:18">
      <c r="A16" s="7"/>
      <c r="B16" s="12" t="s">
        <v>30</v>
      </c>
      <c r="C16" s="13">
        <f>+抖音!C16+抖音达播!C16+快手!C16</f>
        <v>6373556.58817937</v>
      </c>
      <c r="D16" s="13">
        <f>+抖音!D16+抖音达播!D16+快手!D16</f>
        <v>7069325.00840231</v>
      </c>
      <c r="E16" s="13">
        <f>+抖音!E16+抖音达播!E16+快手!E16</f>
        <v>4838210.14061103</v>
      </c>
      <c r="F16" s="13">
        <f>+抖音!F16+抖音达播!F16+快手!F16</f>
        <v>4084061.28454092</v>
      </c>
      <c r="G16" s="13">
        <f>+抖音!G16+抖音达播!G16+快手!G16</f>
        <v>8525403.21984413</v>
      </c>
      <c r="H16" s="13">
        <f>+抖音!H16+抖音达播!H16+快手!H16</f>
        <v>7750366.56349467</v>
      </c>
      <c r="I16" s="13">
        <f>+抖音!I16+抖音达播!I16+快手!I16</f>
        <v>4900873.5414491</v>
      </c>
      <c r="J16" s="13">
        <f>+抖音!J16+抖音达播!J16+快手!J16</f>
        <v>7163320.10965943</v>
      </c>
      <c r="K16" s="13">
        <f>+抖音!K16+抖音达播!K16+快手!K16</f>
        <v>4900873.5414491</v>
      </c>
      <c r="L16" s="13">
        <f>+抖音!L16+抖音达播!L16+快手!L16</f>
        <v>8525403.21984413</v>
      </c>
      <c r="M16" s="13">
        <f>+抖音!M16+抖音达播!M16+快手!M16</f>
        <v>7959244.56628825</v>
      </c>
      <c r="N16" s="13">
        <f>+抖音!N16+抖音达播!N16+快手!N16</f>
        <v>7351310.31217366</v>
      </c>
      <c r="O16" s="13">
        <f t="shared" si="1"/>
        <v>79441948.0959361</v>
      </c>
      <c r="P16" s="13"/>
      <c r="Q16" s="6"/>
    </row>
    <row r="17" spans="1:17">
      <c r="C17">
        <f>+抖音!C17+抖音达播!C17+快手!C17</f>
        <v>0</v>
      </c>
      <c r="D17">
        <f>+抖音!D17+抖音达播!D17+快手!D17</f>
        <v>0</v>
      </c>
      <c r="E17">
        <f>+抖音!E17+抖音达播!E17+快手!E17</f>
        <v>0</v>
      </c>
      <c r="F17">
        <f>+抖音!F17+抖音达播!F17+快手!F17</f>
        <v>0</v>
      </c>
      <c r="G17">
        <f>+抖音!G17+抖音达播!G17+快手!G17</f>
        <v>0</v>
      </c>
      <c r="H17">
        <f>+抖音!H17+抖音达播!H17+快手!H17</f>
        <v>0</v>
      </c>
      <c r="I17">
        <f>+抖音!I17+抖音达播!I17+快手!I17</f>
        <v>0</v>
      </c>
      <c r="J17">
        <f>+抖音!J17+抖音达播!J17+快手!J17</f>
        <v>0</v>
      </c>
      <c r="K17">
        <f>+抖音!K17+抖音达播!K17+快手!K17</f>
        <v>0</v>
      </c>
      <c r="L17">
        <f>+抖音!L17+抖音达播!L17+快手!L17</f>
        <v>0</v>
      </c>
      <c r="M17">
        <f>+抖音!M17+抖音达播!M17+快手!M17</f>
        <v>0</v>
      </c>
      <c r="N17">
        <f>+抖音!N17+抖音达播!N17+快手!N17</f>
        <v>0</v>
      </c>
      <c r="Q17" s="6"/>
    </row>
    <row r="18" ht="16.8" spans="1:17">
      <c r="B18" s="17" t="s">
        <v>31</v>
      </c>
      <c r="C18" s="18">
        <f>+抖音!C18+抖音达播!C18+快手!C18</f>
        <v>3119739.4664737</v>
      </c>
      <c r="D18" s="18">
        <f>+抖音!D18+抖音达播!D18+快手!D18</f>
        <v>3445603.82621334</v>
      </c>
      <c r="E18" s="18">
        <f>+抖音!E18+抖音达播!E18+快手!E18</f>
        <v>2487957.54813345</v>
      </c>
      <c r="F18" s="18">
        <f>+抖音!F18+抖音达播!F18+快手!F18</f>
        <v>2105831.22990039</v>
      </c>
      <c r="G18" s="18">
        <f>+抖音!G18+抖音达播!G18+快手!G18</f>
        <v>3915932.41944435</v>
      </c>
      <c r="H18" s="18">
        <f>+抖音!H18+抖音达播!H18+快手!H18</f>
        <v>3616336.28785194</v>
      </c>
      <c r="I18" s="18">
        <f>+抖音!I18+抖音达播!I18+快手!I18</f>
        <v>2112399.65840181</v>
      </c>
      <c r="J18" s="18">
        <f>+抖音!J18+抖音达播!J18+快手!J18</f>
        <v>3079119.8251361</v>
      </c>
      <c r="K18" s="18">
        <f>+抖音!K18+抖音达播!K18+快手!K18</f>
        <v>2070198.2645495</v>
      </c>
      <c r="L18" s="18">
        <f>+抖音!L18+抖音达播!L18+快手!L18</f>
        <v>3543154.15602845</v>
      </c>
      <c r="M18" s="18">
        <f>+抖音!M18+抖音达播!M18+快手!M18</f>
        <v>3231669.43633525</v>
      </c>
      <c r="N18" s="18">
        <f>+抖音!N18+抖音达播!N18+快手!N18</f>
        <v>2955286.69501725</v>
      </c>
      <c r="O18" s="18">
        <f>SUM(C18:N18)</f>
        <v>35683228.8134855</v>
      </c>
      <c r="P18" s="23">
        <f>O18/O16</f>
        <v>0.449173637715852</v>
      </c>
      <c r="Q18" s="6"/>
    </row>
    <row r="19" ht="16.8" spans="1:17">
      <c r="B19" s="21" t="s">
        <v>32</v>
      </c>
      <c r="C19" s="22">
        <f>+抖音!C19+抖音达播!C19+快手!C19</f>
        <v>3253817.12170567</v>
      </c>
      <c r="D19" s="22">
        <f>+抖音!D19+抖音达播!D19+快手!D19</f>
        <v>3623721.18218897</v>
      </c>
      <c r="E19" s="22">
        <f>+抖音!E19+抖音达播!E19+快手!E19</f>
        <v>2350252.59247758</v>
      </c>
      <c r="F19" s="22">
        <f>+抖音!F19+抖音达播!F19+快手!F19</f>
        <v>1978230.05464053</v>
      </c>
      <c r="G19" s="22">
        <f>+抖音!G19+抖音达播!G19+快手!G19</f>
        <v>4609470.80039979</v>
      </c>
      <c r="H19" s="22">
        <f>+抖音!H19+抖音达播!H19+快手!H19</f>
        <v>4134030.27564273</v>
      </c>
      <c r="I19" s="22">
        <f>+抖音!I19+抖音达播!I19+快手!I19</f>
        <v>2788473.8830473</v>
      </c>
      <c r="J19" s="22">
        <f>+抖音!J19+抖音达播!J19+快手!J19</f>
        <v>4084200.28452333</v>
      </c>
      <c r="K19" s="22">
        <f>+抖音!K19+抖音达播!K19+快手!K19</f>
        <v>2830675.2768996</v>
      </c>
      <c r="L19" s="22">
        <f>+抖音!L19+抖音达播!L19+快手!L19</f>
        <v>4982249.06381569</v>
      </c>
      <c r="M19" s="22">
        <f>+抖音!M19+抖音达播!M19+快手!M19</f>
        <v>4727575.12995301</v>
      </c>
      <c r="N19" s="22">
        <f>+抖音!N19+抖音达播!N19+快手!N19</f>
        <v>4396023.6171564</v>
      </c>
      <c r="O19" s="22">
        <f>SUM(C19:N19)</f>
        <v>43758719.2824506</v>
      </c>
      <c r="P19" s="24">
        <f>O19/$O$16</f>
        <v>0.550826362284148</v>
      </c>
      <c r="Q19" s="6"/>
    </row>
    <row r="20" ht="16.8" spans="1:17">
      <c r="A20" s="5"/>
      <c r="B20" s="4" t="s">
        <v>33</v>
      </c>
      <c r="C20" s="25">
        <f>+抖音!C20+抖音达播!C20+快手!C20</f>
        <v>159143.178958894</v>
      </c>
      <c r="D20" s="25">
        <f>+抖音!D20+抖音达播!D20+快手!D20</f>
        <v>176512.922496269</v>
      </c>
      <c r="E20" s="25">
        <f>+抖音!E20+抖音达播!E20+快手!E20</f>
        <v>120808.451706083</v>
      </c>
      <c r="F20" s="25">
        <f>+抖音!F20+抖音达播!F20+快手!F20</f>
        <v>101979.197272529</v>
      </c>
      <c r="G20" s="25">
        <f>+抖音!G20+抖音达播!G20+快手!G20</f>
        <v>212865.943845918</v>
      </c>
      <c r="H20" s="25">
        <f>+抖音!H20+抖音达播!H20+快手!H20</f>
        <v>193514.49440538</v>
      </c>
      <c r="I20" s="25">
        <f>+抖音!I20+抖音达播!I20+快手!I20</f>
        <v>122375.036727035</v>
      </c>
      <c r="J20" s="25">
        <f>+抖音!J20+抖音达播!J20+快手!J20</f>
        <v>178862.800027697</v>
      </c>
      <c r="K20" s="25">
        <f>+抖音!K20+抖音达播!K20+快手!K20</f>
        <v>122375.036727035</v>
      </c>
      <c r="L20" s="25">
        <f>+抖音!L20+抖音达播!L20+快手!L20</f>
        <v>212865.943845918</v>
      </c>
      <c r="M20" s="25">
        <f>+抖音!M20+抖音达播!M20+快手!M20</f>
        <v>198736.444475219</v>
      </c>
      <c r="N20" s="25">
        <f>+抖音!N20+抖音达播!N20+快手!N20</f>
        <v>183562.555090553</v>
      </c>
      <c r="O20" s="25">
        <f>SUM(C20:N20)</f>
        <v>1983602.00557853</v>
      </c>
      <c r="P20" s="26">
        <v>0.025</v>
      </c>
      <c r="Q20" s="6"/>
    </row>
    <row r="21" ht="16.8" spans="1:17">
      <c r="B21" s="21" t="s">
        <v>35</v>
      </c>
      <c r="C21" s="22">
        <f>+抖音!C21+抖音达播!C21+快手!C21</f>
        <v>3278882.64543259</v>
      </c>
      <c r="D21" s="22">
        <f>+抖音!D21+抖音达播!D21+快手!D21</f>
        <v>3622116.74870961</v>
      </c>
      <c r="E21" s="22">
        <f>+抖音!E21+抖音达播!E21+快手!E21</f>
        <v>2608765.99983953</v>
      </c>
      <c r="F21" s="22">
        <f>+抖音!F21+抖音达播!F21+快手!F21</f>
        <v>2207810.42717292</v>
      </c>
      <c r="G21" s="22">
        <f>+抖音!G21+抖音达播!G21+快手!G21</f>
        <v>4128798.36329027</v>
      </c>
      <c r="H21" s="22">
        <f>+抖音!H21+抖音达播!H21+快手!H21</f>
        <v>3809850.78225732</v>
      </c>
      <c r="I21" s="22">
        <f>+抖音!I21+抖音达播!I21+快手!I21</f>
        <v>2234774.69512884</v>
      </c>
      <c r="J21" s="22">
        <f>+抖音!J21+抖音达播!J21+快手!J21</f>
        <v>3257982.62516379</v>
      </c>
      <c r="K21" s="22">
        <f>+抖音!K21+抖音达播!K21+快手!K21</f>
        <v>2192573.30127654</v>
      </c>
      <c r="L21" s="22">
        <f>+抖音!L21+抖音达播!L21+快手!L21</f>
        <v>3756020.09987437</v>
      </c>
      <c r="M21" s="22">
        <f>+抖音!M21+抖音达播!M21+快手!M21</f>
        <v>3430405.88081047</v>
      </c>
      <c r="N21" s="22">
        <f>+抖音!N21+抖音达播!N21+快手!N21</f>
        <v>3138849.25010781</v>
      </c>
      <c r="O21" s="22">
        <f>SUM(C21:N21)</f>
        <v>37666830.8190641</v>
      </c>
      <c r="P21" s="24">
        <f>O21/$O$16</f>
        <v>0.474142839165734</v>
      </c>
      <c r="Q21" s="6"/>
    </row>
    <row r="22" ht="16.8" spans="1:17">
      <c r="A22" s="7"/>
      <c r="B22" s="12" t="s">
        <v>36</v>
      </c>
      <c r="C22" s="13">
        <f>+抖音!C22+抖音达播!C22+快手!C22</f>
        <v>3094673.94274677</v>
      </c>
      <c r="D22" s="13">
        <f>+抖音!D22+抖音达播!D22+快手!D22</f>
        <v>3447208.2596927</v>
      </c>
      <c r="E22" s="13">
        <f>+抖音!E22+抖音达播!E22+快手!E22</f>
        <v>2229444.1407715</v>
      </c>
      <c r="F22" s="13">
        <f>+抖音!F22+抖音达播!F22+快手!F22</f>
        <v>1876250.857368</v>
      </c>
      <c r="G22" s="13">
        <f>+抖音!G22+抖音达播!G22+快手!G22</f>
        <v>4396604.85655387</v>
      </c>
      <c r="H22" s="13">
        <f>+抖音!H22+抖音达播!H22+快手!H22</f>
        <v>3940515.78123735</v>
      </c>
      <c r="I22" s="13">
        <f>+抖音!I22+抖音达播!I22+快手!I22</f>
        <v>2666098.84632026</v>
      </c>
      <c r="J22" s="13">
        <f>+抖音!J22+抖音达播!J22+快手!J22</f>
        <v>3905337.48449564</v>
      </c>
      <c r="K22" s="13">
        <f>+抖音!K22+抖音达播!K22+快手!K22</f>
        <v>2708300.24017256</v>
      </c>
      <c r="L22" s="13">
        <f>+抖音!L22+抖音达播!L22+快手!L22</f>
        <v>4769383.11996977</v>
      </c>
      <c r="M22" s="13">
        <f>+抖音!M22+抖音达播!M22+快手!M22</f>
        <v>4528838.68547779</v>
      </c>
      <c r="N22" s="13">
        <f>+抖音!N22+抖音达播!N22+快手!N22</f>
        <v>4212461.06206585</v>
      </c>
      <c r="O22" s="13">
        <f>SUM(C22:N22)</f>
        <v>41775117.2768721</v>
      </c>
      <c r="P22" s="27">
        <f>O22/$O$16</f>
        <v>0.525857160834266</v>
      </c>
      <c r="Q22" s="6"/>
    </row>
    <row r="23" ht="16.8" spans="1:17">
      <c r="B23" s="14" t="s">
        <v>37</v>
      </c>
      <c r="C23" s="44">
        <f t="shared" ref="C23:O23" si="2">C19/C16</f>
        <v>0.510518276050191</v>
      </c>
      <c r="D23" s="44">
        <f t="shared" si="2"/>
        <v>0.512597904026476</v>
      </c>
      <c r="E23" s="44">
        <f t="shared" si="2"/>
        <v>0.485769018743109</v>
      </c>
      <c r="F23" s="44">
        <f t="shared" si="2"/>
        <v>0.484378151260504</v>
      </c>
      <c r="G23" s="44">
        <f t="shared" si="2"/>
        <v>0.54067481402763</v>
      </c>
      <c r="H23" s="44">
        <f t="shared" si="2"/>
        <v>0.533398032438181</v>
      </c>
      <c r="I23" s="44">
        <f t="shared" si="2"/>
        <v>0.56897486937049</v>
      </c>
      <c r="J23" s="44">
        <f t="shared" si="2"/>
        <v>0.570154652032926</v>
      </c>
      <c r="K23" s="44">
        <f t="shared" si="2"/>
        <v>0.577585863613738</v>
      </c>
      <c r="L23" s="44">
        <f t="shared" si="2"/>
        <v>0.584400401404917</v>
      </c>
      <c r="M23" s="44">
        <f t="shared" si="2"/>
        <v>0.59397284385215</v>
      </c>
      <c r="N23" s="44">
        <f t="shared" si="2"/>
        <v>0.597991845056065</v>
      </c>
      <c r="O23" s="44">
        <f t="shared" si="2"/>
        <v>0.550826362284148</v>
      </c>
      <c r="P23" s="29"/>
      <c r="Q23" s="6"/>
    </row>
    <row r="24" ht="16.8" spans="1:17">
      <c r="B24" s="14" t="s">
        <v>38</v>
      </c>
      <c r="C24" s="28">
        <f t="shared" ref="C24:O24" si="3">IFERROR(1-C21/C16,0)</f>
        <v>0.485548986649976</v>
      </c>
      <c r="D24" s="28">
        <f t="shared" si="3"/>
        <v>0.4876290530702</v>
      </c>
      <c r="E24" s="28">
        <f t="shared" si="3"/>
        <v>0.460799360916129</v>
      </c>
      <c r="F24" s="28">
        <f t="shared" si="3"/>
        <v>0.45940810547335</v>
      </c>
      <c r="G24" s="28">
        <f t="shared" si="3"/>
        <v>0.51570638281602</v>
      </c>
      <c r="H24" s="28">
        <f t="shared" si="3"/>
        <v>0.508429601226571</v>
      </c>
      <c r="I24" s="28">
        <f t="shared" si="3"/>
        <v>0.544004823583336</v>
      </c>
      <c r="J24" s="28">
        <f t="shared" si="3"/>
        <v>0.545185392347531</v>
      </c>
      <c r="K24" s="28">
        <f t="shared" si="3"/>
        <v>0.552615817826584</v>
      </c>
      <c r="L24" s="28">
        <f t="shared" si="3"/>
        <v>0.559431970193307</v>
      </c>
      <c r="M24" s="28">
        <f t="shared" si="3"/>
        <v>0.569003584166755</v>
      </c>
      <c r="N24" s="28">
        <f t="shared" si="3"/>
        <v>0.573021799268911</v>
      </c>
      <c r="O24" s="28">
        <f t="shared" si="3"/>
        <v>0.525857160834266</v>
      </c>
      <c r="P24" s="29"/>
      <c r="Q24" s="6"/>
    </row>
    <row r="25" ht="16.8" spans="1:17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29"/>
      <c r="Q25" s="6"/>
    </row>
    <row r="26" ht="16.8" spans="1:17">
      <c r="B26" s="17" t="s">
        <v>39</v>
      </c>
      <c r="C26" s="18">
        <f>+抖音!C26+抖音达播!C26+快手!C26</f>
        <v>146124.384391814</v>
      </c>
      <c r="D26" s="18">
        <f>+抖音!D26+抖音达播!D26+快手!D26</f>
        <v>467212.833846414</v>
      </c>
      <c r="E26" s="18">
        <f>+抖音!E26+抖音达播!E26+快手!E26</f>
        <v>771560.919133864</v>
      </c>
      <c r="F26" s="18">
        <f>+抖音!F26+抖音达播!F26+快手!F26</f>
        <v>435366.706095894</v>
      </c>
      <c r="G26" s="18">
        <f>+抖音!G26+抖音达播!G26+快手!G26</f>
        <v>1731628.76131446</v>
      </c>
      <c r="H26" s="18">
        <f>+抖音!H26+抖音达播!H26+快手!H26</f>
        <v>1018607.09523519</v>
      </c>
      <c r="I26" s="18">
        <f>+抖音!I26+抖音达播!I26+快手!I26</f>
        <v>218915.657542749</v>
      </c>
      <c r="J26" s="18">
        <f>+抖音!J26+抖音达播!J26+快手!J26</f>
        <v>336510.567515369</v>
      </c>
      <c r="K26" s="18">
        <f>+抖音!K26+抖音达播!K26+快手!K26</f>
        <v>237774.347528137</v>
      </c>
      <c r="L26" s="18">
        <f>+抖音!L26+抖音达播!L26+快手!L26</f>
        <v>950278.905199779</v>
      </c>
      <c r="M26" s="18">
        <f>+抖音!M26+抖音达播!M26+快手!M26</f>
        <v>363955.080007408</v>
      </c>
      <c r="N26" s="18">
        <f>+抖音!N26+抖音达播!N26+快手!N26</f>
        <v>253151.906183828</v>
      </c>
      <c r="O26" s="18">
        <f t="shared" ref="O26:O31" si="4">SUM(C26:N26)</f>
        <v>6931087.16399491</v>
      </c>
      <c r="P26" s="23">
        <f t="shared" ref="P26:P31" si="5">O26/$O$16</f>
        <v>0.0872471953435074</v>
      </c>
      <c r="Q26" s="6"/>
    </row>
    <row r="27" ht="16.8" spans="1:17">
      <c r="A27" s="5"/>
      <c r="B27" s="4" t="s">
        <v>40</v>
      </c>
      <c r="C27" s="30">
        <f>+抖音!C27+抖音达播!C27+快手!C27</f>
        <v>0</v>
      </c>
      <c r="D27" s="30">
        <f>+抖音!D27+抖音达播!D27+快手!D27</f>
        <v>0</v>
      </c>
      <c r="E27" s="30">
        <f>+抖音!E27+抖音达播!E27+快手!E27</f>
        <v>13328.3075993011</v>
      </c>
      <c r="F27" s="30">
        <f>+抖音!F27+抖音达播!F27+快手!F27</f>
        <v>11130.299284318</v>
      </c>
      <c r="G27" s="30">
        <f>+抖音!G27+抖音达播!G27+快手!G27</f>
        <v>23734.5232204757</v>
      </c>
      <c r="H27" s="30">
        <f>+抖音!H27+抖音达播!H27+快手!H27</f>
        <v>20903.7745340491</v>
      </c>
      <c r="I27" s="30">
        <f>+抖音!I27+抖音达播!I27+快手!I27</f>
        <v>13438.8826230751</v>
      </c>
      <c r="J27" s="30">
        <f>+抖音!J27+抖音达播!J27+快手!J27</f>
        <v>18581.9615199717</v>
      </c>
      <c r="K27" s="30">
        <f>+抖音!K27+抖音达播!K27+快手!K27</f>
        <v>14764.4105270838</v>
      </c>
      <c r="L27" s="30">
        <f>+抖音!L27+抖音达播!L27+快手!L27</f>
        <v>24932.6474637398</v>
      </c>
      <c r="M27" s="30">
        <f>+抖音!M27+抖音达播!M27+快手!M27</f>
        <v>18871.1790336938</v>
      </c>
      <c r="N27" s="30">
        <f>+抖音!N27+抖音达播!N27+快手!N27</f>
        <v>0</v>
      </c>
      <c r="O27" s="5">
        <f t="shared" si="4"/>
        <v>159685.985805708</v>
      </c>
      <c r="P27" s="29">
        <f t="shared" si="5"/>
        <v>0.00201009655016097</v>
      </c>
      <c r="Q27" s="4"/>
    </row>
    <row r="28" ht="16.8" spans="1:17">
      <c r="A28" s="5"/>
      <c r="B28" s="4" t="s">
        <v>41</v>
      </c>
      <c r="C28" s="30">
        <f>+抖音!C28+抖音达播!C28+快手!C28</f>
        <v>28164</v>
      </c>
      <c r="D28" s="30">
        <f>+抖音!D28+抖音达播!D28+快手!D28</f>
        <v>28164</v>
      </c>
      <c r="E28" s="30">
        <f>+抖音!E28+抖音达播!E28+快手!E28</f>
        <v>28164</v>
      </c>
      <c r="F28" s="30">
        <f>+抖音!F28+抖音达播!F28+快手!F28</f>
        <v>41520.3591411817</v>
      </c>
      <c r="G28" s="30">
        <f>+抖音!G28+抖音达播!G28+快手!G28</f>
        <v>170571.139322854</v>
      </c>
      <c r="H28" s="30">
        <f>+抖音!H28+抖音达播!H28+快手!H28</f>
        <v>95056.078508957</v>
      </c>
      <c r="I28" s="30">
        <f>+抖音!I28+抖音达播!I28+快手!I28</f>
        <v>28164</v>
      </c>
      <c r="J28" s="30">
        <f>+抖音!J28+抖音达播!J28+快手!J28</f>
        <v>50462.353823966</v>
      </c>
      <c r="K28" s="30">
        <f>+抖音!K28+抖音达播!K28+快手!K28</f>
        <v>75410.1136866682</v>
      </c>
      <c r="L28" s="30">
        <f>+抖音!L28+抖音达播!L28+快手!L28</f>
        <v>58083.1769564878</v>
      </c>
      <c r="M28" s="30">
        <f>+抖音!M28+抖音达播!M28+快手!M28</f>
        <v>50809.4148404326</v>
      </c>
      <c r="N28" s="30">
        <f>+抖音!N28+抖音达播!N28+快手!N28</f>
        <v>28164</v>
      </c>
      <c r="O28" s="5">
        <f t="shared" si="4"/>
        <v>682732.636280548</v>
      </c>
      <c r="P28" s="29">
        <f t="shared" si="5"/>
        <v>0.00859410742868569</v>
      </c>
      <c r="Q28" s="71" t="s">
        <v>122</v>
      </c>
    </row>
    <row r="29" ht="16.8" spans="1:17">
      <c r="A29" s="5"/>
      <c r="B29" s="4" t="s">
        <v>42</v>
      </c>
      <c r="C29" s="30">
        <f>+抖音!C29+抖音达播!C29+快手!C29</f>
        <v>6556.14199193883</v>
      </c>
      <c r="D29" s="30">
        <f>+抖音!D29+抖音达播!D29+快手!D29</f>
        <v>5356.79432977115</v>
      </c>
      <c r="E29" s="30">
        <f>+抖音!E29+抖音达播!E29+快手!E29</f>
        <v>5331.32303972043</v>
      </c>
      <c r="F29" s="30">
        <f>+抖音!F29+抖音达播!F29+快手!F29</f>
        <v>22260.598568636</v>
      </c>
      <c r="G29" s="30">
        <f>+抖音!G29+抖音达播!G29+快手!G29</f>
        <v>142407.139322854</v>
      </c>
      <c r="H29" s="30">
        <f>+抖音!H29+抖音达播!H29+快手!H29</f>
        <v>91976.6079498159</v>
      </c>
      <c r="I29" s="30">
        <f>+抖音!I29+抖音达播!I29+快手!I29</f>
        <v>0</v>
      </c>
      <c r="J29" s="30">
        <f>+抖音!J29+抖音达播!J29+快手!J29</f>
        <v>22298.353823966</v>
      </c>
      <c r="K29" s="30">
        <f>+抖音!K29+抖音达播!K29+快手!K29</f>
        <v>47246.1136866683</v>
      </c>
      <c r="L29" s="30">
        <f>+抖音!L29+抖音达播!L29+快手!L29</f>
        <v>49865.2949274797</v>
      </c>
      <c r="M29" s="30">
        <f>+抖音!M29+抖音达播!M29+快手!M29</f>
        <v>37742.3580673876</v>
      </c>
      <c r="N29" s="30">
        <f>+抖音!N29+抖音达播!N29+快手!N29</f>
        <v>6620.19619595878</v>
      </c>
      <c r="O29" s="5">
        <f t="shared" si="4"/>
        <v>437660.921904197</v>
      </c>
      <c r="P29" s="29">
        <f t="shared" si="5"/>
        <v>0.00550919171035014</v>
      </c>
      <c r="Q29" s="6"/>
    </row>
    <row r="30" ht="16.8" spans="1:17">
      <c r="A30" s="5"/>
      <c r="B30" s="4" t="s">
        <v>43</v>
      </c>
      <c r="C30" s="30">
        <f>+抖音!C30+抖音达播!C30+快手!C30</f>
        <v>6556.14199193883</v>
      </c>
      <c r="D30" s="30">
        <f>+抖音!D30+抖音达播!D30+快手!D30</f>
        <v>5356.79432977115</v>
      </c>
      <c r="E30" s="30">
        <f>+抖音!E30+抖音达播!E30+快手!E30</f>
        <v>42650.5843177634</v>
      </c>
      <c r="F30" s="30">
        <f>+抖音!F30+抖音达播!F30+快手!F30</f>
        <v>4452.11971372721</v>
      </c>
      <c r="G30" s="30">
        <f>+抖音!G30+抖音达播!G30+快手!G30</f>
        <v>28481.4278645709</v>
      </c>
      <c r="H30" s="30">
        <f>+抖音!H30+抖音达播!H30+快手!H30</f>
        <v>8361.50981361962</v>
      </c>
      <c r="I30" s="30">
        <f>+抖音!I30+抖音达播!I30+快手!I30</f>
        <v>5375.55304923005</v>
      </c>
      <c r="J30" s="30">
        <f>+抖音!J30+抖音达播!J30+快手!J30</f>
        <v>7432.78460798867</v>
      </c>
      <c r="K30" s="30">
        <f>+抖音!K30+抖音达播!K30+快手!K30</f>
        <v>5905.76421083353</v>
      </c>
      <c r="L30" s="30">
        <f>+抖音!L30+抖音达播!L30+快手!L30</f>
        <v>19946.1179709919</v>
      </c>
      <c r="M30" s="30">
        <f>+抖音!M30+抖音达播!M30+快手!M30</f>
        <v>15096.9432269551</v>
      </c>
      <c r="N30" s="30">
        <f>+抖音!N30+抖音达播!N30+快手!N30</f>
        <v>6620.19619595878</v>
      </c>
      <c r="O30" s="5">
        <f t="shared" si="4"/>
        <v>156235.937293349</v>
      </c>
      <c r="P30" s="29">
        <f t="shared" si="5"/>
        <v>0.00196666800145277</v>
      </c>
      <c r="Q30" s="6"/>
    </row>
    <row r="31" ht="16.8" spans="1:17">
      <c r="A31" s="5"/>
      <c r="B31" s="4" t="s">
        <v>44</v>
      </c>
      <c r="C31" s="30">
        <f>+抖音!C31+抖音达播!C31+快手!C31</f>
        <v>104848.100407937</v>
      </c>
      <c r="D31" s="30">
        <f>+抖音!D31+抖音达播!D31+快手!D31</f>
        <v>428335.245186872</v>
      </c>
      <c r="E31" s="30">
        <f>+抖音!E31+抖音达播!E31+快手!E31</f>
        <v>682086.704177079</v>
      </c>
      <c r="F31" s="30">
        <f>+抖音!F31+抖音达播!F31+快手!F31</f>
        <v>356003.329388031</v>
      </c>
      <c r="G31" s="30">
        <f>+抖音!G31+抖音达播!G31+快手!G31</f>
        <v>1366434.53158371</v>
      </c>
      <c r="H31" s="30">
        <f>+抖音!H31+抖音达播!H31+快手!H31</f>
        <v>802309.124428749</v>
      </c>
      <c r="I31" s="30">
        <f>+抖音!I31+抖音达播!I31+快手!I31</f>
        <v>171937.221870444</v>
      </c>
      <c r="J31" s="30">
        <f>+抖音!J31+抖音达播!J31+快手!J31</f>
        <v>237735.113739477</v>
      </c>
      <c r="K31" s="30">
        <f>+抖音!K31+抖音达播!K31+快手!K31</f>
        <v>94447.9454168829</v>
      </c>
      <c r="L31" s="30">
        <f>+抖音!L31+抖音达播!L31+快手!L31</f>
        <v>797451.66788108</v>
      </c>
      <c r="M31" s="30">
        <f>+抖音!M31+抖音达播!M31+快手!M31</f>
        <v>241435.184838939</v>
      </c>
      <c r="N31" s="30">
        <f>+抖音!N31+抖音达播!N31+快手!N31</f>
        <v>211747.513791911</v>
      </c>
      <c r="O31" s="5">
        <f t="shared" si="4"/>
        <v>5494771.68271111</v>
      </c>
      <c r="P31" s="29">
        <f t="shared" si="5"/>
        <v>0.0691671316528578</v>
      </c>
      <c r="Q31" s="6"/>
    </row>
    <row r="32" ht="16.8" outlineLevel="1" spans="1:17">
      <c r="A32" s="5"/>
      <c r="B32" s="4" t="s">
        <v>45</v>
      </c>
      <c r="C32" s="5">
        <f>+抖音!C32+抖音达播!C32+快手!C32</f>
        <v>0</v>
      </c>
      <c r="D32" s="5">
        <f>+抖音!D32+抖音达播!D32+快手!D32</f>
        <v>0</v>
      </c>
      <c r="E32" s="5">
        <f>+抖音!E32+抖音达播!E32+快手!E32</f>
        <v>0</v>
      </c>
      <c r="F32" s="5">
        <f>+抖音!F32+抖音达播!F32+快手!F32</f>
        <v>0</v>
      </c>
      <c r="G32" s="5">
        <f>+抖音!G32+抖音达播!G32+快手!G32</f>
        <v>0</v>
      </c>
      <c r="H32" s="5">
        <f>+抖音!H32+抖音达播!H32+快手!H32</f>
        <v>0</v>
      </c>
      <c r="I32" s="5">
        <f>+抖音!I32+抖音达播!I32+快手!I32</f>
        <v>0</v>
      </c>
      <c r="J32" s="5">
        <f>+抖音!J32+抖音达播!J32+快手!J32</f>
        <v>0</v>
      </c>
      <c r="K32" s="5">
        <f>+抖音!K32+抖音达播!K32+快手!K32</f>
        <v>0</v>
      </c>
      <c r="L32" s="5">
        <f>+抖音!L32+抖音达播!L32+快手!L32</f>
        <v>0</v>
      </c>
      <c r="M32" s="5">
        <f>+抖音!M32+抖音达播!M32+快手!M32</f>
        <v>0</v>
      </c>
      <c r="N32" s="5">
        <f>+抖音!N32+抖音达播!N32+快手!N32</f>
        <v>0</v>
      </c>
      <c r="O32" s="5"/>
      <c r="P32" s="29"/>
      <c r="Q32" s="6"/>
    </row>
    <row r="33" ht="16.8" outlineLevel="1" spans="1:18">
      <c r="A33" s="5"/>
      <c r="B33" s="4" t="s">
        <v>46</v>
      </c>
      <c r="C33" s="5">
        <f>+抖音!C33+抖音达播!C33+快手!C33</f>
        <v>0</v>
      </c>
      <c r="D33" s="5">
        <f>+抖音!D33+抖音达播!D33+快手!D33</f>
        <v>0</v>
      </c>
      <c r="E33" s="5">
        <f>+抖音!E33+抖音达播!E33+快手!E33</f>
        <v>0</v>
      </c>
      <c r="F33" s="5">
        <f>+抖音!F33+抖音达播!F33+快手!F33</f>
        <v>0</v>
      </c>
      <c r="G33" s="5">
        <f>+抖音!G33+抖音达播!G33+快手!G33</f>
        <v>0</v>
      </c>
      <c r="H33" s="5">
        <f>+抖音!H33+抖音达播!H33+快手!H33</f>
        <v>0</v>
      </c>
      <c r="I33" s="5">
        <f>+抖音!I33+抖音达播!I33+快手!I33</f>
        <v>0</v>
      </c>
      <c r="J33" s="5">
        <f>+抖音!J33+抖音达播!J33+快手!J33</f>
        <v>0</v>
      </c>
      <c r="K33" s="5">
        <f>+抖音!K33+抖音达播!K33+快手!K33</f>
        <v>0</v>
      </c>
      <c r="L33" s="5">
        <f>+抖音!L33+抖音达播!L33+快手!L33</f>
        <v>0</v>
      </c>
      <c r="M33" s="5">
        <f>+抖音!M33+抖音达播!M33+快手!M33</f>
        <v>0</v>
      </c>
      <c r="N33" s="5">
        <f>+抖音!N33+抖音达播!N33+快手!N33</f>
        <v>0</v>
      </c>
      <c r="O33" s="5"/>
      <c r="P33" s="29"/>
      <c r="Q33" s="6"/>
    </row>
    <row r="34" ht="16.8" outlineLevel="1" spans="1:18">
      <c r="A34" s="5"/>
      <c r="B34" s="4" t="s">
        <v>47</v>
      </c>
      <c r="C34" s="5">
        <f>+抖音!C34+抖音达播!C34+快手!C34</f>
        <v>0</v>
      </c>
      <c r="D34" s="5">
        <f>+抖音!D34+抖音达播!D34+快手!D34</f>
        <v>0</v>
      </c>
      <c r="E34" s="5">
        <f>+抖音!E34+抖音达播!E34+快手!E34</f>
        <v>0</v>
      </c>
      <c r="F34" s="5">
        <f>+抖音!F34+抖音达播!F34+快手!F34</f>
        <v>0</v>
      </c>
      <c r="G34" s="5">
        <f>+抖音!G34+抖音达播!G34+快手!G34</f>
        <v>0</v>
      </c>
      <c r="H34" s="5">
        <f>+抖音!H34+抖音达播!H34+快手!H34</f>
        <v>0</v>
      </c>
      <c r="I34" s="5">
        <f>+抖音!I34+抖音达播!I34+快手!I34</f>
        <v>0</v>
      </c>
      <c r="J34" s="5">
        <f>+抖音!J34+抖音达播!J34+快手!J34</f>
        <v>0</v>
      </c>
      <c r="K34" s="5">
        <f>+抖音!K34+抖音达播!K34+快手!K34</f>
        <v>0</v>
      </c>
      <c r="L34" s="5">
        <f>+抖音!L34+抖音达播!L34+快手!L34</f>
        <v>0</v>
      </c>
      <c r="M34" s="5">
        <f>+抖音!M34+抖音达播!M34+快手!M34</f>
        <v>0</v>
      </c>
      <c r="N34" s="5">
        <f>+抖音!N34+抖音达播!N34+快手!N34</f>
        <v>0</v>
      </c>
      <c r="O34" s="5"/>
      <c r="P34" s="29"/>
      <c r="Q34" s="6"/>
    </row>
    <row r="35" ht="16.8" outlineLevel="1" spans="1:18">
      <c r="A35" s="5"/>
      <c r="B35" s="4" t="s">
        <v>48</v>
      </c>
      <c r="C35" s="5">
        <f>+抖音!C35+抖音达播!C35+快手!C35</f>
        <v>0</v>
      </c>
      <c r="D35" s="5">
        <f>+抖音!D35+抖音达播!D35+快手!D35</f>
        <v>0</v>
      </c>
      <c r="E35" s="5">
        <f>+抖音!E35+抖音达播!E35+快手!E35</f>
        <v>0</v>
      </c>
      <c r="F35" s="5">
        <f>+抖音!F35+抖音达播!F35+快手!F35</f>
        <v>0</v>
      </c>
      <c r="G35" s="5">
        <f>+抖音!G35+抖音达播!G35+快手!G35</f>
        <v>0</v>
      </c>
      <c r="H35" s="5">
        <f>+抖音!H35+抖音达播!H35+快手!H35</f>
        <v>0</v>
      </c>
      <c r="I35" s="5">
        <f>+抖音!I35+抖音达播!I35+快手!I35</f>
        <v>0</v>
      </c>
      <c r="J35" s="5">
        <f>+抖音!J35+抖音达播!J35+快手!J35</f>
        <v>0</v>
      </c>
      <c r="K35" s="5">
        <f>+抖音!K35+抖音达播!K35+快手!K35</f>
        <v>0</v>
      </c>
      <c r="L35" s="5">
        <f>+抖音!L35+抖音达播!L35+快手!L35</f>
        <v>0</v>
      </c>
      <c r="M35" s="5">
        <f>+抖音!M35+抖音达播!M35+快手!M35</f>
        <v>0</v>
      </c>
      <c r="N35" s="5">
        <f>+抖音!N35+抖音达播!N35+快手!N35</f>
        <v>0</v>
      </c>
      <c r="O35" s="5"/>
      <c r="P35" s="29"/>
      <c r="Q35" s="6"/>
    </row>
    <row r="36" ht="16.8" outlineLevel="1" spans="1:18">
      <c r="A36" s="5"/>
      <c r="B36" s="4" t="s">
        <v>49</v>
      </c>
      <c r="C36" s="16">
        <f>+抖音!C36+抖音达播!C36+快手!C36</f>
        <v>0</v>
      </c>
      <c r="D36" s="16">
        <f>+抖音!D36+抖音达播!D36+快手!D36</f>
        <v>0</v>
      </c>
      <c r="E36" s="16">
        <f>+抖音!E36+抖音达播!E36+快手!E36</f>
        <v>0</v>
      </c>
      <c r="F36" s="16">
        <f>+抖音!F36+抖音达播!F36+快手!F36</f>
        <v>0</v>
      </c>
      <c r="G36" s="16">
        <f>+抖音!G36+抖音达播!G36+快手!G36</f>
        <v>0</v>
      </c>
      <c r="H36" s="16">
        <f>+抖音!H36+抖音达播!H36+快手!H36</f>
        <v>0</v>
      </c>
      <c r="I36" s="16">
        <f>+抖音!I36+抖音达播!I36+快手!I36</f>
        <v>0</v>
      </c>
      <c r="J36" s="16">
        <f>+抖音!J36+抖音达播!J36+快手!J36</f>
        <v>0</v>
      </c>
      <c r="K36" s="16">
        <f>+抖音!K36+抖音达播!K36+快手!K36</f>
        <v>0</v>
      </c>
      <c r="L36" s="16">
        <f>+抖音!L36+抖音达播!L36+快手!L36</f>
        <v>0</v>
      </c>
      <c r="M36" s="16">
        <f>+抖音!M36+抖音达播!M36+快手!M36</f>
        <v>0</v>
      </c>
      <c r="N36" s="16">
        <f>+抖音!N36+抖音达播!N36+快手!N36</f>
        <v>0</v>
      </c>
      <c r="O36" s="5"/>
      <c r="P36" s="29"/>
      <c r="Q36" s="6"/>
    </row>
    <row r="37" ht="16.8" spans="1:18">
      <c r="B37" s="17" t="s">
        <v>50</v>
      </c>
      <c r="C37" s="18">
        <f>+抖音!C37+抖音达播!C37+快手!C37</f>
        <v>2298503.00864808</v>
      </c>
      <c r="D37" s="18">
        <f>+抖音!D37+抖音达播!D37+快手!D37</f>
        <v>2468200.77653974</v>
      </c>
      <c r="E37" s="18">
        <f>+抖音!E37+抖音达播!E37+快手!E37</f>
        <v>1582066.5670413</v>
      </c>
      <c r="F37" s="18">
        <f>+抖音!F37+抖音达播!F37+快手!F37</f>
        <v>1336204.87081191</v>
      </c>
      <c r="G37" s="18">
        <f>+抖音!G37+抖音达播!G37+快手!G37</f>
        <v>3070752.37989253</v>
      </c>
      <c r="H37" s="18">
        <f>+抖音!H37+抖音达播!H37+快手!H37</f>
        <v>2791593.07262957</v>
      </c>
      <c r="I37" s="18">
        <f>+抖音!I37+抖音达播!I37+快手!I37</f>
        <v>1603445.84497429</v>
      </c>
      <c r="J37" s="18">
        <f>+抖音!J37+抖音达播!J37+快手!J37</f>
        <v>2583206.54748962</v>
      </c>
      <c r="K37" s="18">
        <f>+抖音!K37+抖音达播!K37+快手!K37</f>
        <v>1594158.1573787</v>
      </c>
      <c r="L37" s="18">
        <f>+抖音!L37+抖音达播!L37+快手!L37</f>
        <v>3070752.37989253</v>
      </c>
      <c r="M37" s="18">
        <f>+抖音!M37+抖音达播!M37+快手!M37</f>
        <v>2780534.82542285</v>
      </c>
      <c r="N37" s="18">
        <f>+抖音!N37+抖音达播!N37+快手!N37</f>
        <v>2571042.47556223</v>
      </c>
      <c r="O37" s="18">
        <f>SUM(C37:N37)</f>
        <v>27750460.9062833</v>
      </c>
      <c r="P37" s="23">
        <f>O37/$O$16</f>
        <v>0.34931747737066</v>
      </c>
      <c r="Q37" s="6"/>
    </row>
    <row r="38" ht="16.8" spans="1:18">
      <c r="A38" s="5"/>
      <c r="B38" s="4" t="s">
        <v>51</v>
      </c>
      <c r="C38" s="31">
        <f>+抖音!C38+抖音达播!C38+快手!C38</f>
        <v>0</v>
      </c>
      <c r="D38" s="31">
        <f>+抖音!D38+抖音达播!D38+快手!D38</f>
        <v>0</v>
      </c>
      <c r="E38" s="31">
        <f>+抖音!E38+抖音达播!E38+快手!E38</f>
        <v>0</v>
      </c>
      <c r="F38" s="31">
        <f>+抖音!F38+抖音达播!F38+快手!F38</f>
        <v>0</v>
      </c>
      <c r="G38" s="31">
        <f>+抖音!G38+抖音达播!G38+快手!G38</f>
        <v>0</v>
      </c>
      <c r="H38" s="31">
        <f>+抖音!H38+抖音达播!H38+快手!H38</f>
        <v>0</v>
      </c>
      <c r="I38" s="31">
        <f>+抖音!I38+抖音达播!I38+快手!I38</f>
        <v>0</v>
      </c>
      <c r="J38" s="31">
        <f>+抖音!J38+抖音达播!J38+快手!J38</f>
        <v>0</v>
      </c>
      <c r="K38" s="31">
        <f>+抖音!K38+抖音达播!K38+快手!K38</f>
        <v>0</v>
      </c>
      <c r="L38" s="31">
        <f>+抖音!L38+抖音达播!L38+快手!L38</f>
        <v>0</v>
      </c>
      <c r="M38" s="31">
        <f>+抖音!M38+抖音达播!M38+快手!M38</f>
        <v>0</v>
      </c>
      <c r="N38" s="31">
        <f>+抖音!N38+抖音达播!N38+快手!N38</f>
        <v>0</v>
      </c>
      <c r="O38" s="5"/>
      <c r="P38" s="29">
        <f>O38/$O$16</f>
        <v>0</v>
      </c>
      <c r="Q38" s="6" t="s">
        <v>91</v>
      </c>
    </row>
    <row r="39" ht="16.8" spans="1:18">
      <c r="A39" s="5"/>
      <c r="B39" s="4" t="s">
        <v>53</v>
      </c>
      <c r="C39" s="31">
        <f>+抖音!C39+抖音达播!C39+快手!C39</f>
        <v>2298503.00864808</v>
      </c>
      <c r="D39" s="31">
        <f>+抖音!D39+抖音达播!D39+快手!D39</f>
        <v>2468200.77653974</v>
      </c>
      <c r="E39" s="31">
        <f>+抖音!E39+抖音达播!E39+快手!E39</f>
        <v>1582066.5670413</v>
      </c>
      <c r="F39" s="31">
        <f>+抖音!F39+抖音达播!F39+快手!F39</f>
        <v>1336204.87081191</v>
      </c>
      <c r="G39" s="31">
        <f>+抖音!G39+抖音达播!G39+快手!G39</f>
        <v>3070752.37989253</v>
      </c>
      <c r="H39" s="31">
        <f>+抖音!H39+抖音达播!H39+快手!H39</f>
        <v>2791593.07262957</v>
      </c>
      <c r="I39" s="31">
        <f>+抖音!I39+抖音达播!I39+快手!I39</f>
        <v>1603445.84497429</v>
      </c>
      <c r="J39" s="31">
        <f>+抖音!J39+抖音达播!J39+快手!J39</f>
        <v>2583206.54748962</v>
      </c>
      <c r="K39" s="31">
        <f>+抖音!K39+抖音达播!K39+快手!K39</f>
        <v>1594158.1573787</v>
      </c>
      <c r="L39" s="31">
        <f>+抖音!L39+抖音达播!L39+快手!L39</f>
        <v>3070752.37989253</v>
      </c>
      <c r="M39" s="31">
        <f>+抖音!M39+抖音达播!M39+快手!M39</f>
        <v>2780534.82542285</v>
      </c>
      <c r="N39" s="31">
        <f>+抖音!N39+抖音达播!N39+快手!N39</f>
        <v>2571042.47556223</v>
      </c>
      <c r="O39" s="5">
        <f>SUM(C39:N39)</f>
        <v>27750460.9062833</v>
      </c>
      <c r="P39" s="29">
        <f>O39/$O$16</f>
        <v>0.34931747737066</v>
      </c>
      <c r="Q39" s="6" t="s">
        <v>91</v>
      </c>
    </row>
    <row r="40" ht="16.8" spans="1:18">
      <c r="A40" s="5"/>
      <c r="B40" s="4" t="s">
        <v>55</v>
      </c>
      <c r="C40" s="76">
        <f>+抖音!C40+抖音达播!C40+快手!C40</f>
        <v>0</v>
      </c>
      <c r="D40" s="76">
        <f>+抖音!D40+抖音达播!D40+快手!D40</f>
        <v>0</v>
      </c>
      <c r="E40" s="76">
        <f>+抖音!E40+抖音达播!E40+快手!E40</f>
        <v>0</v>
      </c>
      <c r="F40" s="76">
        <f>+抖音!F40+抖音达播!F40+快手!F40</f>
        <v>0</v>
      </c>
      <c r="G40" s="76">
        <f>+抖音!G40+抖音达播!G40+快手!G40</f>
        <v>0</v>
      </c>
      <c r="H40" s="76">
        <f>+抖音!H40+抖音达播!H40+快手!H40</f>
        <v>0</v>
      </c>
      <c r="I40" s="76">
        <f>+抖音!I40+抖音达播!I40+快手!I40</f>
        <v>0</v>
      </c>
      <c r="J40" s="76">
        <f>+抖音!J40+抖音达播!J40+快手!J40</f>
        <v>0</v>
      </c>
      <c r="K40" s="76">
        <f>+抖音!K40+抖音达播!K40+快手!K40</f>
        <v>0</v>
      </c>
      <c r="L40" s="76">
        <f>+抖音!L40+抖音达播!L40+快手!L40</f>
        <v>0</v>
      </c>
      <c r="M40" s="76">
        <f>+抖音!M40+抖音达播!M40+快手!M40</f>
        <v>0</v>
      </c>
      <c r="N40" s="76">
        <f>+抖音!N40+抖音达播!N40+快手!N40</f>
        <v>0</v>
      </c>
      <c r="O40" s="76"/>
      <c r="P40" s="29">
        <f>O40/$O$16</f>
        <v>0</v>
      </c>
      <c r="Q40" s="6" t="s">
        <v>91</v>
      </c>
    </row>
    <row r="41" ht="16.8" outlineLevel="1" spans="1:18">
      <c r="A41" s="5"/>
      <c r="B41" s="4" t="s">
        <v>57</v>
      </c>
      <c r="C41" s="16">
        <f>+抖音!C41+抖音达播!C41+快手!C41</f>
        <v>0</v>
      </c>
      <c r="D41" s="16">
        <f>+抖音!D41+抖音达播!D41+快手!D41</f>
        <v>0</v>
      </c>
      <c r="E41" s="16">
        <f>+抖音!E41+抖音达播!E41+快手!E41</f>
        <v>0</v>
      </c>
      <c r="F41" s="16">
        <f>+抖音!F41+抖音达播!F41+快手!F41</f>
        <v>0</v>
      </c>
      <c r="G41" s="16">
        <f>+抖音!G41+抖音达播!G41+快手!G41</f>
        <v>0</v>
      </c>
      <c r="H41" s="16">
        <f>+抖音!H41+抖音达播!H41+快手!H41</f>
        <v>0</v>
      </c>
      <c r="I41" s="16">
        <f>+抖音!I41+抖音达播!I41+快手!I41</f>
        <v>0</v>
      </c>
      <c r="J41" s="16">
        <f>+抖音!J41+抖音达播!J41+快手!J41</f>
        <v>0</v>
      </c>
      <c r="K41" s="16">
        <f>+抖音!K41+抖音达播!K41+快手!K41</f>
        <v>0</v>
      </c>
      <c r="L41" s="16">
        <f>+抖音!L41+抖音达播!L41+快手!L41</f>
        <v>0</v>
      </c>
      <c r="M41" s="16">
        <f>+抖音!M41+抖音达播!M41+快手!M41</f>
        <v>0</v>
      </c>
      <c r="N41" s="16">
        <f>+抖音!N41+抖音达播!N41+快手!N41</f>
        <v>0</v>
      </c>
      <c r="O41" s="29">
        <f>O38/$O$16</f>
        <v>0</v>
      </c>
      <c r="Q41" s="6" t="s">
        <v>91</v>
      </c>
    </row>
    <row r="42" ht="16.8" outlineLevel="1" spans="1:18">
      <c r="A42" s="5"/>
      <c r="B42" s="4" t="s">
        <v>58</v>
      </c>
      <c r="C42" s="16">
        <f>+抖音!C42+抖音达播!C42+快手!C42</f>
        <v>0</v>
      </c>
      <c r="D42" s="16">
        <f>+抖音!D42+抖音达播!D42+快手!D42</f>
        <v>0</v>
      </c>
      <c r="E42" s="16">
        <f>+抖音!E42+抖音达播!E42+快手!E42</f>
        <v>0</v>
      </c>
      <c r="F42" s="16">
        <f>+抖音!F42+抖音达播!F42+快手!F42</f>
        <v>0</v>
      </c>
      <c r="G42" s="16">
        <f>+抖音!G42+抖音达播!G42+快手!G42</f>
        <v>0</v>
      </c>
      <c r="H42" s="16">
        <f>+抖音!H42+抖音达播!H42+快手!H42</f>
        <v>0</v>
      </c>
      <c r="I42" s="16">
        <f>+抖音!I42+抖音达播!I42+快手!I42</f>
        <v>0</v>
      </c>
      <c r="J42" s="16">
        <f>+抖音!J42+抖音达播!J42+快手!J42</f>
        <v>0</v>
      </c>
      <c r="K42" s="16">
        <f>+抖音!K42+抖音达播!K42+快手!K42</f>
        <v>0</v>
      </c>
      <c r="L42" s="16">
        <f>+抖音!L42+抖音达播!L42+快手!L42</f>
        <v>0</v>
      </c>
      <c r="M42" s="16">
        <f>+抖音!M42+抖音达播!M42+快手!M42</f>
        <v>0</v>
      </c>
      <c r="N42" s="16">
        <f>+抖音!N42+抖音达播!N42+快手!N42</f>
        <v>0</v>
      </c>
      <c r="O42" s="29">
        <f>O39/$O$16</f>
        <v>0.34931747737066</v>
      </c>
      <c r="Q42" s="6" t="s">
        <v>91</v>
      </c>
    </row>
    <row r="43" ht="16.8" outlineLevel="1" spans="1:18">
      <c r="A43" s="5"/>
      <c r="B43" s="4" t="s">
        <v>59</v>
      </c>
      <c r="C43" s="16">
        <f>+抖音!C43+抖音达播!C43+快手!C43</f>
        <v>0</v>
      </c>
      <c r="D43" s="16">
        <f>+抖音!D43+抖音达播!D43+快手!D43</f>
        <v>0</v>
      </c>
      <c r="E43" s="16">
        <f>+抖音!E43+抖音达播!E43+快手!E43</f>
        <v>0</v>
      </c>
      <c r="F43" s="16">
        <f>+抖音!F43+抖音达播!F43+快手!F43</f>
        <v>0</v>
      </c>
      <c r="G43" s="16">
        <f>+抖音!G43+抖音达播!G43+快手!G43</f>
        <v>0</v>
      </c>
      <c r="H43" s="16">
        <f>+抖音!H43+抖音达播!H43+快手!H43</f>
        <v>0</v>
      </c>
      <c r="I43" s="16">
        <f>+抖音!I43+抖音达播!I43+快手!I43</f>
        <v>0</v>
      </c>
      <c r="J43" s="16">
        <f>+抖音!J43+抖音达播!J43+快手!J43</f>
        <v>0</v>
      </c>
      <c r="K43" s="16">
        <f>+抖音!K43+抖音达播!K43+快手!K43</f>
        <v>0</v>
      </c>
      <c r="L43" s="16">
        <f>+抖音!L43+抖音达播!L43+快手!L43</f>
        <v>0</v>
      </c>
      <c r="M43" s="16">
        <f>+抖音!M43+抖音达播!M43+快手!M43</f>
        <v>0</v>
      </c>
      <c r="N43" s="16">
        <f>+抖音!N43+抖音达播!N43+快手!N43</f>
        <v>0</v>
      </c>
      <c r="O43" s="29">
        <f>O40/$O$16</f>
        <v>0</v>
      </c>
      <c r="Q43" s="6" t="s">
        <v>91</v>
      </c>
    </row>
    <row r="44" ht="16.8" spans="1:18">
      <c r="B44" s="17" t="s">
        <v>60</v>
      </c>
      <c r="C44" s="18">
        <f>+抖音!C44+抖音达播!C44+快手!C44</f>
        <v>417234.688372516</v>
      </c>
      <c r="D44" s="18">
        <f>+抖音!D44+抖音达播!D44+快手!D44</f>
        <v>463838.085987609</v>
      </c>
      <c r="E44" s="18">
        <f>+抖音!E44+抖音达播!E44+快手!E44</f>
        <v>316118.364750594</v>
      </c>
      <c r="F44" s="18">
        <f>+抖音!F44+抖音达播!F44+快手!F44</f>
        <v>266304.043163907</v>
      </c>
      <c r="G44" s="18">
        <f>+抖音!G44+抖音达播!G44+快手!G44</f>
        <v>560594.656622572</v>
      </c>
      <c r="H44" s="18">
        <f>+抖音!H44+抖音达播!H44+快手!H44</f>
        <v>509631.50602052</v>
      </c>
      <c r="I44" s="18">
        <f>+抖音!I44+抖音达播!I44+快手!I44</f>
        <v>319564.851796689</v>
      </c>
      <c r="J44" s="18">
        <f>+抖音!J44+抖音达播!J44+快手!J44</f>
        <v>469007.81655675</v>
      </c>
      <c r="K44" s="18">
        <f>+抖音!K44+抖音达播!K44+快手!K44</f>
        <v>319564.851796689</v>
      </c>
      <c r="L44" s="18">
        <f>+抖音!L44+抖音达播!L44+快手!L44</f>
        <v>560594.656622572</v>
      </c>
      <c r="M44" s="18">
        <f>+抖音!M44+抖音达播!M44+快手!M44</f>
        <v>521119.796174167</v>
      </c>
      <c r="N44" s="18">
        <f>+抖音!N44+抖音达播!N44+快手!N44</f>
        <v>479347.277695033</v>
      </c>
      <c r="O44" s="18">
        <f t="shared" ref="O44:O56" si="6">SUM(C44:N44)</f>
        <v>5202920.59555962</v>
      </c>
      <c r="P44" s="23">
        <f>O44/$O$16</f>
        <v>0.0654933661656489</v>
      </c>
      <c r="Q44" s="6"/>
    </row>
    <row r="45" ht="16.8" spans="1:18">
      <c r="A45" s="5"/>
      <c r="B45" s="4" t="s">
        <v>61</v>
      </c>
      <c r="C45" s="30">
        <f>+抖音!C45+抖音达播!C45+快手!C45</f>
        <v>103214.293161981</v>
      </c>
      <c r="D45" s="30">
        <f>+抖音!D45+抖音达播!D45+快手!D45</f>
        <v>115611.449040732</v>
      </c>
      <c r="E45" s="30">
        <f>+抖音!E45+抖音达播!E45+快手!E45</f>
        <v>77700.9333688686</v>
      </c>
      <c r="F45" s="30">
        <f>+抖音!F45+抖音达播!F45+快手!F45</f>
        <v>65011.8753108825</v>
      </c>
      <c r="G45" s="30">
        <f>+抖音!G45+抖音达播!G45+快手!G45</f>
        <v>140728.467653212</v>
      </c>
      <c r="H45" s="30">
        <f>+抖音!H45+抖音达播!H45+快手!H45</f>
        <v>127934.970593829</v>
      </c>
      <c r="I45" s="30">
        <f>+抖音!I45+抖音达播!I45+快手!I45</f>
        <v>78014.250373059</v>
      </c>
      <c r="J45" s="30">
        <f>+抖音!J45+抖音达播!J45+快手!J45</f>
        <v>116081.424547017</v>
      </c>
      <c r="K45" s="30">
        <f>+抖音!K45+抖音达播!K45+快手!K45</f>
        <v>78014.250373059</v>
      </c>
      <c r="L45" s="30">
        <f>+抖音!L45+抖音达播!L45+快手!L45</f>
        <v>140728.467653212</v>
      </c>
      <c r="M45" s="30">
        <f>+抖音!M45+抖音达播!M45+快手!M45</f>
        <v>128979.360607797</v>
      </c>
      <c r="N45" s="30">
        <f>+抖音!N45+抖音达播!N45+快手!N45</f>
        <v>117021.375559588</v>
      </c>
      <c r="O45" s="5">
        <f t="shared" si="6"/>
        <v>1289041.11824324</v>
      </c>
      <c r="P45" s="29">
        <v>0.005</v>
      </c>
      <c r="Q45" s="6" t="s">
        <v>92</v>
      </c>
      <c r="R45" s="67" t="s">
        <v>123</v>
      </c>
    </row>
    <row r="46" ht="16.8" spans="1:18">
      <c r="A46" s="5"/>
      <c r="B46" s="4" t="s">
        <v>63</v>
      </c>
      <c r="C46" s="30">
        <f>+抖音!C46+抖音达播!C46+快手!C46</f>
        <v>314020.395210534</v>
      </c>
      <c r="D46" s="30">
        <f>+抖音!D46+抖音达播!D46+快手!D46</f>
        <v>348226.636946877</v>
      </c>
      <c r="E46" s="30">
        <f>+抖音!E46+抖音达播!E46+快手!E46</f>
        <v>238417.431381726</v>
      </c>
      <c r="F46" s="30">
        <f>+抖音!F46+抖音达播!F46+快手!F46</f>
        <v>201292.167853025</v>
      </c>
      <c r="G46" s="30">
        <f>+抖音!G46+抖音达播!G46+快手!G46</f>
        <v>419866.18896936</v>
      </c>
      <c r="H46" s="30">
        <f>+抖音!H46+抖音达播!H46+快手!H46</f>
        <v>381696.535426691</v>
      </c>
      <c r="I46" s="30">
        <f>+抖音!I46+抖音达播!I46+快手!I46</f>
        <v>241550.60142363</v>
      </c>
      <c r="J46" s="30">
        <f>+抖音!J46+抖音达播!J46+快手!J46</f>
        <v>352926.392009733</v>
      </c>
      <c r="K46" s="30">
        <f>+抖音!K46+抖音达播!K46+快手!K46</f>
        <v>241550.60142363</v>
      </c>
      <c r="L46" s="30">
        <f>+抖音!L46+抖音达播!L46+快手!L46</f>
        <v>419866.18896936</v>
      </c>
      <c r="M46" s="30">
        <f>+抖音!M46+抖音达播!M46+快手!M46</f>
        <v>392140.43556637</v>
      </c>
      <c r="N46" s="30">
        <f>+抖音!N46+抖音达播!N46+快手!N46</f>
        <v>362325.902135444</v>
      </c>
      <c r="O46" s="5">
        <f t="shared" si="6"/>
        <v>3913879.47731638</v>
      </c>
      <c r="P46" s="29">
        <v>0.05</v>
      </c>
      <c r="Q46" s="4" t="s">
        <v>83</v>
      </c>
    </row>
    <row r="47" ht="16.8" spans="1:18">
      <c r="B47" s="17" t="s">
        <v>65</v>
      </c>
      <c r="C47" s="18">
        <f>+抖音!C47+抖音达播!C47+快手!C47</f>
        <v>0</v>
      </c>
      <c r="D47" s="18">
        <f>+抖音!D47+抖音达播!D47+快手!D47</f>
        <v>0</v>
      </c>
      <c r="E47" s="18">
        <f>+抖音!E47+抖音达播!E47+快手!E47</f>
        <v>0</v>
      </c>
      <c r="F47" s="18">
        <f>+抖音!F47+抖音达播!F47+快手!F47</f>
        <v>0</v>
      </c>
      <c r="G47" s="18">
        <f>+抖音!G47+抖音达播!G47+快手!G47</f>
        <v>0</v>
      </c>
      <c r="H47" s="18">
        <f>+抖音!H47+抖音达播!H47+快手!H47</f>
        <v>0</v>
      </c>
      <c r="I47" s="18">
        <f>+抖音!I47+抖音达播!I47+快手!I47</f>
        <v>0</v>
      </c>
      <c r="J47" s="18">
        <f>+抖音!J47+抖音达播!J47+快手!J47</f>
        <v>0</v>
      </c>
      <c r="K47" s="18">
        <f>+抖音!K47+抖音达播!K47+快手!K47</f>
        <v>0</v>
      </c>
      <c r="L47" s="18">
        <f>+抖音!L47+抖音达播!L47+快手!L47</f>
        <v>0</v>
      </c>
      <c r="M47" s="18">
        <f>+抖音!M47+抖音达播!M47+快手!M47</f>
        <v>0</v>
      </c>
      <c r="N47" s="18">
        <f>+抖音!N47+抖音达播!N47+快手!N47</f>
        <v>0</v>
      </c>
      <c r="O47" s="18">
        <f t="shared" si="6"/>
        <v>0</v>
      </c>
      <c r="P47" s="23">
        <f t="shared" ref="P47:P53" si="7">O47/$O$16</f>
        <v>0</v>
      </c>
      <c r="Q47" s="6"/>
    </row>
    <row r="48" ht="16.8" spans="1:18">
      <c r="A48" s="5"/>
      <c r="B48" s="4" t="s">
        <v>66</v>
      </c>
      <c r="C48" s="30">
        <f>+抖音!C48+抖音达播!C48+快手!C48</f>
        <v>0</v>
      </c>
      <c r="D48" s="30">
        <f>+抖音!D48+抖音达播!D48+快手!D48</f>
        <v>0</v>
      </c>
      <c r="E48" s="30">
        <f>+抖音!E48+抖音达播!E48+快手!E48</f>
        <v>0</v>
      </c>
      <c r="F48" s="30">
        <f>+抖音!F48+抖音达播!F48+快手!F48</f>
        <v>0</v>
      </c>
      <c r="G48" s="30">
        <f>+抖音!G48+抖音达播!G48+快手!G48</f>
        <v>0</v>
      </c>
      <c r="H48" s="30">
        <f>+抖音!H48+抖音达播!H48+快手!H48</f>
        <v>0</v>
      </c>
      <c r="I48" s="30">
        <f>+抖音!I48+抖音达播!I48+快手!I48</f>
        <v>0</v>
      </c>
      <c r="J48" s="30">
        <f>+抖音!J48+抖音达播!J48+快手!J48</f>
        <v>0</v>
      </c>
      <c r="K48" s="30">
        <f>+抖音!K48+抖音达播!K48+快手!K48</f>
        <v>0</v>
      </c>
      <c r="L48" s="30">
        <f>+抖音!L48+抖音达播!L48+快手!L48</f>
        <v>0</v>
      </c>
      <c r="M48" s="30">
        <f>+抖音!M48+抖音达播!M48+快手!M48</f>
        <v>0</v>
      </c>
      <c r="N48" s="30">
        <f>+抖音!N48+抖音达播!N48+快手!N48</f>
        <v>0</v>
      </c>
      <c r="O48" s="5">
        <f t="shared" si="6"/>
        <v>0</v>
      </c>
      <c r="P48" s="29">
        <f t="shared" si="7"/>
        <v>0</v>
      </c>
      <c r="Q48" s="4" t="s">
        <v>95</v>
      </c>
    </row>
    <row r="49" ht="16.8" spans="1:19">
      <c r="A49" s="5"/>
      <c r="B49" s="4" t="s">
        <v>67</v>
      </c>
      <c r="C49" s="30">
        <f>+抖音!C49+抖音达播!C49+快手!C49</f>
        <v>0</v>
      </c>
      <c r="D49" s="30">
        <f>+抖音!D49+抖音达播!D49+快手!D49</f>
        <v>0</v>
      </c>
      <c r="E49" s="30">
        <f>+抖音!E49+抖音达播!E49+快手!E49</f>
        <v>0</v>
      </c>
      <c r="F49" s="30">
        <f>+抖音!F49+抖音达播!F49+快手!F49</f>
        <v>0</v>
      </c>
      <c r="G49" s="30">
        <f>+抖音!G49+抖音达播!G49+快手!G49</f>
        <v>0</v>
      </c>
      <c r="H49" s="30">
        <f>+抖音!H49+抖音达播!H49+快手!H49</f>
        <v>0</v>
      </c>
      <c r="I49" s="30">
        <f>+抖音!I49+抖音达播!I49+快手!I49</f>
        <v>0</v>
      </c>
      <c r="J49" s="30">
        <f>+抖音!J49+抖音达播!J49+快手!J49</f>
        <v>0</v>
      </c>
      <c r="K49" s="30">
        <f>+抖音!K49+抖音达播!K49+快手!K49</f>
        <v>0</v>
      </c>
      <c r="L49" s="30">
        <f>+抖音!L49+抖音达播!L49+快手!L49</f>
        <v>0</v>
      </c>
      <c r="M49" s="30">
        <f>+抖音!M49+抖音达播!M49+快手!M49</f>
        <v>0</v>
      </c>
      <c r="N49" s="30">
        <f>+抖音!N49+抖音达播!N49+快手!N49</f>
        <v>0</v>
      </c>
      <c r="O49" s="5">
        <f t="shared" si="6"/>
        <v>0</v>
      </c>
      <c r="P49" s="29">
        <f t="shared" si="7"/>
        <v>0</v>
      </c>
      <c r="Q49" s="4" t="s">
        <v>95</v>
      </c>
    </row>
    <row r="50" ht="16.8" spans="1:19">
      <c r="A50" s="5"/>
      <c r="B50" s="4" t="s">
        <v>68</v>
      </c>
      <c r="C50" s="30">
        <f>+抖音!C50+抖音达播!C50+快手!C50</f>
        <v>0</v>
      </c>
      <c r="D50" s="30">
        <f>+抖音!D50+抖音达播!D50+快手!D50</f>
        <v>0</v>
      </c>
      <c r="E50" s="30">
        <f>+抖音!E50+抖音达播!E50+快手!E50</f>
        <v>0</v>
      </c>
      <c r="F50" s="30">
        <f>+抖音!F50+抖音达播!F50+快手!F50</f>
        <v>0</v>
      </c>
      <c r="G50" s="30">
        <f>+抖音!G50+抖音达播!G50+快手!G50</f>
        <v>0</v>
      </c>
      <c r="H50" s="30">
        <f>+抖音!H50+抖音达播!H50+快手!H50</f>
        <v>0</v>
      </c>
      <c r="I50" s="30">
        <f>+抖音!I50+抖音达播!I50+快手!I50</f>
        <v>0</v>
      </c>
      <c r="J50" s="30">
        <f>+抖音!J50+抖音达播!J50+快手!J50</f>
        <v>0</v>
      </c>
      <c r="K50" s="30">
        <f>+抖音!K50+抖音达播!K50+快手!K50</f>
        <v>0</v>
      </c>
      <c r="L50" s="30">
        <f>+抖音!L50+抖音达播!L50+快手!L50</f>
        <v>0</v>
      </c>
      <c r="M50" s="30">
        <f>+抖音!M50+抖音达播!M50+快手!M50</f>
        <v>0</v>
      </c>
      <c r="N50" s="30">
        <f>+抖音!N50+抖音达播!N50+快手!N50</f>
        <v>0</v>
      </c>
      <c r="O50" s="5">
        <f t="shared" si="6"/>
        <v>0</v>
      </c>
      <c r="P50" s="29">
        <f t="shared" si="7"/>
        <v>0</v>
      </c>
      <c r="Q50" s="4" t="s">
        <v>95</v>
      </c>
    </row>
    <row r="51" ht="16.8" spans="1:19">
      <c r="B51" s="4" t="s">
        <v>69</v>
      </c>
      <c r="C51" s="30">
        <f>+抖音!C51+抖音达播!C51+快手!C51</f>
        <v>0</v>
      </c>
      <c r="D51" s="30">
        <f>+抖音!D51+抖音达播!D51+快手!D51</f>
        <v>0</v>
      </c>
      <c r="E51" s="30">
        <f>+抖音!E51+抖音达播!E51+快手!E51</f>
        <v>0</v>
      </c>
      <c r="F51" s="30">
        <f>+抖音!F51+抖音达播!F51+快手!F51</f>
        <v>0</v>
      </c>
      <c r="G51" s="30">
        <f>+抖音!G51+抖音达播!G51+快手!G51</f>
        <v>0</v>
      </c>
      <c r="H51" s="30">
        <f>+抖音!H51+抖音达播!H51+快手!H51</f>
        <v>0</v>
      </c>
      <c r="I51" s="30">
        <f>+抖音!I51+抖音达播!I51+快手!I51</f>
        <v>0</v>
      </c>
      <c r="J51" s="30">
        <f>+抖音!J51+抖音达播!J51+快手!J51</f>
        <v>0</v>
      </c>
      <c r="K51" s="30">
        <f>+抖音!K51+抖音达播!K51+快手!K51</f>
        <v>0</v>
      </c>
      <c r="L51" s="30">
        <f>+抖音!L51+抖音达播!L51+快手!L51</f>
        <v>0</v>
      </c>
      <c r="M51" s="30">
        <f>+抖音!M51+抖音达播!M51+快手!M51</f>
        <v>0</v>
      </c>
      <c r="N51" s="30">
        <f>+抖音!N51+抖音达播!N51+快手!N51</f>
        <v>0</v>
      </c>
      <c r="O51" s="5">
        <f t="shared" si="6"/>
        <v>0</v>
      </c>
      <c r="P51" s="29">
        <f t="shared" si="7"/>
        <v>0</v>
      </c>
      <c r="Q51" s="4" t="s">
        <v>95</v>
      </c>
    </row>
    <row r="52" ht="16.8" spans="1:19">
      <c r="B52" s="21" t="s">
        <v>70</v>
      </c>
      <c r="C52" s="22">
        <f>+抖音!C52+抖音达播!C52+快手!C52</f>
        <v>2861862.08141241</v>
      </c>
      <c r="D52" s="22">
        <f>+抖音!D52+抖音达播!D52+快手!D52</f>
        <v>3399251.69637376</v>
      </c>
      <c r="E52" s="22">
        <f>+抖音!E52+抖音达播!E52+快手!E52</f>
        <v>2669745.85092576</v>
      </c>
      <c r="F52" s="22">
        <f>+抖音!F52+抖音达播!F52+快手!F52</f>
        <v>2037875.62007171</v>
      </c>
      <c r="G52" s="22">
        <f>+抖音!G52+抖音达播!G52+快手!G52</f>
        <v>5362975.79782956</v>
      </c>
      <c r="H52" s="22">
        <f>+抖音!H52+抖音达播!H52+快手!H52</f>
        <v>4319831.67388528</v>
      </c>
      <c r="I52" s="22">
        <f>+抖音!I52+抖音达播!I52+快手!I52</f>
        <v>2141926.35431373</v>
      </c>
      <c r="J52" s="22">
        <f>+抖音!J52+抖音达播!J52+快手!J52</f>
        <v>3388724.93156174</v>
      </c>
      <c r="K52" s="22">
        <f>+抖音!K52+抖音达播!K52+快手!K52</f>
        <v>2151497.35670353</v>
      </c>
      <c r="L52" s="22">
        <f>+抖音!L52+抖音达播!L52+快手!L52</f>
        <v>4581625.94171488</v>
      </c>
      <c r="M52" s="22">
        <f>+抖音!M52+抖音达播!M52+快手!M52</f>
        <v>3665609.70160443</v>
      </c>
      <c r="N52" s="22">
        <f>+抖音!N52+抖音达播!N52+快手!N52</f>
        <v>3303541.65944109</v>
      </c>
      <c r="O52" s="22">
        <f t="shared" si="6"/>
        <v>39884468.6658379</v>
      </c>
      <c r="P52" s="24">
        <f t="shared" si="7"/>
        <v>0.502058038879817</v>
      </c>
      <c r="Q52" s="6"/>
    </row>
    <row r="53" ht="16.8" spans="1:19">
      <c r="A53" s="5"/>
      <c r="B53" s="4" t="s">
        <v>71</v>
      </c>
      <c r="C53" s="30">
        <f>+抖音!C53+抖音达播!C53+快手!C53</f>
        <v>220327.283195489</v>
      </c>
      <c r="D53" s="30">
        <f>+抖音!D53+抖音达播!D53+快手!D53</f>
        <v>244840.408995941</v>
      </c>
      <c r="E53" s="30">
        <f>+抖音!E53+抖音达播!E53+快手!E53</f>
        <v>166986.743380912</v>
      </c>
      <c r="F53" s="30">
        <f>+抖音!F53+抖音达播!F53+快手!F53</f>
        <v>140722.204505045</v>
      </c>
      <c r="G53" s="30">
        <f>+抖音!G53+抖音达播!G53+快手!G53</f>
        <v>295802.901726723</v>
      </c>
      <c r="H53" s="30">
        <f>+抖音!H53+抖音达播!H53+快手!H53</f>
        <v>268911.728842476</v>
      </c>
      <c r="I53" s="30">
        <f>+抖音!I53+抖音达播!I53+快手!I53</f>
        <v>168866.645406054</v>
      </c>
      <c r="J53" s="30">
        <f>+抖音!J53+抖音达播!J53+快手!J53</f>
        <v>247660.262033655</v>
      </c>
      <c r="K53" s="30">
        <f>+抖音!K53+抖音达播!K53+快手!K53</f>
        <v>168866.645406054</v>
      </c>
      <c r="L53" s="30">
        <f>+抖音!L53+抖音达播!L53+快手!L53</f>
        <v>295802.901726723</v>
      </c>
      <c r="M53" s="30">
        <f>+抖音!M53+抖音达播!M53+快手!M53</f>
        <v>275178.068926283</v>
      </c>
      <c r="N53" s="30">
        <f>+抖音!N53+抖音达播!N53+快手!N53</f>
        <v>253299.968109082</v>
      </c>
      <c r="O53" s="5">
        <f t="shared" si="6"/>
        <v>2747265.76225444</v>
      </c>
      <c r="P53" s="29">
        <f t="shared" si="7"/>
        <v>0.0345820542937438</v>
      </c>
      <c r="Q53" s="52">
        <v>0.03</v>
      </c>
    </row>
    <row r="54" ht="16.8" spans="1:19">
      <c r="A54" s="5"/>
      <c r="B54" s="4" t="s">
        <v>73</v>
      </c>
      <c r="C54" s="30">
        <f>+抖音!C54+抖音达播!C54+快手!C54</f>
        <v>125690.915157449</v>
      </c>
      <c r="D54" s="30">
        <f>+抖音!D54+抖音达播!D54+快手!D54</f>
        <v>139383.756486141</v>
      </c>
      <c r="E54" s="30">
        <f>+抖音!E54+抖音达播!E54+快手!E54</f>
        <v>95429.0403576168</v>
      </c>
      <c r="F54" s="30">
        <f>+抖音!F54+抖音达播!F54+快手!F54</f>
        <v>80568.5903119819</v>
      </c>
      <c r="G54" s="30">
        <f>+抖音!G54+抖音达播!G54+快手!G54</f>
        <v>66101.6914498234</v>
      </c>
      <c r="H54" s="30">
        <f>+抖音!H54+抖音达播!H54+快手!H54</f>
        <v>60092.4467725667</v>
      </c>
      <c r="I54" s="30">
        <f>+抖音!I54+抖音达播!I54+快手!I54</f>
        <v>96682.3083743783</v>
      </c>
      <c r="J54" s="30">
        <f>+抖音!J54+抖音达播!J54+快手!J54</f>
        <v>141263.658511283</v>
      </c>
      <c r="K54" s="30">
        <f>+抖音!K54+抖音达播!K54+快手!K54</f>
        <v>96682.3083743783</v>
      </c>
      <c r="L54" s="30">
        <f>+抖音!L54+抖音达播!L54+快手!L54</f>
        <v>66101.6914498234</v>
      </c>
      <c r="M54" s="30">
        <f>+抖音!M54+抖音达播!M54+快手!M54</f>
        <v>61659.0317935186</v>
      </c>
      <c r="N54" s="30">
        <f>+抖音!N54+抖音达播!N54+快手!N54</f>
        <v>145023.462561567</v>
      </c>
      <c r="O54" s="5">
        <f t="shared" si="6"/>
        <v>1174678.90160053</v>
      </c>
      <c r="P54" s="29">
        <f>O54/O16</f>
        <v>0.0147866326261531</v>
      </c>
      <c r="Q54" s="78" t="s">
        <v>124</v>
      </c>
    </row>
    <row r="55" ht="16.8" spans="1:19">
      <c r="A55" s="5"/>
      <c r="B55" s="4" t="s">
        <v>75</v>
      </c>
      <c r="C55" s="30">
        <f>+抖音!C55+抖音达播!C55+快手!C55</f>
        <v>421200.990805146</v>
      </c>
      <c r="D55" s="30">
        <f>+抖音!D55+抖音达播!D55+快手!D55</f>
        <v>275428.079251186</v>
      </c>
      <c r="E55" s="30">
        <f>+抖音!E55+抖音达播!E55+快手!E55</f>
        <v>214831.756982712</v>
      </c>
      <c r="F55" s="30">
        <f>+抖音!F55+抖音达播!F55+快手!F55</f>
        <v>330613.880340513</v>
      </c>
      <c r="G55" s="30">
        <f>+抖音!G55+抖音达播!G55+快手!G55</f>
        <v>283930.269865859</v>
      </c>
      <c r="H55" s="30">
        <f>+抖音!H55+抖音达播!H55+快手!H55</f>
        <v>198912.749065837</v>
      </c>
      <c r="I55" s="30">
        <f>+抖音!I55+抖音达播!I55+快手!I55</f>
        <v>277140.557144198</v>
      </c>
      <c r="J55" s="30">
        <f>+抖音!J55+抖音达播!J55+快手!J55</f>
        <v>214410.564363933</v>
      </c>
      <c r="K55" s="30">
        <f>+抖音!K55+抖音达播!K55+快手!K55</f>
        <v>295444.197005446</v>
      </c>
      <c r="L55" s="30">
        <f>+抖音!L55+抖音达播!L55+快手!L55</f>
        <v>233201.974380483</v>
      </c>
      <c r="M55" s="30">
        <f>+抖音!M55+抖音达播!M55+快手!M55</f>
        <v>204257.689378168</v>
      </c>
      <c r="N55" s="30">
        <f>+抖音!N55+抖音达播!N55+快手!N55</f>
        <v>199289.490215621</v>
      </c>
      <c r="O55" s="5">
        <f t="shared" si="6"/>
        <v>3148662.1987991</v>
      </c>
      <c r="P55" s="29">
        <v>0.02</v>
      </c>
      <c r="Q55" s="6" t="s">
        <v>125</v>
      </c>
    </row>
    <row r="56" ht="16.8" spans="1:19">
      <c r="A56" s="5"/>
      <c r="B56" s="4" t="s">
        <v>77</v>
      </c>
      <c r="C56" s="30">
        <f>+抖音!C56+抖音达播!C56+快手!C56</f>
        <v>30795.1510550652</v>
      </c>
      <c r="D56" s="30">
        <f>+抖音!D56+抖音达播!D56+快手!D56</f>
        <v>34139.914170451</v>
      </c>
      <c r="E56" s="30">
        <f>+抖音!E56+抖音达播!E56+快手!E56</f>
        <v>23386.5767886815</v>
      </c>
      <c r="F56" s="30">
        <f>+抖音!F56+抖音达播!F56+快手!F56</f>
        <v>19749.9114940599</v>
      </c>
      <c r="G56" s="30">
        <f>+抖音!G56+抖音达播!G56+快手!G56</f>
        <v>41152.1472562022</v>
      </c>
      <c r="H56" s="30">
        <f>+抖音!H56+抖音达播!H56+快手!H56</f>
        <v>37411.0429601839</v>
      </c>
      <c r="I56" s="30">
        <f>+抖音!I56+抖音达播!I56+快手!I56</f>
        <v>23699.8937928718</v>
      </c>
      <c r="J56" s="30">
        <f>+抖音!J56+抖音达播!J56+快手!J56</f>
        <v>34609.8896767366</v>
      </c>
      <c r="K56" s="30">
        <f>+抖音!K56+抖音达播!K56+快手!K56</f>
        <v>23699.8937928718</v>
      </c>
      <c r="L56" s="30">
        <f>+抖音!L56+抖音达播!L56+快手!L56</f>
        <v>41152.1472562022</v>
      </c>
      <c r="M56" s="30">
        <f>+抖音!M56+抖音达播!M56+快手!M56</f>
        <v>38455.4329741518</v>
      </c>
      <c r="N56" s="30">
        <f>+抖音!N56+抖音达播!N56+快手!N56</f>
        <v>35549.8406893077</v>
      </c>
      <c r="O56" s="5">
        <f t="shared" si="6"/>
        <v>383801.841906786</v>
      </c>
      <c r="P56" s="29">
        <v>0.005</v>
      </c>
      <c r="Q56" s="79">
        <f>O56/0.03</f>
        <v>12793394.7302262</v>
      </c>
      <c r="R56">
        <f>9*100+300</f>
        <v>1200</v>
      </c>
      <c r="S56" s="67" t="s">
        <v>126</v>
      </c>
    </row>
    <row r="57" ht="16.8" spans="1:19">
      <c r="A57" s="5"/>
      <c r="B57" s="4" t="s">
        <v>79</v>
      </c>
      <c r="C57" s="30">
        <f>+抖音!C57+抖音达播!C57+快手!C57</f>
        <v>49811.6567762953</v>
      </c>
      <c r="D57" s="30">
        <f>+抖音!D57+抖音达播!D57+快手!D57</f>
        <v>0</v>
      </c>
      <c r="E57" s="30">
        <f>+抖音!E57+抖音达播!E57+快手!E57</f>
        <v>0</v>
      </c>
      <c r="F57" s="30">
        <f>+抖音!F57+抖音达播!F57+快手!F57</f>
        <v>0</v>
      </c>
      <c r="G57" s="30">
        <f>+抖音!G57+抖音达播!G57+快手!G57</f>
        <v>19924.6627105181</v>
      </c>
      <c r="H57" s="30">
        <f>+抖音!H57+抖音达播!H57+快手!H57</f>
        <v>0</v>
      </c>
      <c r="I57" s="30">
        <f>+抖音!I57+抖音达播!I57+快手!I57</f>
        <v>0</v>
      </c>
      <c r="J57" s="30">
        <f>+抖音!J57+抖音达播!J57+快手!J57</f>
        <v>0</v>
      </c>
      <c r="K57" s="30">
        <f>+抖音!K57+抖音达播!K57+快手!K57</f>
        <v>0</v>
      </c>
      <c r="L57" s="30">
        <f>+抖音!L57+抖音达播!L57+快手!L57</f>
        <v>19924.6627105181</v>
      </c>
      <c r="M57" s="30">
        <f>+抖音!M57+抖音达播!M57+快手!M57</f>
        <v>0</v>
      </c>
      <c r="N57" s="30">
        <f>+抖音!N57+抖音达播!N57+快手!N57</f>
        <v>59773.9881315544</v>
      </c>
      <c r="O57" s="5"/>
      <c r="P57" s="29"/>
      <c r="Q57" s="4"/>
    </row>
    <row r="58" ht="16.8" spans="1:19">
      <c r="B58" s="21" t="s">
        <v>80</v>
      </c>
      <c r="C58" s="22">
        <f>+抖音!C58+抖音达播!C58+快手!C58</f>
        <v>847825.996989445</v>
      </c>
      <c r="D58" s="22">
        <f>+抖音!D58+抖音达播!D58+快手!D58</f>
        <v>693792.158903719</v>
      </c>
      <c r="E58" s="22">
        <f>+抖音!E58+抖音达播!E58+快手!E58</f>
        <v>500634.117509923</v>
      </c>
      <c r="F58" s="22">
        <f>+抖音!F58+抖音达播!F58+快手!F58</f>
        <v>571654.5866516</v>
      </c>
      <c r="G58" s="22">
        <f>+抖音!G58+抖音达播!G58+快手!G58</f>
        <v>706911.673009126</v>
      </c>
      <c r="H58" s="22">
        <f>+抖音!H58+抖音达播!H58+快手!H58</f>
        <v>565327.967641063</v>
      </c>
      <c r="I58" s="22">
        <f>+抖音!I58+抖音达播!I58+快手!I58</f>
        <v>566389.404717503</v>
      </c>
      <c r="J58" s="22">
        <f>+抖音!J58+抖音达播!J58+快手!J58</f>
        <v>637944.374585607</v>
      </c>
      <c r="K58" s="22">
        <f>+抖音!K58+抖音达播!K58+快手!K58</f>
        <v>584693.044578751</v>
      </c>
      <c r="L58" s="22">
        <f>+抖音!L58+抖音达播!L58+快手!L58</f>
        <v>656183.37752375</v>
      </c>
      <c r="M58" s="22">
        <f>+抖音!M58+抖音达播!M58+快手!M58</f>
        <v>579550.223072122</v>
      </c>
      <c r="N58" s="22">
        <f>+抖音!N58+抖音达播!N58+快手!N58</f>
        <v>692936.749707132</v>
      </c>
      <c r="O58" s="22">
        <f>SUM(C58:N58)</f>
        <v>7603843.67488974</v>
      </c>
      <c r="P58" s="24">
        <f>O58/$O$16</f>
        <v>0.09571572521997</v>
      </c>
      <c r="Q58" s="6"/>
    </row>
    <row r="59" ht="16.8" spans="1:19">
      <c r="A59" s="7"/>
      <c r="B59" s="12" t="s">
        <v>81</v>
      </c>
      <c r="C59" s="13">
        <f>+抖音!C59+抖音达播!C59+快手!C59</f>
        <v>3709688.07840186</v>
      </c>
      <c r="D59" s="13">
        <f>+抖音!D59+抖音达播!D59+快手!D59</f>
        <v>4093043.85527748</v>
      </c>
      <c r="E59" s="13">
        <f>+抖音!E59+抖音达播!E59+快手!E59</f>
        <v>3170379.96843568</v>
      </c>
      <c r="F59" s="13">
        <f>+抖音!F59+抖音达播!F59+快手!F59</f>
        <v>2609530.20672331</v>
      </c>
      <c r="G59" s="13">
        <f>+抖音!G59+抖音达播!G59+快手!G59</f>
        <v>6069887.47083869</v>
      </c>
      <c r="H59" s="13">
        <f>+抖音!H59+抖音达播!H59+快手!H59</f>
        <v>4885159.64152635</v>
      </c>
      <c r="I59" s="13">
        <f>+抖音!I59+抖音达播!I59+快手!I59</f>
        <v>2708315.75903123</v>
      </c>
      <c r="J59" s="13">
        <f>+抖音!J59+抖音达播!J59+快手!J59</f>
        <v>4026669.30614734</v>
      </c>
      <c r="K59" s="13">
        <f>+抖音!K59+抖音达播!K59+快手!K59</f>
        <v>2736190.40128228</v>
      </c>
      <c r="L59" s="13">
        <f>+抖音!L59+抖音达播!L59+快手!L59</f>
        <v>5237809.31923863</v>
      </c>
      <c r="M59" s="13">
        <f>+抖音!M59+抖音达播!M59+快手!M59</f>
        <v>4245159.92467655</v>
      </c>
      <c r="N59" s="13">
        <f>+抖音!N59+抖音达播!N59+快手!N59</f>
        <v>3996478.40914822</v>
      </c>
      <c r="O59" s="13">
        <f>SUM(C59:N59)</f>
        <v>47488312.3407276</v>
      </c>
      <c r="P59" s="27">
        <f>O59/$O$16</f>
        <v>0.597773764099787</v>
      </c>
      <c r="Q59" s="32"/>
      <c r="R59" s="33"/>
    </row>
    <row r="60" ht="16.8" spans="1:19">
      <c r="A60" s="7"/>
      <c r="B60" s="12" t="s">
        <v>82</v>
      </c>
      <c r="C60" s="13">
        <f>+抖音!C60+抖音达播!C60+快手!C60</f>
        <v>-615014.135655085</v>
      </c>
      <c r="D60" s="13">
        <f>+抖音!D60+抖音达播!D60+快手!D60</f>
        <v>-645835.595584775</v>
      </c>
      <c r="E60" s="13">
        <f>+抖音!E60+抖音达播!E60+快手!E60</f>
        <v>-940935.827664185</v>
      </c>
      <c r="F60" s="13">
        <f>+抖音!F60+抖音达播!F60+快手!F60</f>
        <v>-733279.349355309</v>
      </c>
      <c r="G60" s="13">
        <f>+抖音!G60+抖音达播!G60+快手!G60</f>
        <v>-1673282.61428482</v>
      </c>
      <c r="H60" s="13">
        <f>+抖音!H60+抖音达播!H60+快手!H60</f>
        <v>-944643.860288998</v>
      </c>
      <c r="I60" s="13">
        <f>+抖音!I60+抖音达播!I60+快手!I60</f>
        <v>-42216.9127109719</v>
      </c>
      <c r="J60" s="13">
        <f>+抖音!J60+抖音达播!J60+快手!J60</f>
        <v>-121331.821651708</v>
      </c>
      <c r="K60" s="13">
        <f>+抖音!K60+抖音达播!K60+快手!K60</f>
        <v>-27890.1611097117</v>
      </c>
      <c r="L60" s="13">
        <f>+抖音!L60+抖音达播!L60+快手!L60</f>
        <v>-468426.199268859</v>
      </c>
      <c r="M60" s="13">
        <f>+抖音!M60+抖音达播!M60+快手!M60</f>
        <v>283678.760801238</v>
      </c>
      <c r="N60" s="13">
        <f>+抖音!N60+抖音达播!N60+快手!N60</f>
        <v>215982.652917632</v>
      </c>
      <c r="O60" s="13">
        <f>SUM(C60:N60)</f>
        <v>-5713195.06385555</v>
      </c>
      <c r="P60" s="27">
        <f>O60/$O$16</f>
        <v>-0.0719166032655211</v>
      </c>
      <c r="Q60" s="32"/>
      <c r="R60" s="34"/>
    </row>
    <row r="61" spans="1:19">
      <c r="O61" s="70">
        <f>O60-抖音!O60-抖音达播!O60-快手!O60</f>
        <v>-1.01863406598568e-10</v>
      </c>
      <c r="Q61" s="6"/>
    </row>
    <row r="62" spans="1:19"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Q62" s="6"/>
    </row>
    <row r="63" spans="1:19">
      <c r="Q63" s="6"/>
    </row>
    <row r="64" spans="1:19">
      <c r="Q64" s="6"/>
    </row>
    <row r="65" spans="17:17">
      <c r="Q65" s="6"/>
    </row>
    <row r="66" spans="17:17">
      <c r="Q66" s="6"/>
    </row>
    <row r="67" spans="17:17">
      <c r="Q67" s="6"/>
    </row>
    <row r="68" spans="17:17">
      <c r="Q68" s="6"/>
    </row>
    <row r="69" spans="17:17">
      <c r="Q69" s="6"/>
    </row>
    <row r="70" spans="17:17">
      <c r="Q70" s="6"/>
    </row>
    <row r="71" spans="17:17">
      <c r="Q71" s="6"/>
    </row>
    <row r="72" spans="17:17">
      <c r="Q72" s="6"/>
    </row>
    <row r="73" spans="17:17">
      <c r="Q73" s="6"/>
    </row>
    <row r="74" spans="17:17">
      <c r="Q74" s="6"/>
    </row>
    <row r="75" spans="17:17">
      <c r="Q75" s="6"/>
    </row>
    <row r="76" spans="17:17">
      <c r="Q76" s="6"/>
    </row>
    <row r="77" spans="17:17">
      <c r="Q77" s="6"/>
    </row>
    <row r="78" spans="17:17">
      <c r="Q78" s="6"/>
    </row>
    <row r="79" spans="17:17">
      <c r="Q79" s="6"/>
    </row>
    <row r="80" spans="17:17">
      <c r="Q80" s="6"/>
    </row>
    <row r="81" spans="3:17">
      <c r="Q81" s="6"/>
    </row>
    <row r="82" spans="3:17">
      <c r="C82" s="35">
        <f t="shared" ref="C82:O82" si="8">C16-C18-C20-C26-C37-C44-C47-C58-C60</f>
        <v>0</v>
      </c>
      <c r="D82" s="35">
        <f t="shared" si="8"/>
        <v>0</v>
      </c>
      <c r="E82" s="35">
        <f t="shared" si="8"/>
        <v>0</v>
      </c>
      <c r="F82" s="35">
        <f t="shared" si="8"/>
        <v>0</v>
      </c>
      <c r="G82" s="35">
        <f t="shared" si="8"/>
        <v>0</v>
      </c>
      <c r="H82" s="35">
        <f t="shared" si="8"/>
        <v>0</v>
      </c>
      <c r="I82" s="35">
        <f t="shared" si="8"/>
        <v>0</v>
      </c>
      <c r="J82" s="35">
        <f t="shared" si="8"/>
        <v>-4.94765117764473e-10</v>
      </c>
      <c r="K82" s="35">
        <f t="shared" si="8"/>
        <v>-4.8748916015029e-10</v>
      </c>
      <c r="L82" s="35">
        <f t="shared" si="8"/>
        <v>-8.73114913702011e-10</v>
      </c>
      <c r="M82" s="35">
        <f t="shared" si="8"/>
        <v>-1.80443748831749e-9</v>
      </c>
      <c r="N82" s="35">
        <f t="shared" si="8"/>
        <v>-6.11180439591408e-10</v>
      </c>
      <c r="O82" s="35">
        <f t="shared" si="8"/>
        <v>-2.42143869400024e-8</v>
      </c>
      <c r="Q82" s="6"/>
    </row>
    <row r="83" spans="3:17">
      <c r="Q83" s="6"/>
    </row>
    <row r="84" spans="3:17">
      <c r="Q84" s="6"/>
    </row>
    <row r="85" spans="3:17">
      <c r="Q85" s="6"/>
    </row>
    <row r="86" spans="3:17">
      <c r="Q86" s="6"/>
    </row>
    <row r="87" spans="3:17">
      <c r="Q87" s="6"/>
    </row>
    <row r="88" spans="3:17">
      <c r="Q88" s="6"/>
    </row>
    <row r="89" spans="3:17">
      <c r="Q89" s="6"/>
    </row>
    <row r="90" spans="3:17">
      <c r="Q90" s="6"/>
    </row>
    <row r="91" spans="3:17">
      <c r="Q91" s="6"/>
    </row>
    <row r="92" spans="3:17">
      <c r="Q92" s="6"/>
    </row>
    <row r="93" spans="3:17">
      <c r="Q93" s="6"/>
    </row>
    <row r="94" spans="3:17">
      <c r="Q94" s="6"/>
    </row>
    <row r="95" spans="3:17">
      <c r="Q95" s="6"/>
    </row>
    <row r="96" spans="3:17">
      <c r="Q96" s="6"/>
    </row>
    <row r="97" spans="17:17">
      <c r="Q97" s="6"/>
    </row>
    <row r="98" spans="17:17">
      <c r="Q98" s="6"/>
    </row>
    <row r="99" spans="17:17">
      <c r="Q99" s="6"/>
    </row>
    <row r="100" spans="17:17">
      <c r="Q100" s="6"/>
    </row>
    <row r="101" spans="17:17">
      <c r="Q101" s="6"/>
    </row>
    <row r="102" spans="17:17">
      <c r="Q102" s="6"/>
    </row>
    <row r="103" spans="17:17">
      <c r="Q103" s="6"/>
    </row>
    <row r="104" spans="17:17">
      <c r="Q104" s="6"/>
    </row>
    <row r="105" spans="17:17">
      <c r="Q105" s="6"/>
    </row>
    <row r="106" spans="17:17">
      <c r="Q106" s="6"/>
    </row>
    <row r="107" spans="17:17">
      <c r="Q107" s="6"/>
    </row>
    <row r="108" spans="17:17">
      <c r="Q108" s="6"/>
    </row>
    <row r="109" spans="17:17">
      <c r="Q109" s="6"/>
    </row>
    <row r="110" spans="17:17">
      <c r="Q110" s="6"/>
    </row>
    <row r="111" spans="17:17">
      <c r="Q111" s="6"/>
    </row>
    <row r="112" spans="17:17">
      <c r="Q112" s="6"/>
    </row>
    <row r="113" spans="17:17">
      <c r="Q113" s="6"/>
    </row>
    <row r="114" spans="17:17">
      <c r="Q114" s="6"/>
    </row>
    <row r="115" spans="17:17">
      <c r="Q115" s="6"/>
    </row>
    <row r="116" spans="17:17">
      <c r="Q116" s="6"/>
    </row>
    <row r="117" spans="17:17">
      <c r="Q117" s="6"/>
    </row>
    <row r="118" spans="17:17">
      <c r="Q118" s="6"/>
    </row>
    <row r="119" spans="17:17">
      <c r="Q119" s="6"/>
    </row>
    <row r="120" spans="17:17">
      <c r="Q120" s="6"/>
    </row>
    <row r="121" spans="17:17">
      <c r="Q121" s="6"/>
    </row>
    <row r="122" spans="17:17">
      <c r="Q122" s="6"/>
    </row>
    <row r="123" spans="17:17">
      <c r="Q123" s="6"/>
    </row>
    <row r="124" spans="17:17">
      <c r="Q124" s="6"/>
    </row>
    <row r="125" spans="17:17">
      <c r="Q125" s="6"/>
    </row>
    <row r="126" spans="17:17">
      <c r="Q126" s="6"/>
    </row>
    <row r="127" spans="17:17">
      <c r="Q127" s="6"/>
    </row>
    <row r="128" spans="17:17">
      <c r="Q128" s="6"/>
    </row>
    <row r="129" spans="17:17">
      <c r="Q129" s="6"/>
    </row>
    <row r="130" spans="17:17">
      <c r="Q130" s="6"/>
    </row>
    <row r="131" spans="17:17">
      <c r="Q131" s="6"/>
    </row>
    <row r="132" spans="17:17">
      <c r="Q132" s="6"/>
    </row>
    <row r="133" spans="17:17">
      <c r="Q133" s="6"/>
    </row>
    <row r="134" spans="17:17">
      <c r="Q134" s="6"/>
    </row>
    <row r="135" spans="17:17">
      <c r="Q135" s="6"/>
    </row>
    <row r="136" spans="17:17">
      <c r="Q136" s="6"/>
    </row>
    <row r="137" spans="17:17">
      <c r="Q137" s="6"/>
    </row>
    <row r="138" spans="17:17">
      <c r="Q138" s="6"/>
    </row>
    <row r="139" spans="17:17">
      <c r="Q139" s="6"/>
    </row>
    <row r="140" spans="17:17">
      <c r="Q140" s="6"/>
    </row>
    <row r="141" spans="17:17">
      <c r="Q141" s="6"/>
    </row>
    <row r="142" spans="17:17">
      <c r="Q142" s="6"/>
    </row>
    <row r="143" spans="17:17">
      <c r="Q143" s="6"/>
    </row>
    <row r="144" spans="17:17">
      <c r="Q144" s="6"/>
    </row>
    <row r="145" spans="17:17">
      <c r="Q145" s="6"/>
    </row>
    <row r="146" spans="17:17">
      <c r="Q146" s="6"/>
    </row>
    <row r="147" spans="17:17">
      <c r="Q147" s="6"/>
    </row>
    <row r="148" spans="17:17">
      <c r="Q148" s="6"/>
    </row>
    <row r="149" spans="17:17">
      <c r="Q149" s="6"/>
    </row>
    <row r="150" spans="17:17">
      <c r="Q150" s="6"/>
    </row>
    <row r="151" spans="17:17">
      <c r="Q151" s="6"/>
    </row>
    <row r="152" spans="17:17">
      <c r="Q152" s="6"/>
    </row>
    <row r="153" spans="17:17">
      <c r="Q153" s="6"/>
    </row>
    <row r="154" spans="17:17">
      <c r="Q154" s="6"/>
    </row>
    <row r="155" spans="17:17">
      <c r="Q155" s="6"/>
    </row>
    <row r="156" spans="17:17">
      <c r="Q156" s="6"/>
    </row>
    <row r="157" spans="17:17">
      <c r="Q157" s="6"/>
    </row>
    <row r="158" spans="17:17">
      <c r="Q158" s="6"/>
    </row>
    <row r="159" spans="17:17">
      <c r="Q159" s="6"/>
    </row>
    <row r="160" spans="17:17">
      <c r="Q160" s="6"/>
    </row>
    <row r="161" spans="17:17">
      <c r="Q161" s="6"/>
    </row>
    <row r="162" spans="17:17">
      <c r="Q162" s="6"/>
    </row>
    <row r="163" spans="17:17">
      <c r="Q163" s="6"/>
    </row>
    <row r="164" spans="17:17">
      <c r="Q164" s="6"/>
    </row>
    <row r="165" spans="17:17">
      <c r="Q165" s="6"/>
    </row>
    <row r="166" spans="17:17">
      <c r="Q166" s="6"/>
    </row>
    <row r="167" spans="17:17">
      <c r="Q167" s="6"/>
    </row>
    <row r="168" spans="17:17">
      <c r="Q168" s="6"/>
    </row>
    <row r="169" spans="17:17">
      <c r="Q169" s="6"/>
    </row>
    <row r="170" spans="17:17">
      <c r="Q170" s="6"/>
    </row>
    <row r="171" spans="17:17">
      <c r="Q171" s="6"/>
    </row>
    <row r="172" spans="17:17">
      <c r="Q172" s="6"/>
    </row>
    <row r="173" spans="17:17">
      <c r="Q173" s="6"/>
    </row>
    <row r="174" spans="17:17">
      <c r="Q174" s="6"/>
    </row>
    <row r="175" spans="17:17">
      <c r="Q175" s="6"/>
    </row>
    <row r="176" spans="17:17">
      <c r="Q176" s="6"/>
    </row>
    <row r="177" spans="17:17">
      <c r="Q177" s="6"/>
    </row>
    <row r="178" spans="17:17">
      <c r="Q178" s="6"/>
    </row>
    <row r="179" spans="17:17">
      <c r="Q179" s="6"/>
    </row>
    <row r="180" spans="17:17">
      <c r="Q180" s="6"/>
    </row>
    <row r="181" spans="17:17">
      <c r="Q181" s="6"/>
    </row>
    <row r="182" spans="17:17">
      <c r="Q182" s="6"/>
    </row>
    <row r="183" spans="17:17">
      <c r="Q183" s="6"/>
    </row>
    <row r="184" spans="17:17">
      <c r="Q184" s="6"/>
    </row>
    <row r="185" spans="17:17">
      <c r="Q185" s="6"/>
    </row>
    <row r="186" spans="17:17">
      <c r="Q186" s="6"/>
    </row>
    <row r="187" spans="17:17">
      <c r="Q187" s="6"/>
    </row>
    <row r="188" spans="17:17">
      <c r="Q188" s="6"/>
    </row>
    <row r="189" spans="17:17">
      <c r="Q189" s="6"/>
    </row>
    <row r="190" spans="17:17">
      <c r="Q190" s="6"/>
    </row>
    <row r="191" spans="17:17">
      <c r="Q191" s="6"/>
    </row>
    <row r="192" spans="17:17">
      <c r="Q192" s="6"/>
    </row>
    <row r="193" spans="17:17">
      <c r="Q193" s="6"/>
    </row>
    <row r="194" spans="17:17">
      <c r="Q194" s="6"/>
    </row>
    <row r="195" spans="17:17">
      <c r="Q195" s="6"/>
    </row>
    <row r="196" spans="17:17">
      <c r="Q196" s="6"/>
    </row>
    <row r="197" spans="17:17">
      <c r="Q197" s="6"/>
    </row>
    <row r="198" spans="17:17">
      <c r="Q198" s="6"/>
    </row>
    <row r="199" spans="17:17">
      <c r="Q199" s="6"/>
    </row>
    <row r="200" spans="17:17">
      <c r="Q200" s="6"/>
    </row>
    <row r="201" spans="17:17">
      <c r="Q201" s="6"/>
    </row>
  </sheetData>
  <pageMargins left="0.75" right="0.75" top="1" bottom="1" header="0.5" footer="0.5"/>
  <headerFooter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1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4.4"/>
  <cols>
    <col min="1" max="1" width="7" customWidth="1"/>
    <col min="2" max="2" width="30" customWidth="1"/>
    <col min="3" max="15" width="19" customWidth="1"/>
    <col min="16" max="17" width="14" customWidth="1"/>
    <col min="18" max="18" width="11" customWidth="1"/>
    <col min="19" max="20" width="14" customWidth="1"/>
  </cols>
  <sheetData>
    <row r="1" ht="17" spans="1:18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</row>
    <row r="2" ht="16.8" spans="1:18">
      <c r="B2" s="4" t="s">
        <v>16</v>
      </c>
      <c r="C2" s="5">
        <v>17366.4047101253</v>
      </c>
      <c r="D2" s="5">
        <v>15839.6878125318</v>
      </c>
      <c r="E2" s="5">
        <v>18511.4423833203</v>
      </c>
      <c r="F2" s="5">
        <v>15362.5887820339</v>
      </c>
      <c r="G2" s="5">
        <v>26812.9655139846</v>
      </c>
      <c r="H2" s="5">
        <v>23187.0128822002</v>
      </c>
      <c r="I2" s="5">
        <v>15076.3293637351</v>
      </c>
      <c r="J2" s="5">
        <v>18950.3734913785</v>
      </c>
      <c r="K2" s="5">
        <v>20896.9375358101</v>
      </c>
      <c r="L2" s="5">
        <v>27690.8277301008</v>
      </c>
      <c r="M2" s="5">
        <v>21526.7082560674</v>
      </c>
      <c r="N2" s="5">
        <v>19236.6329096772</v>
      </c>
      <c r="O2" s="5">
        <f>SUM(C2:N2)</f>
        <v>240457.911370965</v>
      </c>
      <c r="P2" s="5"/>
      <c r="Q2" s="6"/>
    </row>
    <row r="3" ht="16.8" spans="1:18">
      <c r="A3" s="7"/>
      <c r="B3" s="8" t="s">
        <v>17</v>
      </c>
      <c r="C3" s="9">
        <v>11107394.9720824</v>
      </c>
      <c r="D3" s="9">
        <v>12495819.3435928</v>
      </c>
      <c r="E3" s="9">
        <v>8330546.22906184</v>
      </c>
      <c r="F3" s="9">
        <v>6942121.85755153</v>
      </c>
      <c r="G3" s="9">
        <v>15272668.0866134</v>
      </c>
      <c r="H3" s="9">
        <v>13884243.7151031</v>
      </c>
      <c r="I3" s="9">
        <v>8330546.22906184</v>
      </c>
      <c r="J3" s="9">
        <v>12495819.3435928</v>
      </c>
      <c r="K3" s="9">
        <v>8330546.22906184</v>
      </c>
      <c r="L3" s="9">
        <v>15272668.0866134</v>
      </c>
      <c r="M3" s="9">
        <v>13884243.7151031</v>
      </c>
      <c r="N3" s="9">
        <v>12495819.3435928</v>
      </c>
      <c r="O3" s="9">
        <f>SUM(C3:N3)</f>
        <v>138842437.151031</v>
      </c>
      <c r="P3" s="9"/>
      <c r="Q3" s="10" t="s">
        <v>83</v>
      </c>
    </row>
    <row r="4" ht="16.8" spans="1:18">
      <c r="A4" s="7"/>
      <c r="B4" s="8" t="s">
        <v>84</v>
      </c>
      <c r="C4" s="9">
        <v>8116588.74928854</v>
      </c>
      <c r="D4" s="9">
        <v>8996989.92738678</v>
      </c>
      <c r="E4" s="9">
        <v>6164604.20950576</v>
      </c>
      <c r="F4" s="9">
        <v>5206591.39316365</v>
      </c>
      <c r="G4" s="9">
        <v>10843594.3414955</v>
      </c>
      <c r="H4" s="9">
        <v>9857813.03772317</v>
      </c>
      <c r="I4" s="9">
        <v>6247909.67179638</v>
      </c>
      <c r="J4" s="9">
        <v>9121948.12082271</v>
      </c>
      <c r="K4" s="9">
        <v>6247909.67179638</v>
      </c>
      <c r="L4" s="9">
        <v>10843594.3414955</v>
      </c>
      <c r="M4" s="9">
        <v>10135497.9120252</v>
      </c>
      <c r="N4" s="9">
        <v>9371864.50769456</v>
      </c>
      <c r="O4" s="9">
        <f>SUM(C4:N4)</f>
        <v>101154905.884194</v>
      </c>
      <c r="P4" s="9"/>
      <c r="Q4" s="10" t="s">
        <v>83</v>
      </c>
    </row>
    <row r="5" ht="16.8" spans="1:18">
      <c r="A5" s="7"/>
      <c r="B5" s="8" t="s">
        <v>18</v>
      </c>
      <c r="C5" s="9">
        <f t="shared" ref="C5:N5" si="0">C12</f>
        <v>1217488.31239328</v>
      </c>
      <c r="D5" s="9">
        <f t="shared" si="0"/>
        <v>1349548.48910802</v>
      </c>
      <c r="E5" s="9">
        <f t="shared" si="0"/>
        <v>924690.631425864</v>
      </c>
      <c r="F5" s="9">
        <f t="shared" si="0"/>
        <v>780988.708974547</v>
      </c>
      <c r="G5" s="9">
        <f t="shared" si="0"/>
        <v>1626539.15122432</v>
      </c>
      <c r="H5" s="9">
        <f t="shared" si="0"/>
        <v>1478671.95565848</v>
      </c>
      <c r="I5" s="9">
        <f t="shared" si="0"/>
        <v>937186.450769456</v>
      </c>
      <c r="J5" s="9">
        <f t="shared" si="0"/>
        <v>1368292.21812341</v>
      </c>
      <c r="K5" s="9">
        <f t="shared" si="0"/>
        <v>937186.450769456</v>
      </c>
      <c r="L5" s="9">
        <f t="shared" si="0"/>
        <v>1626539.15122432</v>
      </c>
      <c r="M5" s="9">
        <f t="shared" si="0"/>
        <v>1520324.68680378</v>
      </c>
      <c r="N5" s="9">
        <f t="shared" si="0"/>
        <v>1405779.67615418</v>
      </c>
      <c r="O5" s="9">
        <f>SUM(C5:N5)</f>
        <v>15173235.8826291</v>
      </c>
      <c r="P5" s="9"/>
      <c r="Q5" s="11" t="s">
        <v>83</v>
      </c>
    </row>
    <row r="6" ht="16.8" spans="1:18">
      <c r="A6" s="7"/>
      <c r="B6" s="12" t="s">
        <v>85</v>
      </c>
      <c r="C6" s="13">
        <f t="shared" ref="C6:N6" si="1">C3*85%</f>
        <v>9441285.72627008</v>
      </c>
      <c r="D6" s="13">
        <f t="shared" si="1"/>
        <v>10621446.4420538</v>
      </c>
      <c r="E6" s="13">
        <f t="shared" si="1"/>
        <v>7080964.29470256</v>
      </c>
      <c r="F6" s="13">
        <f t="shared" si="1"/>
        <v>5900803.5789188</v>
      </c>
      <c r="G6" s="13">
        <f t="shared" si="1"/>
        <v>12981767.8736214</v>
      </c>
      <c r="H6" s="13">
        <f t="shared" si="1"/>
        <v>11801607.1578376</v>
      </c>
      <c r="I6" s="13">
        <f t="shared" si="1"/>
        <v>7080964.29470256</v>
      </c>
      <c r="J6" s="13">
        <f t="shared" si="1"/>
        <v>10621446.4420538</v>
      </c>
      <c r="K6" s="13">
        <f t="shared" si="1"/>
        <v>7080964.29470256</v>
      </c>
      <c r="L6" s="13">
        <f t="shared" si="1"/>
        <v>12981767.8736214</v>
      </c>
      <c r="M6" s="13">
        <f t="shared" si="1"/>
        <v>11801607.1578376</v>
      </c>
      <c r="N6" s="13">
        <f t="shared" si="1"/>
        <v>10621446.4420538</v>
      </c>
      <c r="O6" s="13">
        <f>SUM(C6:N6)</f>
        <v>118016071.578376</v>
      </c>
      <c r="P6" s="13"/>
      <c r="Q6" s="11" t="s">
        <v>83</v>
      </c>
    </row>
    <row r="7" ht="16.8" spans="1:18">
      <c r="A7" s="7"/>
      <c r="B7" s="14" t="s">
        <v>20</v>
      </c>
      <c r="C7" s="15">
        <f t="shared" ref="C7:O7" si="2">1-C8/C6</f>
        <v>0.269262615609786</v>
      </c>
      <c r="D7" s="15">
        <f t="shared" si="2"/>
        <v>0.28</v>
      </c>
      <c r="E7" s="15">
        <f t="shared" si="2"/>
        <v>0.26</v>
      </c>
      <c r="F7" s="15">
        <f t="shared" si="2"/>
        <v>0.25</v>
      </c>
      <c r="G7" s="15">
        <f t="shared" si="2"/>
        <v>0.29</v>
      </c>
      <c r="H7" s="15">
        <f t="shared" si="2"/>
        <v>0.29</v>
      </c>
      <c r="I7" s="15">
        <f t="shared" si="2"/>
        <v>0.25</v>
      </c>
      <c r="J7" s="15">
        <f t="shared" si="2"/>
        <v>0.27</v>
      </c>
      <c r="K7" s="15">
        <f t="shared" si="2"/>
        <v>0.25</v>
      </c>
      <c r="L7" s="15">
        <f t="shared" si="2"/>
        <v>0.29</v>
      </c>
      <c r="M7" s="15">
        <f t="shared" si="2"/>
        <v>0.27</v>
      </c>
      <c r="N7" s="15">
        <f t="shared" si="2"/>
        <v>0.25</v>
      </c>
      <c r="O7" s="15">
        <f t="shared" si="2"/>
        <v>0.271441009248783</v>
      </c>
      <c r="P7" s="15"/>
      <c r="Q7" s="6" t="s">
        <v>83</v>
      </c>
    </row>
    <row r="8" ht="16.8" spans="1:18">
      <c r="A8" s="7"/>
      <c r="B8" s="12" t="s">
        <v>86</v>
      </c>
      <c r="C8" s="13">
        <f t="shared" ref="C8:N8" si="3">C4*85%</f>
        <v>6899100.43689526</v>
      </c>
      <c r="D8" s="13">
        <f t="shared" si="3"/>
        <v>7647441.43827876</v>
      </c>
      <c r="E8" s="13">
        <f t="shared" si="3"/>
        <v>5239913.57807989</v>
      </c>
      <c r="F8" s="13">
        <f t="shared" si="3"/>
        <v>4425602.6841891</v>
      </c>
      <c r="G8" s="13">
        <f t="shared" si="3"/>
        <v>9217055.19027117</v>
      </c>
      <c r="H8" s="13">
        <f t="shared" si="3"/>
        <v>8379141.0820647</v>
      </c>
      <c r="I8" s="13">
        <f t="shared" si="3"/>
        <v>5310723.22102692</v>
      </c>
      <c r="J8" s="13">
        <f t="shared" si="3"/>
        <v>7753655.9026993</v>
      </c>
      <c r="K8" s="13">
        <f t="shared" si="3"/>
        <v>5310723.22102692</v>
      </c>
      <c r="L8" s="13">
        <f t="shared" si="3"/>
        <v>9217055.19027117</v>
      </c>
      <c r="M8" s="13">
        <f t="shared" si="3"/>
        <v>8615173.22522145</v>
      </c>
      <c r="N8" s="13">
        <f t="shared" si="3"/>
        <v>7966084.83154038</v>
      </c>
      <c r="O8" s="13">
        <f>SUM(C8:N8)</f>
        <v>85981670.001565</v>
      </c>
      <c r="P8" s="13"/>
      <c r="Q8" s="6" t="s">
        <v>83</v>
      </c>
    </row>
    <row r="9" ht="16.8" spans="1:18">
      <c r="B9" s="4"/>
      <c r="C9" s="5">
        <f t="shared" ref="C9:O9" si="4">C10-C14-C15</f>
        <v>0</v>
      </c>
      <c r="D9" s="5">
        <f t="shared" si="4"/>
        <v>0</v>
      </c>
      <c r="E9" s="5">
        <f t="shared" si="4"/>
        <v>0</v>
      </c>
      <c r="F9" s="5">
        <f t="shared" si="4"/>
        <v>0</v>
      </c>
      <c r="G9" s="5">
        <f t="shared" si="4"/>
        <v>0</v>
      </c>
      <c r="H9" s="5">
        <f t="shared" si="4"/>
        <v>0</v>
      </c>
      <c r="I9" s="5">
        <f t="shared" si="4"/>
        <v>0</v>
      </c>
      <c r="J9" s="5">
        <f t="shared" si="4"/>
        <v>0</v>
      </c>
      <c r="K9" s="5">
        <f t="shared" si="4"/>
        <v>0</v>
      </c>
      <c r="L9" s="5">
        <f t="shared" si="4"/>
        <v>0</v>
      </c>
      <c r="M9" s="5">
        <f t="shared" si="4"/>
        <v>0</v>
      </c>
      <c r="N9" s="5">
        <f t="shared" si="4"/>
        <v>0</v>
      </c>
      <c r="O9" s="5">
        <f t="shared" si="4"/>
        <v>0</v>
      </c>
      <c r="P9" s="5"/>
      <c r="Q9" s="6"/>
    </row>
    <row r="10" ht="16.8" spans="1:18">
      <c r="A10" s="7"/>
      <c r="B10" s="12" t="s">
        <v>22</v>
      </c>
      <c r="C10" s="13">
        <v>10668387.9376081</v>
      </c>
      <c r="D10" s="13">
        <v>9726306.57094084</v>
      </c>
      <c r="E10" s="13">
        <v>6253527.28752739</v>
      </c>
      <c r="F10" s="13">
        <v>5268299.96106141</v>
      </c>
      <c r="G10" s="13">
        <v>11045248.5185738</v>
      </c>
      <c r="H10" s="13">
        <v>10045232.3447194</v>
      </c>
      <c r="I10" s="13">
        <v>6339197.17115135</v>
      </c>
      <c r="J10" s="13">
        <v>9279476.36243279</v>
      </c>
      <c r="K10" s="13">
        <v>6339197.17115135</v>
      </c>
      <c r="L10" s="13">
        <v>11050336.6631422</v>
      </c>
      <c r="M10" s="13">
        <v>10312725.5314312</v>
      </c>
      <c r="N10" s="13">
        <v>9549798.90574331</v>
      </c>
      <c r="O10" s="13">
        <f t="shared" ref="O10:O16" si="5">SUM(C10:N10)</f>
        <v>105877734.425483</v>
      </c>
      <c r="P10" s="13"/>
      <c r="Q10" s="6"/>
    </row>
    <row r="11" ht="16.8" spans="1:18">
      <c r="B11" s="17" t="s">
        <v>23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>
        <f t="shared" si="5"/>
        <v>0</v>
      </c>
      <c r="P11" s="18"/>
      <c r="Q11" s="6" t="s">
        <v>88</v>
      </c>
    </row>
    <row r="12" ht="16.8" spans="1:18">
      <c r="B12" s="17" t="s">
        <v>25</v>
      </c>
      <c r="C12" s="18">
        <f t="shared" ref="C12:N12" si="6">C4*$P$12</f>
        <v>1217488.31239328</v>
      </c>
      <c r="D12" s="18">
        <f t="shared" si="6"/>
        <v>1349548.48910802</v>
      </c>
      <c r="E12" s="18">
        <f t="shared" si="6"/>
        <v>924690.631425864</v>
      </c>
      <c r="F12" s="18">
        <f t="shared" si="6"/>
        <v>780988.708974547</v>
      </c>
      <c r="G12" s="18">
        <f t="shared" si="6"/>
        <v>1626539.15122432</v>
      </c>
      <c r="H12" s="18">
        <f t="shared" si="6"/>
        <v>1478671.95565848</v>
      </c>
      <c r="I12" s="18">
        <f t="shared" si="6"/>
        <v>937186.450769456</v>
      </c>
      <c r="J12" s="18">
        <f t="shared" si="6"/>
        <v>1368292.21812341</v>
      </c>
      <c r="K12" s="18">
        <f t="shared" si="6"/>
        <v>937186.450769456</v>
      </c>
      <c r="L12" s="18">
        <f t="shared" si="6"/>
        <v>1626539.15122432</v>
      </c>
      <c r="M12" s="18">
        <f t="shared" si="6"/>
        <v>1520324.68680378</v>
      </c>
      <c r="N12" s="18">
        <f t="shared" si="6"/>
        <v>1405779.67615418</v>
      </c>
      <c r="O12" s="18">
        <f t="shared" si="5"/>
        <v>15173235.8826291</v>
      </c>
      <c r="P12" s="19">
        <v>0.15</v>
      </c>
      <c r="Q12" s="6" t="s">
        <v>83</v>
      </c>
      <c r="R12" s="20">
        <f>O12/$O$10</f>
        <v>0.143309034377837</v>
      </c>
    </row>
    <row r="13" ht="24" customHeight="1" spans="1:18">
      <c r="B13" s="17" t="s">
        <v>27</v>
      </c>
      <c r="C13" s="18">
        <f t="shared" ref="C13:N13" si="7">C10-C4</f>
        <v>2551799.1883196</v>
      </c>
      <c r="D13" s="18">
        <f t="shared" si="7"/>
        <v>729316.643554054</v>
      </c>
      <c r="E13" s="18">
        <f t="shared" si="7"/>
        <v>88923.0780216316</v>
      </c>
      <c r="F13" s="18">
        <f t="shared" si="7"/>
        <v>61708.567897765</v>
      </c>
      <c r="G13" s="18">
        <f t="shared" si="7"/>
        <v>201654.177078316</v>
      </c>
      <c r="H13" s="18">
        <f t="shared" si="7"/>
        <v>187419.306996219</v>
      </c>
      <c r="I13" s="18">
        <f t="shared" si="7"/>
        <v>91287.4993549716</v>
      </c>
      <c r="J13" s="18">
        <f t="shared" si="7"/>
        <v>157528.24161008</v>
      </c>
      <c r="K13" s="18">
        <f t="shared" si="7"/>
        <v>91287.4993549716</v>
      </c>
      <c r="L13" s="18">
        <f t="shared" si="7"/>
        <v>206742.321646757</v>
      </c>
      <c r="M13" s="18">
        <f t="shared" si="7"/>
        <v>177227.619405987</v>
      </c>
      <c r="N13" s="18">
        <f t="shared" si="7"/>
        <v>177934.398048744</v>
      </c>
      <c r="O13" s="18">
        <f t="shared" si="5"/>
        <v>4722828.5412891</v>
      </c>
      <c r="P13" s="19"/>
      <c r="Q13" s="6" t="s">
        <v>83</v>
      </c>
      <c r="R13" s="20">
        <f>O13/$O$10</f>
        <v>0.0446064374810837</v>
      </c>
    </row>
    <row r="14" ht="16.8" spans="1:18">
      <c r="B14" s="21" t="s">
        <v>28</v>
      </c>
      <c r="C14" s="22">
        <f t="shared" ref="C14:N14" si="8">SUM(C11:C13)</f>
        <v>3769287.50071288</v>
      </c>
      <c r="D14" s="22">
        <f t="shared" si="8"/>
        <v>2078865.13266207</v>
      </c>
      <c r="E14" s="22">
        <f t="shared" si="8"/>
        <v>1013613.7094475</v>
      </c>
      <c r="F14" s="22">
        <f t="shared" si="8"/>
        <v>842697.276872312</v>
      </c>
      <c r="G14" s="22">
        <f t="shared" si="8"/>
        <v>1828193.32830264</v>
      </c>
      <c r="H14" s="22">
        <f t="shared" si="8"/>
        <v>1666091.26265469</v>
      </c>
      <c r="I14" s="22">
        <f t="shared" si="8"/>
        <v>1028473.95012443</v>
      </c>
      <c r="J14" s="22">
        <f t="shared" si="8"/>
        <v>1525820.45973349</v>
      </c>
      <c r="K14" s="22">
        <f t="shared" si="8"/>
        <v>1028473.95012443</v>
      </c>
      <c r="L14" s="22">
        <f t="shared" si="8"/>
        <v>1833281.47287108</v>
      </c>
      <c r="M14" s="22">
        <f t="shared" si="8"/>
        <v>1697552.30620977</v>
      </c>
      <c r="N14" s="22">
        <f t="shared" si="8"/>
        <v>1583714.07420293</v>
      </c>
      <c r="O14" s="22">
        <f t="shared" si="5"/>
        <v>19896064.4239182</v>
      </c>
      <c r="P14" s="22"/>
      <c r="Q14" s="6"/>
      <c r="R14" s="20">
        <f>O14/$O$10</f>
        <v>0.187915471858921</v>
      </c>
    </row>
    <row r="15" ht="16.8" spans="1:18">
      <c r="A15" s="7"/>
      <c r="B15" s="12" t="s">
        <v>29</v>
      </c>
      <c r="C15" s="13">
        <f t="shared" ref="C15:N15" si="9">C8</f>
        <v>6899100.43689526</v>
      </c>
      <c r="D15" s="13">
        <f t="shared" si="9"/>
        <v>7647441.43827876</v>
      </c>
      <c r="E15" s="13">
        <f t="shared" si="9"/>
        <v>5239913.57807989</v>
      </c>
      <c r="F15" s="13">
        <f t="shared" si="9"/>
        <v>4425602.6841891</v>
      </c>
      <c r="G15" s="13">
        <f t="shared" si="9"/>
        <v>9217055.19027117</v>
      </c>
      <c r="H15" s="13">
        <f t="shared" si="9"/>
        <v>8379141.0820647</v>
      </c>
      <c r="I15" s="13">
        <f t="shared" si="9"/>
        <v>5310723.22102692</v>
      </c>
      <c r="J15" s="13">
        <f t="shared" si="9"/>
        <v>7753655.9026993</v>
      </c>
      <c r="K15" s="13">
        <f t="shared" si="9"/>
        <v>5310723.22102692</v>
      </c>
      <c r="L15" s="13">
        <f t="shared" si="9"/>
        <v>9217055.19027117</v>
      </c>
      <c r="M15" s="13">
        <f t="shared" si="9"/>
        <v>8615173.22522145</v>
      </c>
      <c r="N15" s="13">
        <f t="shared" si="9"/>
        <v>7966084.83154038</v>
      </c>
      <c r="O15" s="13">
        <f t="shared" si="5"/>
        <v>85981670.001565</v>
      </c>
      <c r="P15" s="13"/>
      <c r="Q15" s="6"/>
    </row>
    <row r="16" ht="16.8" spans="1:18">
      <c r="A16" s="7"/>
      <c r="B16" s="12" t="s">
        <v>30</v>
      </c>
      <c r="C16" s="13">
        <f t="shared" ref="C16:N16" si="10">+C8/1.13</f>
        <v>6105398.61672147</v>
      </c>
      <c r="D16" s="13">
        <f t="shared" si="10"/>
        <v>6767647.29051218</v>
      </c>
      <c r="E16" s="13">
        <f t="shared" si="10"/>
        <v>4637091.66201761</v>
      </c>
      <c r="F16" s="13">
        <f t="shared" si="10"/>
        <v>3916462.55237973</v>
      </c>
      <c r="G16" s="13">
        <f t="shared" si="10"/>
        <v>8156686.00908953</v>
      </c>
      <c r="H16" s="13">
        <f t="shared" si="10"/>
        <v>7415169.0991723</v>
      </c>
      <c r="I16" s="13">
        <f t="shared" si="10"/>
        <v>4699755.06285568</v>
      </c>
      <c r="J16" s="13">
        <f t="shared" si="10"/>
        <v>6861642.3917693</v>
      </c>
      <c r="K16" s="13">
        <f t="shared" si="10"/>
        <v>4699755.06285568</v>
      </c>
      <c r="L16" s="13">
        <f t="shared" si="10"/>
        <v>8156686.00908953</v>
      </c>
      <c r="M16" s="13">
        <f t="shared" si="10"/>
        <v>7624047.10196588</v>
      </c>
      <c r="N16" s="13">
        <f t="shared" si="10"/>
        <v>7049632.59428352</v>
      </c>
      <c r="O16" s="13">
        <f t="shared" si="5"/>
        <v>76089973.4527124</v>
      </c>
      <c r="P16" s="13"/>
      <c r="Q16" s="6"/>
    </row>
    <row r="17" spans="1:17">
      <c r="Q17" s="6"/>
    </row>
    <row r="18" ht="16.8" spans="1:17">
      <c r="B18" s="17" t="s">
        <v>31</v>
      </c>
      <c r="C18" s="18">
        <f t="shared" ref="C18:N18" si="11">C64*C65</f>
        <v>2988481.0403136</v>
      </c>
      <c r="D18" s="18">
        <f t="shared" si="11"/>
        <v>3298565.47420518</v>
      </c>
      <c r="E18" s="18">
        <f t="shared" si="11"/>
        <v>2384536.19553746</v>
      </c>
      <c r="F18" s="18">
        <f t="shared" si="11"/>
        <v>2019413.66177704</v>
      </c>
      <c r="G18" s="18">
        <f t="shared" si="11"/>
        <v>3746571.31804327</v>
      </c>
      <c r="H18" s="18">
        <f t="shared" si="11"/>
        <v>3459932.49147739</v>
      </c>
      <c r="I18" s="18">
        <f t="shared" si="11"/>
        <v>2025712.53989407</v>
      </c>
      <c r="J18" s="18">
        <f t="shared" si="11"/>
        <v>2949445.0615157</v>
      </c>
      <c r="K18" s="18">
        <f t="shared" si="11"/>
        <v>1985242.97610314</v>
      </c>
      <c r="L18" s="18">
        <f t="shared" si="11"/>
        <v>3389915.43124373</v>
      </c>
      <c r="M18" s="18">
        <f t="shared" si="11"/>
        <v>3095570.16314847</v>
      </c>
      <c r="N18" s="18">
        <f t="shared" si="11"/>
        <v>2834009.79226054</v>
      </c>
      <c r="O18" s="18">
        <f>SUM(C18:N18)</f>
        <v>34177396.1455196</v>
      </c>
      <c r="P18" s="23">
        <f>O18/O16</f>
        <v>0.449170824941342</v>
      </c>
      <c r="Q18" s="6"/>
    </row>
    <row r="19" ht="16.8" spans="1:17">
      <c r="B19" s="21" t="s">
        <v>32</v>
      </c>
      <c r="C19" s="22">
        <f t="shared" ref="C19:N19" si="12">C16-C18</f>
        <v>3116917.57640786</v>
      </c>
      <c r="D19" s="22">
        <f t="shared" si="12"/>
        <v>3469081.816307</v>
      </c>
      <c r="E19" s="22">
        <f t="shared" si="12"/>
        <v>2252555.46648015</v>
      </c>
      <c r="F19" s="22">
        <f t="shared" si="12"/>
        <v>1897048.89060269</v>
      </c>
      <c r="G19" s="22">
        <f t="shared" si="12"/>
        <v>4410114.69104625</v>
      </c>
      <c r="H19" s="22">
        <f t="shared" si="12"/>
        <v>3955236.60769491</v>
      </c>
      <c r="I19" s="22">
        <f t="shared" si="12"/>
        <v>2674042.52296161</v>
      </c>
      <c r="J19" s="22">
        <f t="shared" si="12"/>
        <v>3912197.3302536</v>
      </c>
      <c r="K19" s="22">
        <f t="shared" si="12"/>
        <v>2714512.08675254</v>
      </c>
      <c r="L19" s="22">
        <f t="shared" si="12"/>
        <v>4766770.57784579</v>
      </c>
      <c r="M19" s="22">
        <f t="shared" si="12"/>
        <v>4528476.93881742</v>
      </c>
      <c r="N19" s="22">
        <f t="shared" si="12"/>
        <v>4215622.80202298</v>
      </c>
      <c r="O19" s="22">
        <f>SUM(C19:N19)</f>
        <v>41912577.3071928</v>
      </c>
      <c r="P19" s="24">
        <f>O19/$O$16</f>
        <v>0.550829175058658</v>
      </c>
      <c r="Q19" s="6"/>
    </row>
    <row r="20" ht="16.8" spans="1:17">
      <c r="A20" s="5"/>
      <c r="B20" s="4" t="s">
        <v>33</v>
      </c>
      <c r="C20" s="25">
        <f t="shared" ref="C20:N20" si="13">C16*2.5%</f>
        <v>152634.965418037</v>
      </c>
      <c r="D20" s="25">
        <f t="shared" si="13"/>
        <v>169191.182262805</v>
      </c>
      <c r="E20" s="25">
        <f t="shared" si="13"/>
        <v>115927.29155044</v>
      </c>
      <c r="F20" s="25">
        <f t="shared" si="13"/>
        <v>97911.5638094934</v>
      </c>
      <c r="G20" s="25">
        <f t="shared" si="13"/>
        <v>203917.150227238</v>
      </c>
      <c r="H20" s="25">
        <f t="shared" si="13"/>
        <v>185379.227479307</v>
      </c>
      <c r="I20" s="25">
        <f t="shared" si="13"/>
        <v>117493.876571392</v>
      </c>
      <c r="J20" s="25">
        <f t="shared" si="13"/>
        <v>171541.059794232</v>
      </c>
      <c r="K20" s="25">
        <f t="shared" si="13"/>
        <v>117493.876571392</v>
      </c>
      <c r="L20" s="25">
        <f t="shared" si="13"/>
        <v>203917.150227238</v>
      </c>
      <c r="M20" s="25">
        <f t="shared" si="13"/>
        <v>190601.177549147</v>
      </c>
      <c r="N20" s="25">
        <f t="shared" si="13"/>
        <v>176240.814857088</v>
      </c>
      <c r="O20" s="25">
        <f>SUM(C20:N20)</f>
        <v>1902249.33631781</v>
      </c>
      <c r="P20" s="26">
        <v>0.025</v>
      </c>
      <c r="Q20" s="6"/>
    </row>
    <row r="21" ht="16.8" spans="1:17">
      <c r="B21" s="21" t="s">
        <v>35</v>
      </c>
      <c r="C21" s="22">
        <f t="shared" ref="C21:N21" si="14">SUM(C18,C20)</f>
        <v>3141116.00573164</v>
      </c>
      <c r="D21" s="22">
        <f t="shared" si="14"/>
        <v>3467756.65646799</v>
      </c>
      <c r="E21" s="22">
        <f t="shared" si="14"/>
        <v>2500463.4870879</v>
      </c>
      <c r="F21" s="22">
        <f t="shared" si="14"/>
        <v>2117325.22558654</v>
      </c>
      <c r="G21" s="22">
        <f t="shared" si="14"/>
        <v>3950488.46827051</v>
      </c>
      <c r="H21" s="22">
        <f t="shared" si="14"/>
        <v>3645311.7189567</v>
      </c>
      <c r="I21" s="22">
        <f t="shared" si="14"/>
        <v>2143206.41646546</v>
      </c>
      <c r="J21" s="22">
        <f t="shared" si="14"/>
        <v>3120986.12130993</v>
      </c>
      <c r="K21" s="22">
        <f t="shared" si="14"/>
        <v>2102736.85267454</v>
      </c>
      <c r="L21" s="22">
        <f t="shared" si="14"/>
        <v>3593832.58147097</v>
      </c>
      <c r="M21" s="22">
        <f t="shared" si="14"/>
        <v>3286171.34069761</v>
      </c>
      <c r="N21" s="22">
        <f t="shared" si="14"/>
        <v>3010250.60711763</v>
      </c>
      <c r="O21" s="22">
        <f>SUM(C21:N21)</f>
        <v>36079645.4818374</v>
      </c>
      <c r="P21" s="24">
        <f>O21/$O$16</f>
        <v>0.474170824941341</v>
      </c>
      <c r="Q21" s="6"/>
    </row>
    <row r="22" ht="16.8" spans="1:17">
      <c r="A22" s="7"/>
      <c r="B22" s="12" t="s">
        <v>36</v>
      </c>
      <c r="C22" s="13">
        <f t="shared" ref="C22:N22" si="15">C16-C21</f>
        <v>2964282.61098983</v>
      </c>
      <c r="D22" s="13">
        <f t="shared" si="15"/>
        <v>3299890.6340442</v>
      </c>
      <c r="E22" s="13">
        <f t="shared" si="15"/>
        <v>2136628.17492971</v>
      </c>
      <c r="F22" s="13">
        <f t="shared" si="15"/>
        <v>1799137.3267932</v>
      </c>
      <c r="G22" s="13">
        <f t="shared" si="15"/>
        <v>4206197.54081902</v>
      </c>
      <c r="H22" s="13">
        <f t="shared" si="15"/>
        <v>3769857.3802156</v>
      </c>
      <c r="I22" s="13">
        <f t="shared" si="15"/>
        <v>2556548.64639022</v>
      </c>
      <c r="J22" s="13">
        <f t="shared" si="15"/>
        <v>3740656.27045936</v>
      </c>
      <c r="K22" s="13">
        <f t="shared" si="15"/>
        <v>2597018.21018114</v>
      </c>
      <c r="L22" s="13">
        <f t="shared" si="15"/>
        <v>4562853.42761855</v>
      </c>
      <c r="M22" s="13">
        <f t="shared" si="15"/>
        <v>4337875.76126827</v>
      </c>
      <c r="N22" s="13">
        <f t="shared" si="15"/>
        <v>4039381.98716589</v>
      </c>
      <c r="O22" s="13">
        <f>SUM(C22:N22)</f>
        <v>40010327.970875</v>
      </c>
      <c r="P22" s="27">
        <f>O22/$O$16</f>
        <v>0.525829175058658</v>
      </c>
      <c r="Q22" s="6"/>
    </row>
    <row r="23" ht="16.8" spans="1:17">
      <c r="B23" s="14" t="s">
        <v>37</v>
      </c>
      <c r="C23" s="44">
        <f t="shared" ref="C23:O23" si="16">C19/C16</f>
        <v>0.510518276050191</v>
      </c>
      <c r="D23" s="44">
        <f t="shared" si="16"/>
        <v>0.512597904026476</v>
      </c>
      <c r="E23" s="44">
        <f t="shared" si="16"/>
        <v>0.485769018743109</v>
      </c>
      <c r="F23" s="44">
        <f t="shared" si="16"/>
        <v>0.484378151260504</v>
      </c>
      <c r="G23" s="44">
        <f t="shared" si="16"/>
        <v>0.54067481402763</v>
      </c>
      <c r="H23" s="44">
        <f t="shared" si="16"/>
        <v>0.533398032438181</v>
      </c>
      <c r="I23" s="44">
        <f t="shared" si="16"/>
        <v>0.56897486937049</v>
      </c>
      <c r="J23" s="44">
        <f t="shared" si="16"/>
        <v>0.570154652032926</v>
      </c>
      <c r="K23" s="44">
        <f t="shared" si="16"/>
        <v>0.577585863613738</v>
      </c>
      <c r="L23" s="44">
        <f t="shared" si="16"/>
        <v>0.584400401404917</v>
      </c>
      <c r="M23" s="44">
        <f t="shared" si="16"/>
        <v>0.59397284385215</v>
      </c>
      <c r="N23" s="44">
        <f t="shared" si="16"/>
        <v>0.597991845056065</v>
      </c>
      <c r="O23" s="44">
        <f t="shared" si="16"/>
        <v>0.550829175058658</v>
      </c>
      <c r="P23" s="29"/>
      <c r="Q23" s="6"/>
    </row>
    <row r="24" ht="16.8" spans="1:17">
      <c r="B24" s="14" t="s">
        <v>38</v>
      </c>
      <c r="C24" s="28">
        <f t="shared" ref="C24:O24" si="17">IFERROR(1-C21/C16,0)</f>
        <v>0.485518276050191</v>
      </c>
      <c r="D24" s="28">
        <f t="shared" si="17"/>
        <v>0.487597904026476</v>
      </c>
      <c r="E24" s="28">
        <f t="shared" si="17"/>
        <v>0.460769018743109</v>
      </c>
      <c r="F24" s="28">
        <f t="shared" si="17"/>
        <v>0.459378151260504</v>
      </c>
      <c r="G24" s="28">
        <f t="shared" si="17"/>
        <v>0.51567481402763</v>
      </c>
      <c r="H24" s="28">
        <f t="shared" si="17"/>
        <v>0.508398032438181</v>
      </c>
      <c r="I24" s="28">
        <f t="shared" si="17"/>
        <v>0.54397486937049</v>
      </c>
      <c r="J24" s="28">
        <f t="shared" si="17"/>
        <v>0.545154652032926</v>
      </c>
      <c r="K24" s="28">
        <f t="shared" si="17"/>
        <v>0.552585863613738</v>
      </c>
      <c r="L24" s="28">
        <f t="shared" si="17"/>
        <v>0.559400401404917</v>
      </c>
      <c r="M24" s="28">
        <f t="shared" si="17"/>
        <v>0.56897284385215</v>
      </c>
      <c r="N24" s="28">
        <f t="shared" si="17"/>
        <v>0.572991845056065</v>
      </c>
      <c r="O24" s="28">
        <f t="shared" si="17"/>
        <v>0.525829175058659</v>
      </c>
      <c r="P24" s="29"/>
      <c r="Q24" s="6"/>
    </row>
    <row r="25" ht="16.8" spans="1:17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29"/>
      <c r="Q25" s="6"/>
    </row>
    <row r="26" ht="16.8" spans="1:17">
      <c r="B26" s="17" t="s">
        <v>39</v>
      </c>
      <c r="C26" s="18">
        <f t="shared" ref="C26:N26" si="18">SUM(C27:C31)</f>
        <v>142768.843708787</v>
      </c>
      <c r="D26" s="18">
        <f t="shared" si="18"/>
        <v>455326.615510502</v>
      </c>
      <c r="E26" s="18">
        <f t="shared" si="18"/>
        <v>750761.738080134</v>
      </c>
      <c r="F26" s="18">
        <f t="shared" si="18"/>
        <v>423696.597957174</v>
      </c>
      <c r="G26" s="18">
        <f t="shared" si="18"/>
        <v>1680765.95284993</v>
      </c>
      <c r="H26" s="18">
        <f t="shared" si="18"/>
        <v>989159.008834675</v>
      </c>
      <c r="I26" s="18">
        <f t="shared" si="18"/>
        <v>213531.078351805</v>
      </c>
      <c r="J26" s="18">
        <f t="shared" si="18"/>
        <v>327157.974420092</v>
      </c>
      <c r="K26" s="18">
        <f t="shared" si="18"/>
        <v>230347.925497764</v>
      </c>
      <c r="L26" s="18">
        <f t="shared" si="18"/>
        <v>923670.749857965</v>
      </c>
      <c r="M26" s="18">
        <f t="shared" si="18"/>
        <v>353490.644115797</v>
      </c>
      <c r="N26" s="18">
        <f t="shared" si="18"/>
        <v>246944.474418586</v>
      </c>
      <c r="O26" s="18">
        <f t="shared" ref="O26:O31" si="19">SUM(C26:N26)</f>
        <v>6737621.60360321</v>
      </c>
      <c r="P26" s="23">
        <f t="shared" ref="P26:P31" si="20">O26/$O$16</f>
        <v>0.0885480871903634</v>
      </c>
      <c r="Q26" s="6"/>
    </row>
    <row r="27" ht="16.8" spans="1:17">
      <c r="A27" s="5"/>
      <c r="B27" s="4" t="s">
        <v>40</v>
      </c>
      <c r="C27" s="30">
        <v>0</v>
      </c>
      <c r="D27" s="30">
        <v>0</v>
      </c>
      <c r="E27" s="30">
        <v>12760.0239639533</v>
      </c>
      <c r="F27" s="30">
        <v>10655.9046445327</v>
      </c>
      <c r="G27" s="30">
        <v>22721.3198646086</v>
      </c>
      <c r="H27" s="30">
        <v>20011.408279488</v>
      </c>
      <c r="I27" s="30">
        <v>12866.0550495704</v>
      </c>
      <c r="J27" s="30">
        <v>17789.3688847787</v>
      </c>
      <c r="K27" s="30">
        <v>14135.0527278997</v>
      </c>
      <c r="L27" s="30">
        <v>23868.3212500673</v>
      </c>
      <c r="M27" s="30">
        <v>18066.2224266468</v>
      </c>
      <c r="N27" s="30">
        <v>0</v>
      </c>
      <c r="O27" s="5">
        <f t="shared" si="19"/>
        <v>152873.677091545</v>
      </c>
      <c r="P27" s="29">
        <f t="shared" si="20"/>
        <v>0.00200911723522353</v>
      </c>
      <c r="Q27" s="4"/>
    </row>
    <row r="28" ht="16.8" spans="1:17">
      <c r="A28" s="5"/>
      <c r="B28" s="4" t="s">
        <v>41</v>
      </c>
      <c r="C28" s="30">
        <v>28164</v>
      </c>
      <c r="D28" s="30">
        <v>28164</v>
      </c>
      <c r="E28" s="30">
        <v>28164</v>
      </c>
      <c r="F28" s="30">
        <v>40951.0855734393</v>
      </c>
      <c r="G28" s="30">
        <v>164491.919187651</v>
      </c>
      <c r="H28" s="30">
        <v>92200.5064943615</v>
      </c>
      <c r="I28" s="30">
        <v>28164</v>
      </c>
      <c r="J28" s="30">
        <v>49511.2426617344</v>
      </c>
      <c r="K28" s="30">
        <v>73396.1687292789</v>
      </c>
      <c r="L28" s="30">
        <v>56805.9855000808</v>
      </c>
      <c r="M28" s="30">
        <v>49843.4669119762</v>
      </c>
      <c r="N28" s="30">
        <v>28164</v>
      </c>
      <c r="O28" s="5">
        <f t="shared" si="19"/>
        <v>668020.375058522</v>
      </c>
      <c r="P28" s="29">
        <f t="shared" si="20"/>
        <v>0.00877934824716001</v>
      </c>
      <c r="Q28" s="71" t="s">
        <v>127</v>
      </c>
    </row>
    <row r="29" ht="16.8" spans="1:17">
      <c r="A29" s="5"/>
      <c r="B29" s="4" t="s">
        <v>42</v>
      </c>
      <c r="C29" s="30">
        <v>6276.51360168654</v>
      </c>
      <c r="D29" s="30">
        <v>5128.21320792668</v>
      </c>
      <c r="E29" s="30">
        <v>5104.00958558131</v>
      </c>
      <c r="F29" s="30">
        <v>21311.8092890654</v>
      </c>
      <c r="G29" s="30">
        <v>136327.919187651</v>
      </c>
      <c r="H29" s="30">
        <v>88050.196429747</v>
      </c>
      <c r="I29" s="30">
        <v>0</v>
      </c>
      <c r="J29" s="30">
        <v>21347.2426617344</v>
      </c>
      <c r="K29" s="30">
        <v>45232.168729279</v>
      </c>
      <c r="L29" s="30">
        <v>47736.6425001346</v>
      </c>
      <c r="M29" s="30">
        <v>36132.4448532936</v>
      </c>
      <c r="N29" s="30">
        <v>6338.0402066296</v>
      </c>
      <c r="O29" s="5">
        <f t="shared" si="19"/>
        <v>418985.200252729</v>
      </c>
      <c r="P29" s="29">
        <f t="shared" si="20"/>
        <v>0.00550644429535931</v>
      </c>
      <c r="Q29" s="6"/>
    </row>
    <row r="30" ht="16.8" spans="1:17">
      <c r="A30" s="5"/>
      <c r="B30" s="4" t="s">
        <v>43</v>
      </c>
      <c r="C30" s="30">
        <v>6276.51360168654</v>
      </c>
      <c r="D30" s="30">
        <v>5128.21320792668</v>
      </c>
      <c r="E30" s="30">
        <v>40832.0766846505</v>
      </c>
      <c r="F30" s="30">
        <v>4262.36185781308</v>
      </c>
      <c r="G30" s="30">
        <v>27265.5838375303</v>
      </c>
      <c r="H30" s="30">
        <v>8004.56331179518</v>
      </c>
      <c r="I30" s="30">
        <v>5146.42201982818</v>
      </c>
      <c r="J30" s="30">
        <v>7115.74755391148</v>
      </c>
      <c r="K30" s="30">
        <v>5654.02109115987</v>
      </c>
      <c r="L30" s="30">
        <v>19094.6570000538</v>
      </c>
      <c r="M30" s="30">
        <v>14452.9779413174</v>
      </c>
      <c r="N30" s="30">
        <v>6338.0402066296</v>
      </c>
      <c r="O30" s="5">
        <f t="shared" si="19"/>
        <v>149571.178314303</v>
      </c>
      <c r="P30" s="29">
        <f t="shared" si="20"/>
        <v>0.00196571468653825</v>
      </c>
      <c r="Q30" s="6"/>
    </row>
    <row r="31" ht="16.8" spans="1:17">
      <c r="A31" s="5"/>
      <c r="B31" s="4" t="s">
        <v>44</v>
      </c>
      <c r="C31" s="30">
        <v>102051.816505414</v>
      </c>
      <c r="D31" s="30">
        <v>416906.189094649</v>
      </c>
      <c r="E31" s="30">
        <v>663901.627845949</v>
      </c>
      <c r="F31" s="30">
        <v>346515.436592324</v>
      </c>
      <c r="G31" s="30">
        <v>1329959.21077249</v>
      </c>
      <c r="H31" s="30">
        <v>780892.334319283</v>
      </c>
      <c r="I31" s="30">
        <v>167354.601282406</v>
      </c>
      <c r="J31" s="30">
        <v>231394.372657933</v>
      </c>
      <c r="K31" s="30">
        <v>91930.5142201463</v>
      </c>
      <c r="L31" s="30">
        <v>776165.143607629</v>
      </c>
      <c r="M31" s="30">
        <v>234995.531982563</v>
      </c>
      <c r="N31" s="30">
        <v>206104.394005327</v>
      </c>
      <c r="O31" s="5">
        <f t="shared" si="19"/>
        <v>5348171.17288612</v>
      </c>
      <c r="P31" s="29">
        <f t="shared" si="20"/>
        <v>0.0702874627260823</v>
      </c>
      <c r="Q31" s="6">
        <v>5348171.17288611</v>
      </c>
    </row>
    <row r="32" ht="16.8" outlineLevel="1" spans="1:17">
      <c r="A32" s="5"/>
      <c r="B32" s="4" t="s">
        <v>45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5"/>
      <c r="P32" s="29"/>
      <c r="Q32" s="6"/>
    </row>
    <row r="33" ht="16.8" outlineLevel="1" spans="1:20">
      <c r="A33" s="5"/>
      <c r="B33" s="4" t="s">
        <v>46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29"/>
      <c r="Q33" s="6"/>
    </row>
    <row r="34" ht="16.8" outlineLevel="1" spans="1:20">
      <c r="A34" s="5"/>
      <c r="B34" s="4" t="s">
        <v>47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29"/>
      <c r="Q34" s="6"/>
    </row>
    <row r="35" ht="16.8" outlineLevel="1" spans="1:20">
      <c r="A35" s="5"/>
      <c r="B35" s="4" t="s">
        <v>48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29"/>
      <c r="Q35" s="6"/>
    </row>
    <row r="36" ht="16.8" outlineLevel="1" spans="1:20">
      <c r="A36" s="5"/>
      <c r="B36" s="4" t="s">
        <v>49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5"/>
      <c r="P36" s="29"/>
      <c r="Q36" s="6"/>
    </row>
    <row r="37" ht="16.8" spans="1:20">
      <c r="B37" s="17" t="s">
        <v>50</v>
      </c>
      <c r="C37" s="18">
        <f t="shared" ref="C37:N37" si="21">SUM(C38:C40)</f>
        <v>2298503.00864808</v>
      </c>
      <c r="D37" s="18">
        <f t="shared" si="21"/>
        <v>2468200.77653974</v>
      </c>
      <c r="E37" s="18">
        <f t="shared" si="21"/>
        <v>1582066.5670413</v>
      </c>
      <c r="F37" s="18">
        <f t="shared" si="21"/>
        <v>1336204.87081191</v>
      </c>
      <c r="G37" s="18">
        <f t="shared" si="21"/>
        <v>3070752.37989253</v>
      </c>
      <c r="H37" s="18">
        <f t="shared" si="21"/>
        <v>2791593.07262957</v>
      </c>
      <c r="I37" s="18">
        <f t="shared" si="21"/>
        <v>1603445.84497429</v>
      </c>
      <c r="J37" s="18">
        <f t="shared" si="21"/>
        <v>2583206.54748962</v>
      </c>
      <c r="K37" s="18">
        <f t="shared" si="21"/>
        <v>1594158.1573787</v>
      </c>
      <c r="L37" s="18">
        <f t="shared" si="21"/>
        <v>3070752.37989253</v>
      </c>
      <c r="M37" s="18">
        <f t="shared" si="21"/>
        <v>2780534.82542285</v>
      </c>
      <c r="N37" s="18">
        <f t="shared" si="21"/>
        <v>2571042.47556223</v>
      </c>
      <c r="O37" s="18">
        <f>SUM(C37:N37)</f>
        <v>27750460.9062833</v>
      </c>
      <c r="P37" s="23">
        <f>O37/$O$16</f>
        <v>0.364705882352941</v>
      </c>
      <c r="Q37" s="6"/>
    </row>
    <row r="38" ht="16.8" spans="1:20">
      <c r="A38" s="5"/>
      <c r="B38" s="4" t="s">
        <v>51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5"/>
      <c r="P38" s="29">
        <f>O38/$O$16</f>
        <v>0</v>
      </c>
      <c r="Q38" s="6" t="s">
        <v>91</v>
      </c>
    </row>
    <row r="39" ht="16.8" spans="1:20">
      <c r="A39" s="5"/>
      <c r="B39" s="4" t="s">
        <v>53</v>
      </c>
      <c r="C39" s="31">
        <v>2298503.00864808</v>
      </c>
      <c r="D39" s="31">
        <v>2468200.77653974</v>
      </c>
      <c r="E39" s="31">
        <v>1582066.5670413</v>
      </c>
      <c r="F39" s="31">
        <v>1336204.87081191</v>
      </c>
      <c r="G39" s="31">
        <v>3070752.37989253</v>
      </c>
      <c r="H39" s="31">
        <v>2791593.07262957</v>
      </c>
      <c r="I39" s="31">
        <v>1603445.84497429</v>
      </c>
      <c r="J39" s="31">
        <v>2583206.54748962</v>
      </c>
      <c r="K39" s="31">
        <v>1594158.1573787</v>
      </c>
      <c r="L39" s="31">
        <v>3070752.37989253</v>
      </c>
      <c r="M39" s="31">
        <v>2780534.82542285</v>
      </c>
      <c r="N39" s="31">
        <v>2571042.47556223</v>
      </c>
      <c r="O39" s="5">
        <f>SUM(C39:N39)</f>
        <v>27750460.9062833</v>
      </c>
      <c r="P39" s="29">
        <f>O39/$O$16</f>
        <v>0.364705882352941</v>
      </c>
      <c r="Q39" s="6" t="s">
        <v>91</v>
      </c>
      <c r="R39" s="75">
        <f>O39/O8</f>
        <v>0.32274856845393</v>
      </c>
    </row>
    <row r="40" ht="16.8" spans="1:20">
      <c r="A40" s="5"/>
      <c r="B40" s="4" t="s">
        <v>55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29">
        <f>O40/$O$16</f>
        <v>0</v>
      </c>
      <c r="Q40" s="6" t="s">
        <v>91</v>
      </c>
    </row>
    <row r="41" ht="16.8" outlineLevel="1" spans="1:20">
      <c r="A41" s="5"/>
      <c r="B41" s="4" t="s">
        <v>57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29">
        <f>O38/$O$16</f>
        <v>0</v>
      </c>
      <c r="Q41" s="6" t="s">
        <v>91</v>
      </c>
    </row>
    <row r="42" ht="16.8" outlineLevel="1" spans="1:20">
      <c r="A42" s="5"/>
      <c r="B42" s="4" t="s">
        <v>58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29">
        <f>O39/$O$16</f>
        <v>0.364705882352941</v>
      </c>
      <c r="Q42" s="6" t="s">
        <v>91</v>
      </c>
    </row>
    <row r="43" ht="16.8" outlineLevel="1" spans="1:20">
      <c r="A43" s="5"/>
      <c r="B43" s="4" t="s">
        <v>59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29">
        <f>O40/$O$16</f>
        <v>0</v>
      </c>
      <c r="Q43" s="6" t="s">
        <v>91</v>
      </c>
    </row>
    <row r="44" ht="16.8" spans="1:20">
      <c r="B44" s="17" t="s">
        <v>60</v>
      </c>
      <c r="C44" s="18">
        <f t="shared" ref="C44:N44" si="22">SUM(C45:C46)</f>
        <v>335796.923919681</v>
      </c>
      <c r="D44" s="18">
        <f t="shared" si="22"/>
        <v>372220.60097817</v>
      </c>
      <c r="E44" s="18">
        <f t="shared" si="22"/>
        <v>255040.041410968</v>
      </c>
      <c r="F44" s="18">
        <f t="shared" si="22"/>
        <v>215405.440380885</v>
      </c>
      <c r="G44" s="18">
        <f t="shared" si="22"/>
        <v>448617.730499924</v>
      </c>
      <c r="H44" s="18">
        <f t="shared" si="22"/>
        <v>407834.300454476</v>
      </c>
      <c r="I44" s="18">
        <f t="shared" si="22"/>
        <v>258486.528457062</v>
      </c>
      <c r="J44" s="18">
        <f t="shared" si="22"/>
        <v>377390.331547311</v>
      </c>
      <c r="K44" s="18">
        <f t="shared" si="22"/>
        <v>258486.528457062</v>
      </c>
      <c r="L44" s="18">
        <f t="shared" si="22"/>
        <v>448617.730499924</v>
      </c>
      <c r="M44" s="18">
        <f t="shared" si="22"/>
        <v>419322.590608124</v>
      </c>
      <c r="N44" s="18">
        <f t="shared" si="22"/>
        <v>387729.792685594</v>
      </c>
      <c r="O44" s="18">
        <f t="shared" ref="O44:O60" si="23">SUM(C44:N44)</f>
        <v>4184948.53989918</v>
      </c>
      <c r="P44" s="23">
        <f>O44/$O$16</f>
        <v>0.055</v>
      </c>
      <c r="Q44" s="6"/>
    </row>
    <row r="45" ht="16.8" spans="1:20">
      <c r="A45" s="5"/>
      <c r="B45" s="4" t="s">
        <v>61</v>
      </c>
      <c r="C45" s="30">
        <f t="shared" ref="C45:N45" si="24">C16*$P$45</f>
        <v>30526.9930836073</v>
      </c>
      <c r="D45" s="30">
        <f t="shared" si="24"/>
        <v>33838.2364525609</v>
      </c>
      <c r="E45" s="30">
        <f t="shared" si="24"/>
        <v>23185.458310088</v>
      </c>
      <c r="F45" s="30">
        <f t="shared" si="24"/>
        <v>19582.3127618987</v>
      </c>
      <c r="G45" s="30">
        <f t="shared" si="24"/>
        <v>40783.4300454476</v>
      </c>
      <c r="H45" s="30">
        <f t="shared" si="24"/>
        <v>37075.8454958615</v>
      </c>
      <c r="I45" s="30">
        <f t="shared" si="24"/>
        <v>23498.7753142784</v>
      </c>
      <c r="J45" s="30">
        <f t="shared" si="24"/>
        <v>34308.2119588465</v>
      </c>
      <c r="K45" s="30">
        <f t="shared" si="24"/>
        <v>23498.7753142784</v>
      </c>
      <c r="L45" s="30">
        <f t="shared" si="24"/>
        <v>40783.4300454476</v>
      </c>
      <c r="M45" s="30">
        <f t="shared" si="24"/>
        <v>38120.2355098294</v>
      </c>
      <c r="N45" s="30">
        <f t="shared" si="24"/>
        <v>35248.1629714176</v>
      </c>
      <c r="O45" s="5">
        <f t="shared" si="23"/>
        <v>380449.867263562</v>
      </c>
      <c r="P45" s="29">
        <v>0.005</v>
      </c>
      <c r="Q45" s="6" t="s">
        <v>92</v>
      </c>
      <c r="R45" s="67" t="s">
        <v>123</v>
      </c>
    </row>
    <row r="46" ht="16.8" spans="1:20">
      <c r="A46" s="5"/>
      <c r="B46" s="4" t="s">
        <v>63</v>
      </c>
      <c r="C46" s="30">
        <f t="shared" ref="C46:N46" si="25">C16*$P$46</f>
        <v>305269.930836073</v>
      </c>
      <c r="D46" s="30">
        <f t="shared" si="25"/>
        <v>338382.364525609</v>
      </c>
      <c r="E46" s="30">
        <f t="shared" si="25"/>
        <v>231854.58310088</v>
      </c>
      <c r="F46" s="30">
        <f t="shared" si="25"/>
        <v>195823.127618987</v>
      </c>
      <c r="G46" s="30">
        <f t="shared" si="25"/>
        <v>407834.300454476</v>
      </c>
      <c r="H46" s="30">
        <f t="shared" si="25"/>
        <v>370758.454958615</v>
      </c>
      <c r="I46" s="30">
        <f t="shared" si="25"/>
        <v>234987.753142784</v>
      </c>
      <c r="J46" s="30">
        <f t="shared" si="25"/>
        <v>343082.119588465</v>
      </c>
      <c r="K46" s="30">
        <f t="shared" si="25"/>
        <v>234987.753142784</v>
      </c>
      <c r="L46" s="30">
        <f t="shared" si="25"/>
        <v>407834.300454476</v>
      </c>
      <c r="M46" s="30">
        <f t="shared" si="25"/>
        <v>381202.355098294</v>
      </c>
      <c r="N46" s="30">
        <f t="shared" si="25"/>
        <v>352481.629714176</v>
      </c>
      <c r="O46" s="5">
        <f t="shared" si="23"/>
        <v>3804498.67263562</v>
      </c>
      <c r="P46" s="29">
        <v>0.05</v>
      </c>
      <c r="Q46" s="4" t="s">
        <v>83</v>
      </c>
      <c r="R46" s="77"/>
      <c r="S46" s="77"/>
      <c r="T46" s="77"/>
    </row>
    <row r="47" ht="16.8" spans="1:20">
      <c r="B47" s="17" t="s">
        <v>65</v>
      </c>
      <c r="C47" s="18">
        <f t="shared" ref="C47:N47" si="26">SUM(C48:C51)</f>
        <v>0</v>
      </c>
      <c r="D47" s="18">
        <f t="shared" si="26"/>
        <v>0</v>
      </c>
      <c r="E47" s="18">
        <f t="shared" si="26"/>
        <v>0</v>
      </c>
      <c r="F47" s="18">
        <f t="shared" si="26"/>
        <v>0</v>
      </c>
      <c r="G47" s="18">
        <f t="shared" si="26"/>
        <v>0</v>
      </c>
      <c r="H47" s="18">
        <f t="shared" si="26"/>
        <v>0</v>
      </c>
      <c r="I47" s="18">
        <f t="shared" si="26"/>
        <v>0</v>
      </c>
      <c r="J47" s="18">
        <f t="shared" si="26"/>
        <v>0</v>
      </c>
      <c r="K47" s="18">
        <f t="shared" si="26"/>
        <v>0</v>
      </c>
      <c r="L47" s="18">
        <f t="shared" si="26"/>
        <v>0</v>
      </c>
      <c r="M47" s="18">
        <f t="shared" si="26"/>
        <v>0</v>
      </c>
      <c r="N47" s="18">
        <f t="shared" si="26"/>
        <v>0</v>
      </c>
      <c r="O47" s="18">
        <f t="shared" si="23"/>
        <v>0</v>
      </c>
      <c r="P47" s="23">
        <f t="shared" ref="P47:P52" si="27">O47/$O$16</f>
        <v>0</v>
      </c>
      <c r="Q47" s="6"/>
    </row>
    <row r="48" ht="16.8" spans="1:20">
      <c r="A48" s="5"/>
      <c r="B48" s="4" t="s">
        <v>66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5">
        <f t="shared" si="23"/>
        <v>0</v>
      </c>
      <c r="P48" s="29">
        <f t="shared" si="27"/>
        <v>0</v>
      </c>
      <c r="Q48" s="4" t="s">
        <v>95</v>
      </c>
    </row>
    <row r="49" ht="16.8" spans="1:19">
      <c r="A49" s="5"/>
      <c r="B49" s="4" t="s">
        <v>67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5">
        <f t="shared" si="23"/>
        <v>0</v>
      </c>
      <c r="P49" s="29">
        <f t="shared" si="27"/>
        <v>0</v>
      </c>
      <c r="Q49" s="4" t="s">
        <v>95</v>
      </c>
    </row>
    <row r="50" ht="16.8" spans="1:19">
      <c r="A50" s="5"/>
      <c r="B50" s="4" t="s">
        <v>68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5">
        <f t="shared" si="23"/>
        <v>0</v>
      </c>
      <c r="P50" s="29">
        <f t="shared" si="27"/>
        <v>0</v>
      </c>
      <c r="Q50" s="4" t="s">
        <v>95</v>
      </c>
    </row>
    <row r="51" ht="16.8" spans="1:19">
      <c r="B51" s="4" t="s">
        <v>69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5">
        <f t="shared" si="23"/>
        <v>0</v>
      </c>
      <c r="P51" s="29">
        <f t="shared" si="27"/>
        <v>0</v>
      </c>
      <c r="Q51" s="4" t="s">
        <v>95</v>
      </c>
    </row>
    <row r="52" ht="16.8" spans="1:19">
      <c r="B52" s="21" t="s">
        <v>70</v>
      </c>
      <c r="C52" s="22">
        <f t="shared" ref="C52:N52" si="28">SUM(C26,C37,C44,C47)</f>
        <v>2777068.77627655</v>
      </c>
      <c r="D52" s="22">
        <f t="shared" si="28"/>
        <v>3295747.99302841</v>
      </c>
      <c r="E52" s="22">
        <f t="shared" si="28"/>
        <v>2587868.3465324</v>
      </c>
      <c r="F52" s="22">
        <f t="shared" si="28"/>
        <v>1975306.90914997</v>
      </c>
      <c r="G52" s="22">
        <f t="shared" si="28"/>
        <v>5200136.06324239</v>
      </c>
      <c r="H52" s="22">
        <f t="shared" si="28"/>
        <v>4188586.38191872</v>
      </c>
      <c r="I52" s="22">
        <f t="shared" si="28"/>
        <v>2075463.45178316</v>
      </c>
      <c r="J52" s="22">
        <f t="shared" si="28"/>
        <v>3287754.85345702</v>
      </c>
      <c r="K52" s="22">
        <f t="shared" si="28"/>
        <v>2082992.61133353</v>
      </c>
      <c r="L52" s="22">
        <f t="shared" si="28"/>
        <v>4443040.86025042</v>
      </c>
      <c r="M52" s="22">
        <f t="shared" si="28"/>
        <v>3553348.06014677</v>
      </c>
      <c r="N52" s="22">
        <f t="shared" si="28"/>
        <v>3205716.74266641</v>
      </c>
      <c r="O52" s="22">
        <f t="shared" si="23"/>
        <v>38673031.0497857</v>
      </c>
      <c r="P52" s="24">
        <f t="shared" si="27"/>
        <v>0.508253969543304</v>
      </c>
      <c r="Q52" s="6"/>
    </row>
    <row r="53" ht="16.8" spans="1:19">
      <c r="A53" s="5"/>
      <c r="B53" s="4" t="s">
        <v>71</v>
      </c>
      <c r="C53" s="30">
        <f t="shared" ref="C53:N53" si="29">C16*$P$53</f>
        <v>183161.958501644</v>
      </c>
      <c r="D53" s="30">
        <f t="shared" si="29"/>
        <v>203029.418715365</v>
      </c>
      <c r="E53" s="30">
        <f t="shared" si="29"/>
        <v>139112.749860528</v>
      </c>
      <c r="F53" s="30">
        <f t="shared" si="29"/>
        <v>117493.876571392</v>
      </c>
      <c r="G53" s="30">
        <f t="shared" si="29"/>
        <v>244700.580272686</v>
      </c>
      <c r="H53" s="30">
        <f t="shared" si="29"/>
        <v>222455.072975169</v>
      </c>
      <c r="I53" s="30">
        <f t="shared" si="29"/>
        <v>140992.65188567</v>
      </c>
      <c r="J53" s="30">
        <f t="shared" si="29"/>
        <v>205849.271753079</v>
      </c>
      <c r="K53" s="30">
        <f t="shared" si="29"/>
        <v>140992.65188567</v>
      </c>
      <c r="L53" s="30">
        <f t="shared" si="29"/>
        <v>244700.580272686</v>
      </c>
      <c r="M53" s="30">
        <f t="shared" si="29"/>
        <v>228721.413058976</v>
      </c>
      <c r="N53" s="30">
        <f t="shared" si="29"/>
        <v>211488.977828506</v>
      </c>
      <c r="O53" s="5">
        <f t="shared" si="23"/>
        <v>2282699.20358137</v>
      </c>
      <c r="P53" s="29">
        <v>0.03</v>
      </c>
      <c r="Q53" s="52">
        <v>0.03</v>
      </c>
    </row>
    <row r="54" ht="16.8" spans="1:19">
      <c r="A54" s="5"/>
      <c r="B54" s="4" t="s">
        <v>73</v>
      </c>
      <c r="C54" s="30">
        <f>C16*2%</f>
        <v>122107.972334429</v>
      </c>
      <c r="D54" s="30">
        <f>D16*2%</f>
        <v>135352.945810244</v>
      </c>
      <c r="E54" s="30">
        <f>E16*2%</f>
        <v>92741.8332403521</v>
      </c>
      <c r="F54" s="30">
        <f>F16*2%</f>
        <v>78329.2510475947</v>
      </c>
      <c r="G54" s="30">
        <f>G16*0.75%</f>
        <v>61175.1450681715</v>
      </c>
      <c r="H54" s="30">
        <f>H16*0.75%</f>
        <v>55613.7682437922</v>
      </c>
      <c r="I54" s="30">
        <f>I16*2%</f>
        <v>93995.1012571136</v>
      </c>
      <c r="J54" s="30">
        <f>J16*2%</f>
        <v>137232.847835386</v>
      </c>
      <c r="K54" s="30">
        <f>K16*2%</f>
        <v>93995.1012571136</v>
      </c>
      <c r="L54" s="30">
        <f>L16*0.75%</f>
        <v>61175.1450681715</v>
      </c>
      <c r="M54" s="30">
        <f>M16*0.75%</f>
        <v>57180.3532647441</v>
      </c>
      <c r="N54" s="30">
        <f>N16*2%</f>
        <v>140992.65188567</v>
      </c>
      <c r="O54" s="5">
        <f t="shared" si="23"/>
        <v>1129892.11631278</v>
      </c>
      <c r="P54" s="29">
        <f>O54/O16</f>
        <v>0.0148494218757347</v>
      </c>
      <c r="Q54" s="78" t="s">
        <v>124</v>
      </c>
    </row>
    <row r="55" ht="16.8" spans="1:19">
      <c r="A55" s="5"/>
      <c r="B55" s="4" t="s">
        <v>75</v>
      </c>
      <c r="C55" s="30">
        <v>403227.864097932</v>
      </c>
      <c r="D55" s="30">
        <v>263675.24895123</v>
      </c>
      <c r="E55" s="30">
        <v>205664.640871226</v>
      </c>
      <c r="F55" s="30">
        <v>316506.208962141</v>
      </c>
      <c r="G55" s="30">
        <v>271814.641394621</v>
      </c>
      <c r="H55" s="30">
        <v>190424.915179676</v>
      </c>
      <c r="I55" s="30">
        <v>265314.653459264</v>
      </c>
      <c r="J55" s="30">
        <v>205261.42102191</v>
      </c>
      <c r="K55" s="30">
        <v>282837.256130166</v>
      </c>
      <c r="L55" s="30">
        <v>223250.980139228</v>
      </c>
      <c r="M55" s="30">
        <v>195541.780792343</v>
      </c>
      <c r="N55" s="30">
        <v>190785.580354881</v>
      </c>
      <c r="O55" s="5">
        <f t="shared" si="23"/>
        <v>3014305.19135462</v>
      </c>
      <c r="P55" s="29">
        <v>0.02</v>
      </c>
      <c r="Q55" s="6" t="s">
        <v>125</v>
      </c>
    </row>
    <row r="56" ht="16.8" spans="1:19">
      <c r="A56" s="5"/>
      <c r="B56" s="4" t="s">
        <v>77</v>
      </c>
      <c r="C56" s="30">
        <f t="shared" ref="C56:N56" si="30">C16*$P$56</f>
        <v>30526.9930836073</v>
      </c>
      <c r="D56" s="30">
        <f t="shared" si="30"/>
        <v>33838.2364525609</v>
      </c>
      <c r="E56" s="30">
        <f t="shared" si="30"/>
        <v>23185.458310088</v>
      </c>
      <c r="F56" s="30">
        <f t="shared" si="30"/>
        <v>19582.3127618987</v>
      </c>
      <c r="G56" s="30">
        <f t="shared" si="30"/>
        <v>40783.4300454476</v>
      </c>
      <c r="H56" s="30">
        <f t="shared" si="30"/>
        <v>37075.8454958615</v>
      </c>
      <c r="I56" s="30">
        <f t="shared" si="30"/>
        <v>23498.7753142784</v>
      </c>
      <c r="J56" s="30">
        <f t="shared" si="30"/>
        <v>34308.2119588465</v>
      </c>
      <c r="K56" s="30">
        <f t="shared" si="30"/>
        <v>23498.7753142784</v>
      </c>
      <c r="L56" s="30">
        <f t="shared" si="30"/>
        <v>40783.4300454476</v>
      </c>
      <c r="M56" s="30">
        <f t="shared" si="30"/>
        <v>38120.2355098294</v>
      </c>
      <c r="N56" s="30">
        <f t="shared" si="30"/>
        <v>35248.1629714176</v>
      </c>
      <c r="O56" s="5">
        <f t="shared" si="23"/>
        <v>380449.867263562</v>
      </c>
      <c r="P56" s="29">
        <v>0.005</v>
      </c>
      <c r="Q56" s="79">
        <f>O56/0.03</f>
        <v>12681662.2421187</v>
      </c>
      <c r="R56">
        <f>9*100+300</f>
        <v>1200</v>
      </c>
      <c r="S56" s="67" t="s">
        <v>126</v>
      </c>
    </row>
    <row r="57" ht="16.8" spans="1:19">
      <c r="A57" s="5"/>
      <c r="B57" s="4" t="s">
        <v>79</v>
      </c>
      <c r="C57" s="30">
        <v>47709.9030497947</v>
      </c>
      <c r="D57" s="30"/>
      <c r="E57" s="30"/>
      <c r="F57" s="30"/>
      <c r="G57" s="30">
        <v>19083.9612199179</v>
      </c>
      <c r="H57" s="30"/>
      <c r="I57" s="30"/>
      <c r="J57" s="30"/>
      <c r="K57" s="30"/>
      <c r="L57" s="30">
        <v>19083.9612199179</v>
      </c>
      <c r="M57" s="30"/>
      <c r="N57" s="30">
        <v>57251.8836597536</v>
      </c>
      <c r="O57" s="5">
        <f t="shared" si="23"/>
        <v>143129.709149384</v>
      </c>
      <c r="P57" s="29"/>
      <c r="Q57" s="4"/>
    </row>
    <row r="58" ht="16.8" spans="1:19">
      <c r="B58" s="21" t="s">
        <v>80</v>
      </c>
      <c r="C58" s="22">
        <f t="shared" ref="C58:N58" si="31">SUM(C53:C57)</f>
        <v>786734.691067407</v>
      </c>
      <c r="D58" s="22">
        <f t="shared" si="31"/>
        <v>635895.8499294</v>
      </c>
      <c r="E58" s="22">
        <f t="shared" si="31"/>
        <v>460704.682282195</v>
      </c>
      <c r="F58" s="22">
        <f t="shared" si="31"/>
        <v>531911.649343026</v>
      </c>
      <c r="G58" s="22">
        <f t="shared" si="31"/>
        <v>637557.758000844</v>
      </c>
      <c r="H58" s="22">
        <f t="shared" si="31"/>
        <v>505569.601894499</v>
      </c>
      <c r="I58" s="22">
        <f t="shared" si="31"/>
        <v>523801.181916326</v>
      </c>
      <c r="J58" s="22">
        <f t="shared" si="31"/>
        <v>582651.752569221</v>
      </c>
      <c r="K58" s="22">
        <f t="shared" si="31"/>
        <v>541323.784587228</v>
      </c>
      <c r="L58" s="22">
        <f t="shared" si="31"/>
        <v>588994.096745451</v>
      </c>
      <c r="M58" s="22">
        <f t="shared" si="31"/>
        <v>519563.782625893</v>
      </c>
      <c r="N58" s="22">
        <f t="shared" si="31"/>
        <v>635767.256700228</v>
      </c>
      <c r="O58" s="22">
        <f t="shared" si="23"/>
        <v>6950476.08766172</v>
      </c>
      <c r="P58" s="24">
        <f>O58/$O$16</f>
        <v>0.0913454923463894</v>
      </c>
      <c r="Q58" s="6"/>
    </row>
    <row r="59" ht="16.8" spans="1:19">
      <c r="A59" s="7"/>
      <c r="B59" s="12" t="s">
        <v>81</v>
      </c>
      <c r="C59" s="13">
        <f t="shared" ref="C59:N59" si="32">SUM(C52,C58)</f>
        <v>3563803.46734396</v>
      </c>
      <c r="D59" s="13">
        <f t="shared" si="32"/>
        <v>3931643.84295781</v>
      </c>
      <c r="E59" s="13">
        <f t="shared" si="32"/>
        <v>3048573.0288146</v>
      </c>
      <c r="F59" s="13">
        <f t="shared" si="32"/>
        <v>2507218.558493</v>
      </c>
      <c r="G59" s="13">
        <f t="shared" si="32"/>
        <v>5837693.82124323</v>
      </c>
      <c r="H59" s="13">
        <f t="shared" si="32"/>
        <v>4694155.98381322</v>
      </c>
      <c r="I59" s="13">
        <f t="shared" si="32"/>
        <v>2599264.63369949</v>
      </c>
      <c r="J59" s="13">
        <f t="shared" si="32"/>
        <v>3870406.60602624</v>
      </c>
      <c r="K59" s="13">
        <f t="shared" si="32"/>
        <v>2624316.39592075</v>
      </c>
      <c r="L59" s="13">
        <f t="shared" si="32"/>
        <v>5032034.95699587</v>
      </c>
      <c r="M59" s="13">
        <f t="shared" si="32"/>
        <v>4072911.84277267</v>
      </c>
      <c r="N59" s="13">
        <f t="shared" si="32"/>
        <v>3841483.99936663</v>
      </c>
      <c r="O59" s="13">
        <f t="shared" si="23"/>
        <v>45623507.1374475</v>
      </c>
      <c r="P59" s="27">
        <f>O59/$O$16</f>
        <v>0.599599461889694</v>
      </c>
      <c r="Q59" s="32"/>
      <c r="R59" s="33"/>
    </row>
    <row r="60" ht="16.8" spans="1:19">
      <c r="A60" s="7"/>
      <c r="B60" s="12" t="s">
        <v>82</v>
      </c>
      <c r="C60" s="13">
        <f t="shared" ref="C60:N60" si="33">C22-C59</f>
        <v>-599520.856354129</v>
      </c>
      <c r="D60" s="13">
        <f t="shared" si="33"/>
        <v>-631753.208913613</v>
      </c>
      <c r="E60" s="13">
        <f t="shared" si="33"/>
        <v>-911944.853884892</v>
      </c>
      <c r="F60" s="13">
        <f t="shared" si="33"/>
        <v>-708081.231699798</v>
      </c>
      <c r="G60" s="13">
        <f t="shared" si="33"/>
        <v>-1631496.28042421</v>
      </c>
      <c r="H60" s="13">
        <f t="shared" si="33"/>
        <v>-924298.603597622</v>
      </c>
      <c r="I60" s="13">
        <f t="shared" si="33"/>
        <v>-42715.9873092663</v>
      </c>
      <c r="J60" s="13">
        <f t="shared" si="33"/>
        <v>-129750.335566877</v>
      </c>
      <c r="K60" s="13">
        <f t="shared" si="33"/>
        <v>-27298.1857396099</v>
      </c>
      <c r="L60" s="13">
        <f t="shared" si="33"/>
        <v>-469181.529377313</v>
      </c>
      <c r="M60" s="13">
        <f t="shared" si="33"/>
        <v>264963.918495605</v>
      </c>
      <c r="N60" s="13">
        <f t="shared" si="33"/>
        <v>197897.987799258</v>
      </c>
      <c r="O60" s="13">
        <f t="shared" si="23"/>
        <v>-5613179.16657247</v>
      </c>
      <c r="P60" s="27">
        <f>O60/$O$16</f>
        <v>-0.0737702868310355</v>
      </c>
      <c r="Q60" s="32"/>
      <c r="R60" s="34"/>
    </row>
    <row r="61" spans="1:19">
      <c r="Q61" s="6"/>
    </row>
    <row r="62" spans="1:19">
      <c r="B62" s="61" t="s">
        <v>117</v>
      </c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35"/>
      <c r="Q62" s="6"/>
    </row>
    <row r="63" ht="16.8" spans="1:19">
      <c r="B63" s="63" t="s">
        <v>118</v>
      </c>
      <c r="C63" s="63">
        <v>366.6</v>
      </c>
      <c r="D63" s="63">
        <v>362.6</v>
      </c>
      <c r="E63" s="63">
        <v>362.8</v>
      </c>
      <c r="F63" s="63">
        <v>357</v>
      </c>
      <c r="G63" s="63">
        <v>376.4</v>
      </c>
      <c r="H63" s="63">
        <v>376.1</v>
      </c>
      <c r="I63" s="63">
        <v>401.9</v>
      </c>
      <c r="J63" s="63">
        <v>400.9</v>
      </c>
      <c r="K63" s="63">
        <v>401.8</v>
      </c>
      <c r="L63" s="63">
        <v>398.6</v>
      </c>
      <c r="M63" s="63">
        <v>397.7</v>
      </c>
      <c r="N63" s="63">
        <v>392.4</v>
      </c>
      <c r="Q63" s="6"/>
    </row>
    <row r="64" ht="16.8" spans="1:19">
      <c r="B64" s="63" t="s">
        <v>119</v>
      </c>
      <c r="C64" s="63">
        <v>158.8</v>
      </c>
      <c r="D64" s="63">
        <v>156.4</v>
      </c>
      <c r="E64" s="63">
        <v>165.1</v>
      </c>
      <c r="F64" s="63">
        <v>162.9</v>
      </c>
      <c r="G64" s="63">
        <v>153</v>
      </c>
      <c r="H64" s="63">
        <v>155.3</v>
      </c>
      <c r="I64" s="63">
        <v>153.3</v>
      </c>
      <c r="J64" s="63">
        <v>152.5</v>
      </c>
      <c r="K64" s="63">
        <v>150.2</v>
      </c>
      <c r="L64" s="63">
        <v>146.6</v>
      </c>
      <c r="M64" s="63">
        <v>142.9</v>
      </c>
      <c r="N64" s="63">
        <v>139.6</v>
      </c>
      <c r="Q64" s="6"/>
    </row>
    <row r="65" spans="2:17">
      <c r="B65" s="61" t="s">
        <v>16</v>
      </c>
      <c r="C65" s="64">
        <f t="shared" ref="C65:N65" si="34">C8/C63</f>
        <v>18819.1501279194</v>
      </c>
      <c r="D65" s="64">
        <f t="shared" si="34"/>
        <v>21090.5720857109</v>
      </c>
      <c r="E65" s="64">
        <f t="shared" si="34"/>
        <v>14442.9811964716</v>
      </c>
      <c r="F65" s="64">
        <f t="shared" si="34"/>
        <v>12396.6461741992</v>
      </c>
      <c r="G65" s="64">
        <f t="shared" si="34"/>
        <v>24487.394235577</v>
      </c>
      <c r="H65" s="64">
        <f t="shared" si="34"/>
        <v>22279.0244138918</v>
      </c>
      <c r="I65" s="64">
        <f t="shared" si="34"/>
        <v>13214.0413561257</v>
      </c>
      <c r="J65" s="64">
        <f t="shared" si="34"/>
        <v>19340.6233542013</v>
      </c>
      <c r="K65" s="64">
        <f t="shared" si="34"/>
        <v>13217.3300672646</v>
      </c>
      <c r="L65" s="64">
        <f t="shared" si="34"/>
        <v>23123.5704723311</v>
      </c>
      <c r="M65" s="64">
        <f t="shared" si="34"/>
        <v>21662.492394321</v>
      </c>
      <c r="N65" s="64">
        <f t="shared" si="34"/>
        <v>20300.9297439867</v>
      </c>
      <c r="Q65" s="6"/>
    </row>
    <row r="66" spans="2:17">
      <c r="B66" s="73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Q66" s="6"/>
    </row>
    <row r="67" spans="2:17">
      <c r="Q67" s="6"/>
    </row>
    <row r="68" spans="2:17">
      <c r="Q68" s="6"/>
    </row>
    <row r="69" spans="2:17">
      <c r="Q69" s="6"/>
    </row>
    <row r="70" spans="2:17">
      <c r="Q70" s="6"/>
    </row>
    <row r="71" spans="2:17">
      <c r="Q71" s="6"/>
    </row>
    <row r="72" spans="2:17">
      <c r="Q72" s="6"/>
    </row>
    <row r="73" spans="2:17">
      <c r="Q73" s="6"/>
    </row>
    <row r="74" spans="2:17">
      <c r="Q74" s="6"/>
    </row>
    <row r="75" spans="2:17">
      <c r="Q75" s="6"/>
    </row>
    <row r="76" spans="2:17">
      <c r="Q76" s="6"/>
    </row>
    <row r="77" spans="2:17">
      <c r="Q77" s="6"/>
    </row>
    <row r="78" spans="2:17">
      <c r="Q78" s="6"/>
    </row>
    <row r="79" spans="2:17">
      <c r="Q79" s="6"/>
    </row>
    <row r="80" spans="2:17">
      <c r="Q80" s="6"/>
    </row>
    <row r="81" spans="2:17">
      <c r="Q81" s="6"/>
    </row>
    <row r="82" spans="2:17">
      <c r="C82" s="35">
        <f t="shared" ref="C82:O82" si="35">C16-C18-C20-C26-C37-C44-C47-C58-C60</f>
        <v>0</v>
      </c>
      <c r="D82" s="35">
        <f t="shared" si="35"/>
        <v>0</v>
      </c>
      <c r="E82" s="35">
        <f t="shared" si="35"/>
        <v>0</v>
      </c>
      <c r="F82" s="35">
        <f t="shared" si="35"/>
        <v>0</v>
      </c>
      <c r="G82" s="35">
        <f t="shared" si="35"/>
        <v>0</v>
      </c>
      <c r="H82" s="35">
        <f t="shared" si="35"/>
        <v>0</v>
      </c>
      <c r="I82" s="35">
        <f t="shared" si="35"/>
        <v>1.74622982740402e-10</v>
      </c>
      <c r="J82" s="35">
        <f t="shared" si="35"/>
        <v>-3.49245965480804e-10</v>
      </c>
      <c r="K82" s="35">
        <f t="shared" si="35"/>
        <v>1.74622982740402e-10</v>
      </c>
      <c r="L82" s="35">
        <f t="shared" si="35"/>
        <v>0</v>
      </c>
      <c r="M82" s="35">
        <f t="shared" si="35"/>
        <v>-1.10594555735588e-9</v>
      </c>
      <c r="N82" s="35">
        <f t="shared" si="35"/>
        <v>-6.98491930961609e-10</v>
      </c>
      <c r="O82" s="35">
        <f t="shared" si="35"/>
        <v>0</v>
      </c>
      <c r="Q82" s="6"/>
    </row>
    <row r="83" spans="2:17">
      <c r="C83" s="53">
        <f t="shared" ref="C83:O83" si="36">C10-C11-C12-C13-C15</f>
        <v>0</v>
      </c>
      <c r="D83" s="53">
        <f t="shared" si="36"/>
        <v>0</v>
      </c>
      <c r="E83" s="53">
        <f t="shared" si="36"/>
        <v>0</v>
      </c>
      <c r="F83" s="53">
        <f t="shared" si="36"/>
        <v>0</v>
      </c>
      <c r="G83" s="53">
        <f t="shared" si="36"/>
        <v>0</v>
      </c>
      <c r="H83" s="53">
        <f t="shared" si="36"/>
        <v>0</v>
      </c>
      <c r="I83" s="53">
        <f t="shared" si="36"/>
        <v>0</v>
      </c>
      <c r="J83" s="53">
        <f t="shared" si="36"/>
        <v>0</v>
      </c>
      <c r="K83" s="53">
        <f t="shared" si="36"/>
        <v>0</v>
      </c>
      <c r="L83" s="53">
        <f t="shared" si="36"/>
        <v>0</v>
      </c>
      <c r="M83" s="53">
        <f t="shared" si="36"/>
        <v>0</v>
      </c>
      <c r="N83" s="53">
        <f t="shared" si="36"/>
        <v>0</v>
      </c>
      <c r="O83" s="53">
        <f t="shared" si="36"/>
        <v>0</v>
      </c>
      <c r="Q83" s="6"/>
    </row>
    <row r="84" spans="2:17">
      <c r="Q84" s="6"/>
    </row>
    <row r="85" spans="2:17">
      <c r="Q85" s="6"/>
    </row>
    <row r="86" spans="2:17">
      <c r="Q86" s="6"/>
    </row>
    <row r="87" spans="2:17">
      <c r="Q87" s="6"/>
    </row>
    <row r="88" spans="2:17">
      <c r="Q88" s="6"/>
    </row>
    <row r="89" spans="2:17">
      <c r="Q89" s="6"/>
    </row>
    <row r="90" spans="2:17">
      <c r="Q90" s="6"/>
    </row>
    <row r="91" spans="2:17">
      <c r="Q91" s="6"/>
    </row>
    <row r="92" spans="2:17">
      <c r="Q92" s="6"/>
    </row>
    <row r="93" spans="2:17">
      <c r="B93" s="6" t="s">
        <v>120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Q93" s="6"/>
    </row>
    <row r="94" ht="16.8" spans="2:17">
      <c r="B94" s="17" t="s">
        <v>39</v>
      </c>
      <c r="C94" s="37">
        <f t="shared" ref="C94:N94" si="37">SUM(C95:C99)</f>
        <v>0</v>
      </c>
      <c r="D94" s="37">
        <f t="shared" si="37"/>
        <v>0</v>
      </c>
      <c r="E94" s="37">
        <f t="shared" si="37"/>
        <v>0</v>
      </c>
      <c r="F94" s="37">
        <f t="shared" si="37"/>
        <v>0</v>
      </c>
      <c r="G94" s="37">
        <f t="shared" si="37"/>
        <v>0</v>
      </c>
      <c r="H94" s="37">
        <f t="shared" si="37"/>
        <v>0</v>
      </c>
      <c r="I94" s="37">
        <f t="shared" si="37"/>
        <v>0</v>
      </c>
      <c r="J94" s="37">
        <f t="shared" si="37"/>
        <v>0</v>
      </c>
      <c r="K94" s="37">
        <f t="shared" si="37"/>
        <v>0</v>
      </c>
      <c r="L94" s="37">
        <f t="shared" si="37"/>
        <v>0</v>
      </c>
      <c r="M94" s="37">
        <f t="shared" si="37"/>
        <v>0</v>
      </c>
      <c r="N94" s="37">
        <f t="shared" si="37"/>
        <v>0</v>
      </c>
      <c r="Q94" s="6"/>
    </row>
    <row r="95" ht="16.8" spans="2:17">
      <c r="B95" s="4" t="s">
        <v>40</v>
      </c>
      <c r="C95" s="45">
        <f>'线下门店-小计'!C27*(C15/('26年全渠道汇总'!C15-'线下门店-小计'!C15))</f>
        <v>0</v>
      </c>
      <c r="D95" s="45">
        <f>'线下门店-小计'!D27*(D15/('26年全渠道汇总'!D15-'线下门店-小计'!D15))</f>
        <v>0</v>
      </c>
      <c r="E95" s="45">
        <f>'线下门店-小计'!E27*(E15/('26年全渠道汇总'!E15-'线下门店-小计'!E15))</f>
        <v>0</v>
      </c>
      <c r="F95" s="45">
        <f>'线下门店-小计'!F27*(F15/('26年全渠道汇总'!F15-'线下门店-小计'!F15))</f>
        <v>0</v>
      </c>
      <c r="G95" s="45">
        <f>'线下门店-小计'!G27*(G15/('26年全渠道汇总'!G15-'线下门店-小计'!G15))</f>
        <v>0</v>
      </c>
      <c r="H95" s="45">
        <f>'线下门店-小计'!H27*(H15/('26年全渠道汇总'!H15-'线下门店-小计'!H15))</f>
        <v>0</v>
      </c>
      <c r="I95" s="45">
        <f>'线下门店-小计'!I27*(I15/('26年全渠道汇总'!I15-'线下门店-小计'!I15))</f>
        <v>0</v>
      </c>
      <c r="J95" s="45">
        <f>'线下门店-小计'!J27*(J15/('26年全渠道汇总'!J15-'线下门店-小计'!J15))</f>
        <v>0</v>
      </c>
      <c r="K95" s="45">
        <f>'线下门店-小计'!K27*(K15/('26年全渠道汇总'!K15-'线下门店-小计'!K15))</f>
        <v>0</v>
      </c>
      <c r="L95" s="45">
        <f>'线下门店-小计'!L27*(L15/('26年全渠道汇总'!L15-'线下门店-小计'!L15))</f>
        <v>0</v>
      </c>
      <c r="M95" s="45">
        <f>'线下门店-小计'!M27*(M15/('26年全渠道汇总'!M15-'线下门店-小计'!M15))</f>
        <v>0</v>
      </c>
      <c r="N95" s="45">
        <f>'线下门店-小计'!N27*(N15/('26年全渠道汇总'!N15-'线下门店-小计'!N15))</f>
        <v>0</v>
      </c>
      <c r="Q95" s="6"/>
    </row>
    <row r="96" ht="16.8" spans="2:17">
      <c r="B96" s="4" t="s">
        <v>41</v>
      </c>
      <c r="C96" s="45">
        <f>'线下门店-小计'!C28*(C15/('26年全渠道汇总'!C15-'线下门店-小计'!C15))</f>
        <v>0</v>
      </c>
      <c r="D96" s="45">
        <f>'线下门店-小计'!D28*(D15/('26年全渠道汇总'!D15-'线下门店-小计'!D15))</f>
        <v>0</v>
      </c>
      <c r="E96" s="45">
        <f>'线下门店-小计'!E28*(E15/('26年全渠道汇总'!E15-'线下门店-小计'!E15))</f>
        <v>0</v>
      </c>
      <c r="F96" s="45">
        <f>'线下门店-小计'!F28*(F15/('26年全渠道汇总'!F15-'线下门店-小计'!F15))</f>
        <v>0</v>
      </c>
      <c r="G96" s="45">
        <f>'线下门店-小计'!G28*(G15/('26年全渠道汇总'!G15-'线下门店-小计'!G15))</f>
        <v>0</v>
      </c>
      <c r="H96" s="45">
        <f>'线下门店-小计'!H28*(H15/('26年全渠道汇总'!H15-'线下门店-小计'!H15))</f>
        <v>0</v>
      </c>
      <c r="I96" s="45">
        <f>'线下门店-小计'!I28*(I15/('26年全渠道汇总'!I15-'线下门店-小计'!I15))</f>
        <v>0</v>
      </c>
      <c r="J96" s="45">
        <f>'线下门店-小计'!J28*(J15/('26年全渠道汇总'!J15-'线下门店-小计'!J15))</f>
        <v>0</v>
      </c>
      <c r="K96" s="45">
        <f>'线下门店-小计'!K28*(K15/('26年全渠道汇总'!K15-'线下门店-小计'!K15))</f>
        <v>0</v>
      </c>
      <c r="L96" s="45">
        <f>'线下门店-小计'!L28*(L15/('26年全渠道汇总'!L15-'线下门店-小计'!L15))</f>
        <v>0</v>
      </c>
      <c r="M96" s="45">
        <f>'线下门店-小计'!M28*(M15/('26年全渠道汇总'!M15-'线下门店-小计'!M15))</f>
        <v>0</v>
      </c>
      <c r="N96" s="45">
        <f>'线下门店-小计'!N28*(N15/('26年全渠道汇总'!N15-'线下门店-小计'!N15))</f>
        <v>0</v>
      </c>
      <c r="Q96" s="6"/>
    </row>
    <row r="97" ht="16.8" spans="2:17">
      <c r="B97" s="4" t="s">
        <v>42</v>
      </c>
      <c r="C97" s="45">
        <f>'线下门店-小计'!C29*(C15/('26年全渠道汇总'!C15-'线下门店-小计'!C15))</f>
        <v>0</v>
      </c>
      <c r="D97" s="45">
        <f>'线下门店-小计'!D29*(D15/('26年全渠道汇总'!D15-'线下门店-小计'!D15))</f>
        <v>0</v>
      </c>
      <c r="E97" s="45">
        <f>'线下门店-小计'!E29*(E15/('26年全渠道汇总'!E15-'线下门店-小计'!E15))</f>
        <v>0</v>
      </c>
      <c r="F97" s="45">
        <f>'线下门店-小计'!F29*(F15/('26年全渠道汇总'!F15-'线下门店-小计'!F15))</f>
        <v>0</v>
      </c>
      <c r="G97" s="45">
        <f>'线下门店-小计'!G29*(G15/('26年全渠道汇总'!G15-'线下门店-小计'!G15))</f>
        <v>0</v>
      </c>
      <c r="H97" s="45">
        <f>'线下门店-小计'!H29*(H15/('26年全渠道汇总'!H15-'线下门店-小计'!H15))</f>
        <v>0</v>
      </c>
      <c r="I97" s="45">
        <f>'线下门店-小计'!I29*(I15/('26年全渠道汇总'!I15-'线下门店-小计'!I15))</f>
        <v>0</v>
      </c>
      <c r="J97" s="45">
        <f>'线下门店-小计'!J29*(J15/('26年全渠道汇总'!J15-'线下门店-小计'!J15))</f>
        <v>0</v>
      </c>
      <c r="K97" s="45">
        <f>'线下门店-小计'!K29*(K15/('26年全渠道汇总'!K15-'线下门店-小计'!K15))</f>
        <v>0</v>
      </c>
      <c r="L97" s="45">
        <f>'线下门店-小计'!L29*(L15/('26年全渠道汇总'!L15-'线下门店-小计'!L15))</f>
        <v>0</v>
      </c>
      <c r="M97" s="45">
        <f>'线下门店-小计'!M29*(M15/('26年全渠道汇总'!M15-'线下门店-小计'!M15))</f>
        <v>0</v>
      </c>
      <c r="N97" s="45">
        <f>'线下门店-小计'!N29*(N15/('26年全渠道汇总'!N15-'线下门店-小计'!N15))</f>
        <v>0</v>
      </c>
      <c r="Q97" s="6"/>
    </row>
    <row r="98" ht="16.8" spans="2:17">
      <c r="B98" s="4" t="s">
        <v>43</v>
      </c>
      <c r="C98" s="45">
        <f>'线下门店-小计'!C30*(C15/('26年全渠道汇总'!C15-'线下门店-小计'!C15))</f>
        <v>0</v>
      </c>
      <c r="D98" s="45">
        <f>'线下门店-小计'!D30*(D15/('26年全渠道汇总'!D15-'线下门店-小计'!D15))</f>
        <v>0</v>
      </c>
      <c r="E98" s="45">
        <f>'线下门店-小计'!E30*(E15/('26年全渠道汇总'!E15-'线下门店-小计'!E15))</f>
        <v>0</v>
      </c>
      <c r="F98" s="45">
        <f>'线下门店-小计'!F30*(F15/('26年全渠道汇总'!F15-'线下门店-小计'!F15))</f>
        <v>0</v>
      </c>
      <c r="G98" s="45">
        <f>'线下门店-小计'!G30*(G15/('26年全渠道汇总'!G15-'线下门店-小计'!G15))</f>
        <v>0</v>
      </c>
      <c r="H98" s="45">
        <f>'线下门店-小计'!H30*(H15/('26年全渠道汇总'!H15-'线下门店-小计'!H15))</f>
        <v>0</v>
      </c>
      <c r="I98" s="45">
        <f>'线下门店-小计'!I30*(I15/('26年全渠道汇总'!I15-'线下门店-小计'!I15))</f>
        <v>0</v>
      </c>
      <c r="J98" s="45">
        <f>'线下门店-小计'!J30*(J15/('26年全渠道汇总'!J15-'线下门店-小计'!J15))</f>
        <v>0</v>
      </c>
      <c r="K98" s="45">
        <f>'线下门店-小计'!K30*(K15/('26年全渠道汇总'!K15-'线下门店-小计'!K15))</f>
        <v>0</v>
      </c>
      <c r="L98" s="45">
        <f>'线下门店-小计'!L30*(L15/('26年全渠道汇总'!L15-'线下门店-小计'!L15))</f>
        <v>0</v>
      </c>
      <c r="M98" s="45">
        <f>'线下门店-小计'!M30*(M15/('26年全渠道汇总'!M15-'线下门店-小计'!M15))</f>
        <v>0</v>
      </c>
      <c r="N98" s="45">
        <f>'线下门店-小计'!N30*(N15/('26年全渠道汇总'!N15-'线下门店-小计'!N15))</f>
        <v>0</v>
      </c>
      <c r="Q98" s="6"/>
    </row>
    <row r="99" ht="16.8" spans="2:17">
      <c r="B99" s="4" t="s">
        <v>44</v>
      </c>
      <c r="C99" s="45">
        <f>'线下门店-小计'!C31*(C15/('26年全渠道汇总'!C15-'线下门店-小计'!C15))</f>
        <v>0</v>
      </c>
      <c r="D99" s="45">
        <f>'线下门店-小计'!D31*(D15/('26年全渠道汇总'!D15-'线下门店-小计'!D15))</f>
        <v>0</v>
      </c>
      <c r="E99" s="45">
        <f>'线下门店-小计'!E31*(E15/('26年全渠道汇总'!E15-'线下门店-小计'!E15))</f>
        <v>0</v>
      </c>
      <c r="F99" s="45">
        <f>'线下门店-小计'!F31*(F15/('26年全渠道汇总'!F15-'线下门店-小计'!F15))</f>
        <v>0</v>
      </c>
      <c r="G99" s="45">
        <f>'线下门店-小计'!G31*(G15/('26年全渠道汇总'!G15-'线下门店-小计'!G15))</f>
        <v>0</v>
      </c>
      <c r="H99" s="45">
        <f>'线下门店-小计'!H31*(H15/('26年全渠道汇总'!H15-'线下门店-小计'!H15))</f>
        <v>0</v>
      </c>
      <c r="I99" s="45">
        <f>'线下门店-小计'!I31*(I15/('26年全渠道汇总'!I15-'线下门店-小计'!I15))</f>
        <v>0</v>
      </c>
      <c r="J99" s="45">
        <f>'线下门店-小计'!J31*(J15/('26年全渠道汇总'!J15-'线下门店-小计'!J15))</f>
        <v>0</v>
      </c>
      <c r="K99" s="45">
        <f>'线下门店-小计'!K31*(K15/('26年全渠道汇总'!K15-'线下门店-小计'!K15))</f>
        <v>0</v>
      </c>
      <c r="L99" s="45">
        <f>'线下门店-小计'!L31*(L15/('26年全渠道汇总'!L15-'线下门店-小计'!L15))</f>
        <v>0</v>
      </c>
      <c r="M99" s="45">
        <f>'线下门店-小计'!M31*(M15/('26年全渠道汇总'!M15-'线下门店-小计'!M15))</f>
        <v>0</v>
      </c>
      <c r="N99" s="45">
        <f>'线下门店-小计'!N31*(N15/('26年全渠道汇总'!N15-'线下门店-小计'!N15))</f>
        <v>0</v>
      </c>
      <c r="Q99" s="6"/>
    </row>
    <row r="100" spans="2:17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Q100" s="6"/>
    </row>
    <row r="101" spans="2:17">
      <c r="B101" s="6" t="s">
        <v>121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Q101" s="6"/>
    </row>
    <row r="102" ht="16.8" spans="2:17">
      <c r="B102" s="17" t="s">
        <v>39</v>
      </c>
      <c r="C102" s="37">
        <f t="shared" ref="C102:N102" si="38">SUM(C103:C107)</f>
        <v>142768.843708787</v>
      </c>
      <c r="D102" s="37">
        <f t="shared" si="38"/>
        <v>455326.615510502</v>
      </c>
      <c r="E102" s="37">
        <f t="shared" si="38"/>
        <v>750761.738080134</v>
      </c>
      <c r="F102" s="37">
        <f t="shared" si="38"/>
        <v>423696.597957174</v>
      </c>
      <c r="G102" s="37">
        <f t="shared" si="38"/>
        <v>1680765.95284993</v>
      </c>
      <c r="H102" s="37">
        <f t="shared" si="38"/>
        <v>989159.008834675</v>
      </c>
      <c r="I102" s="37">
        <f t="shared" si="38"/>
        <v>213531.078351805</v>
      </c>
      <c r="J102" s="37">
        <f t="shared" si="38"/>
        <v>327157.974420092</v>
      </c>
      <c r="K102" s="37">
        <f t="shared" si="38"/>
        <v>230347.925497764</v>
      </c>
      <c r="L102" s="37">
        <f t="shared" si="38"/>
        <v>923670.749857965</v>
      </c>
      <c r="M102" s="37">
        <f t="shared" si="38"/>
        <v>353490.644115797</v>
      </c>
      <c r="N102" s="37">
        <f t="shared" si="38"/>
        <v>246944.474418586</v>
      </c>
      <c r="Q102" s="6"/>
    </row>
    <row r="103" ht="16.8" spans="2:17">
      <c r="B103" s="4" t="s">
        <v>40</v>
      </c>
      <c r="C103" s="45">
        <f t="shared" ref="C103:N103" si="39">C95+C27</f>
        <v>0</v>
      </c>
      <c r="D103" s="45">
        <f t="shared" si="39"/>
        <v>0</v>
      </c>
      <c r="E103" s="45">
        <f t="shared" si="39"/>
        <v>12760.0239639533</v>
      </c>
      <c r="F103" s="45">
        <f t="shared" si="39"/>
        <v>10655.9046445327</v>
      </c>
      <c r="G103" s="45">
        <f t="shared" si="39"/>
        <v>22721.3198646086</v>
      </c>
      <c r="H103" s="45">
        <f t="shared" si="39"/>
        <v>20011.408279488</v>
      </c>
      <c r="I103" s="45">
        <f t="shared" si="39"/>
        <v>12866.0550495704</v>
      </c>
      <c r="J103" s="45">
        <f t="shared" si="39"/>
        <v>17789.3688847787</v>
      </c>
      <c r="K103" s="45">
        <f t="shared" si="39"/>
        <v>14135.0527278997</v>
      </c>
      <c r="L103" s="45">
        <f t="shared" si="39"/>
        <v>23868.3212500673</v>
      </c>
      <c r="M103" s="45">
        <f t="shared" si="39"/>
        <v>18066.2224266468</v>
      </c>
      <c r="N103" s="45">
        <f t="shared" si="39"/>
        <v>0</v>
      </c>
      <c r="Q103" s="6"/>
    </row>
    <row r="104" ht="16.8" spans="2:17">
      <c r="B104" s="4" t="s">
        <v>41</v>
      </c>
      <c r="C104" s="45">
        <f t="shared" ref="C104:N104" si="40">C96+C28</f>
        <v>28164</v>
      </c>
      <c r="D104" s="45">
        <f t="shared" si="40"/>
        <v>28164</v>
      </c>
      <c r="E104" s="45">
        <f t="shared" si="40"/>
        <v>28164</v>
      </c>
      <c r="F104" s="45">
        <f t="shared" si="40"/>
        <v>40951.0855734393</v>
      </c>
      <c r="G104" s="45">
        <f t="shared" si="40"/>
        <v>164491.919187651</v>
      </c>
      <c r="H104" s="45">
        <f t="shared" si="40"/>
        <v>92200.5064943615</v>
      </c>
      <c r="I104" s="45">
        <f t="shared" si="40"/>
        <v>28164</v>
      </c>
      <c r="J104" s="45">
        <f t="shared" si="40"/>
        <v>49511.2426617344</v>
      </c>
      <c r="K104" s="45">
        <f t="shared" si="40"/>
        <v>73396.1687292789</v>
      </c>
      <c r="L104" s="45">
        <f t="shared" si="40"/>
        <v>56805.9855000808</v>
      </c>
      <c r="M104" s="45">
        <f t="shared" si="40"/>
        <v>49843.4669119762</v>
      </c>
      <c r="N104" s="45">
        <f t="shared" si="40"/>
        <v>28164</v>
      </c>
      <c r="Q104" s="6"/>
    </row>
    <row r="105" ht="16.8" spans="2:17">
      <c r="B105" s="4" t="s">
        <v>42</v>
      </c>
      <c r="C105" s="45">
        <f t="shared" ref="C105:N105" si="41">C97+C29</f>
        <v>6276.51360168654</v>
      </c>
      <c r="D105" s="45">
        <f t="shared" si="41"/>
        <v>5128.21320792668</v>
      </c>
      <c r="E105" s="45">
        <f t="shared" si="41"/>
        <v>5104.00958558131</v>
      </c>
      <c r="F105" s="45">
        <f t="shared" si="41"/>
        <v>21311.8092890654</v>
      </c>
      <c r="G105" s="45">
        <f t="shared" si="41"/>
        <v>136327.919187651</v>
      </c>
      <c r="H105" s="45">
        <f t="shared" si="41"/>
        <v>88050.196429747</v>
      </c>
      <c r="I105" s="45">
        <f t="shared" si="41"/>
        <v>0</v>
      </c>
      <c r="J105" s="45">
        <f t="shared" si="41"/>
        <v>21347.2426617344</v>
      </c>
      <c r="K105" s="45">
        <f t="shared" si="41"/>
        <v>45232.168729279</v>
      </c>
      <c r="L105" s="45">
        <f t="shared" si="41"/>
        <v>47736.6425001346</v>
      </c>
      <c r="M105" s="45">
        <f t="shared" si="41"/>
        <v>36132.4448532936</v>
      </c>
      <c r="N105" s="45">
        <f t="shared" si="41"/>
        <v>6338.0402066296</v>
      </c>
      <c r="Q105" s="6"/>
    </row>
    <row r="106" ht="16.8" spans="2:17">
      <c r="B106" s="4" t="s">
        <v>43</v>
      </c>
      <c r="C106" s="45">
        <f t="shared" ref="C106:N106" si="42">C98+C30</f>
        <v>6276.51360168654</v>
      </c>
      <c r="D106" s="45">
        <f t="shared" si="42"/>
        <v>5128.21320792668</v>
      </c>
      <c r="E106" s="45">
        <f t="shared" si="42"/>
        <v>40832.0766846505</v>
      </c>
      <c r="F106" s="45">
        <f t="shared" si="42"/>
        <v>4262.36185781308</v>
      </c>
      <c r="G106" s="45">
        <f t="shared" si="42"/>
        <v>27265.5838375303</v>
      </c>
      <c r="H106" s="45">
        <f t="shared" si="42"/>
        <v>8004.56331179518</v>
      </c>
      <c r="I106" s="45">
        <f t="shared" si="42"/>
        <v>5146.42201982818</v>
      </c>
      <c r="J106" s="45">
        <f t="shared" si="42"/>
        <v>7115.74755391148</v>
      </c>
      <c r="K106" s="45">
        <f t="shared" si="42"/>
        <v>5654.02109115987</v>
      </c>
      <c r="L106" s="45">
        <f t="shared" si="42"/>
        <v>19094.6570000538</v>
      </c>
      <c r="M106" s="45">
        <f t="shared" si="42"/>
        <v>14452.9779413174</v>
      </c>
      <c r="N106" s="45">
        <f t="shared" si="42"/>
        <v>6338.0402066296</v>
      </c>
      <c r="Q106" s="6"/>
    </row>
    <row r="107" ht="16.8" spans="2:17">
      <c r="B107" s="4" t="s">
        <v>44</v>
      </c>
      <c r="C107" s="45">
        <f t="shared" ref="C107:N107" si="43">C99+C31</f>
        <v>102051.816505414</v>
      </c>
      <c r="D107" s="45">
        <f t="shared" si="43"/>
        <v>416906.189094649</v>
      </c>
      <c r="E107" s="45">
        <f t="shared" si="43"/>
        <v>663901.627845949</v>
      </c>
      <c r="F107" s="45">
        <f t="shared" si="43"/>
        <v>346515.436592324</v>
      </c>
      <c r="G107" s="45">
        <f t="shared" si="43"/>
        <v>1329959.21077249</v>
      </c>
      <c r="H107" s="45">
        <f t="shared" si="43"/>
        <v>780892.334319283</v>
      </c>
      <c r="I107" s="45">
        <f t="shared" si="43"/>
        <v>167354.601282406</v>
      </c>
      <c r="J107" s="45">
        <f t="shared" si="43"/>
        <v>231394.372657933</v>
      </c>
      <c r="K107" s="45">
        <f t="shared" si="43"/>
        <v>91930.5142201463</v>
      </c>
      <c r="L107" s="45">
        <f t="shared" si="43"/>
        <v>776165.143607629</v>
      </c>
      <c r="M107" s="45">
        <f t="shared" si="43"/>
        <v>234995.531982563</v>
      </c>
      <c r="N107" s="45">
        <f t="shared" si="43"/>
        <v>206104.394005327</v>
      </c>
      <c r="Q107" s="6"/>
    </row>
    <row r="108" spans="2:17">
      <c r="Q108" s="6"/>
    </row>
    <row r="109" spans="2:17">
      <c r="Q109" s="6"/>
    </row>
    <row r="110" spans="2:17">
      <c r="Q110" s="6"/>
    </row>
    <row r="111" spans="2:17">
      <c r="Q111" s="6"/>
    </row>
    <row r="112" spans="2:17">
      <c r="Q112" s="6"/>
    </row>
    <row r="113" spans="17:17">
      <c r="Q113" s="6"/>
    </row>
    <row r="114" spans="17:17">
      <c r="Q114" s="6"/>
    </row>
    <row r="115" spans="17:17">
      <c r="Q115" s="6"/>
    </row>
    <row r="116" spans="17:17">
      <c r="Q116" s="6"/>
    </row>
    <row r="117" spans="17:17">
      <c r="Q117" s="6"/>
    </row>
    <row r="118" spans="17:17">
      <c r="Q118" s="6"/>
    </row>
    <row r="119" spans="17:17">
      <c r="Q119" s="6"/>
    </row>
    <row r="120" spans="17:17">
      <c r="Q120" s="6"/>
    </row>
    <row r="121" spans="17:17">
      <c r="Q121" s="6"/>
    </row>
    <row r="122" spans="17:17">
      <c r="Q122" s="6"/>
    </row>
    <row r="123" spans="17:17">
      <c r="Q123" s="6"/>
    </row>
    <row r="124" spans="17:17">
      <c r="Q124" s="6"/>
    </row>
    <row r="125" spans="17:17">
      <c r="Q125" s="6"/>
    </row>
    <row r="126" spans="17:17">
      <c r="Q126" s="6"/>
    </row>
    <row r="127" spans="17:17">
      <c r="Q127" s="6"/>
    </row>
    <row r="128" spans="17:17">
      <c r="Q128" s="6"/>
    </row>
    <row r="129" spans="17:17">
      <c r="Q129" s="6"/>
    </row>
    <row r="130" spans="17:17">
      <c r="Q130" s="6"/>
    </row>
    <row r="131" spans="17:17">
      <c r="Q131" s="6"/>
    </row>
    <row r="132" spans="17:17">
      <c r="Q132" s="6"/>
    </row>
    <row r="133" spans="17:17">
      <c r="Q133" s="6"/>
    </row>
    <row r="134" spans="17:17">
      <c r="Q134" s="6"/>
    </row>
    <row r="135" spans="17:17">
      <c r="Q135" s="6"/>
    </row>
    <row r="136" spans="17:17">
      <c r="Q136" s="6"/>
    </row>
    <row r="137" spans="17:17">
      <c r="Q137" s="6"/>
    </row>
    <row r="138" spans="17:17">
      <c r="Q138" s="6"/>
    </row>
    <row r="139" spans="17:17">
      <c r="Q139" s="6"/>
    </row>
    <row r="140" spans="17:17">
      <c r="Q140" s="6"/>
    </row>
    <row r="141" spans="17:17">
      <c r="Q141" s="6"/>
    </row>
    <row r="142" spans="17:17">
      <c r="Q142" s="6"/>
    </row>
    <row r="143" spans="17:17">
      <c r="Q143" s="6"/>
    </row>
    <row r="144" spans="17:17">
      <c r="Q144" s="6"/>
    </row>
    <row r="145" spans="17:17">
      <c r="Q145" s="6"/>
    </row>
    <row r="146" spans="17:17">
      <c r="Q146" s="6"/>
    </row>
    <row r="147" spans="17:17">
      <c r="Q147" s="6"/>
    </row>
    <row r="148" spans="17:17">
      <c r="Q148" s="6"/>
    </row>
    <row r="149" spans="17:17">
      <c r="Q149" s="6"/>
    </row>
    <row r="150" spans="17:17">
      <c r="Q150" s="6"/>
    </row>
    <row r="151" spans="17:17">
      <c r="Q151" s="6"/>
    </row>
    <row r="152" spans="17:17">
      <c r="Q152" s="6"/>
    </row>
    <row r="153" spans="17:17">
      <c r="Q153" s="6"/>
    </row>
    <row r="154" spans="17:17">
      <c r="Q154" s="6"/>
    </row>
    <row r="155" spans="17:17">
      <c r="Q155" s="6"/>
    </row>
    <row r="156" spans="17:17">
      <c r="Q156" s="6"/>
    </row>
    <row r="157" spans="17:17">
      <c r="Q157" s="6"/>
    </row>
    <row r="158" spans="17:17">
      <c r="Q158" s="6"/>
    </row>
    <row r="159" spans="17:17">
      <c r="Q159" s="6"/>
    </row>
    <row r="160" spans="17:17">
      <c r="Q160" s="6"/>
    </row>
    <row r="161" spans="17:17">
      <c r="Q161" s="6"/>
    </row>
    <row r="162" spans="17:17">
      <c r="Q162" s="6"/>
    </row>
    <row r="163" spans="17:17">
      <c r="Q163" s="6"/>
    </row>
    <row r="164" spans="17:17">
      <c r="Q164" s="6"/>
    </row>
    <row r="165" spans="17:17">
      <c r="Q165" s="6"/>
    </row>
    <row r="166" spans="17:17">
      <c r="Q166" s="6"/>
    </row>
    <row r="167" spans="17:17">
      <c r="Q167" s="6"/>
    </row>
    <row r="168" spans="17:17">
      <c r="Q168" s="6"/>
    </row>
    <row r="169" spans="17:17">
      <c r="Q169" s="6"/>
    </row>
    <row r="170" spans="17:17">
      <c r="Q170" s="6"/>
    </row>
    <row r="171" spans="17:17">
      <c r="Q171" s="6"/>
    </row>
    <row r="172" spans="17:17">
      <c r="Q172" s="6"/>
    </row>
    <row r="173" spans="17:17">
      <c r="Q173" s="6"/>
    </row>
    <row r="174" spans="17:17">
      <c r="Q174" s="6"/>
    </row>
    <row r="175" spans="17:17">
      <c r="Q175" s="6"/>
    </row>
    <row r="176" spans="17:17">
      <c r="Q176" s="6"/>
    </row>
    <row r="177" spans="17:17">
      <c r="Q177" s="6"/>
    </row>
    <row r="178" spans="17:17">
      <c r="Q178" s="6"/>
    </row>
    <row r="179" spans="17:17">
      <c r="Q179" s="6"/>
    </row>
    <row r="180" spans="17:17">
      <c r="Q180" s="6"/>
    </row>
    <row r="181" spans="17:17">
      <c r="Q181" s="6"/>
    </row>
    <row r="182" spans="17:17">
      <c r="Q182" s="6"/>
    </row>
    <row r="183" spans="17:17">
      <c r="Q183" s="6"/>
    </row>
    <row r="184" spans="17:17">
      <c r="Q184" s="6"/>
    </row>
    <row r="185" spans="17:17">
      <c r="Q185" s="6"/>
    </row>
    <row r="186" spans="17:17">
      <c r="Q186" s="6"/>
    </row>
    <row r="187" spans="17:17">
      <c r="Q187" s="6"/>
    </row>
    <row r="188" spans="17:17">
      <c r="Q188" s="6"/>
    </row>
    <row r="189" spans="17:17">
      <c r="Q189" s="6"/>
    </row>
    <row r="190" spans="17:17">
      <c r="Q190" s="6"/>
    </row>
    <row r="191" spans="17:17">
      <c r="Q191" s="6"/>
    </row>
    <row r="192" spans="17:17">
      <c r="Q192" s="6"/>
    </row>
    <row r="193" spans="17:17">
      <c r="Q193" s="6"/>
    </row>
    <row r="194" spans="17:17">
      <c r="Q194" s="6"/>
    </row>
    <row r="195" spans="17:17">
      <c r="Q195" s="6"/>
    </row>
    <row r="196" spans="17:17">
      <c r="Q196" s="6"/>
    </row>
    <row r="197" spans="17:17">
      <c r="Q197" s="6"/>
    </row>
    <row r="198" spans="17:17">
      <c r="Q198" s="6"/>
    </row>
    <row r="199" spans="17:17">
      <c r="Q199" s="6"/>
    </row>
    <row r="200" spans="17:17">
      <c r="Q200" s="6"/>
    </row>
    <row r="201" spans="17:17">
      <c r="Q201" s="6"/>
    </row>
  </sheetData>
  <pageMargins left="0.75" right="0.75" top="1" bottom="1" header="0.5" footer="0.5"/>
  <headerFooter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1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4.4"/>
  <cols>
    <col min="1" max="1" width="7" customWidth="1"/>
    <col min="2" max="2" width="30" customWidth="1"/>
    <col min="3" max="15" width="19" customWidth="1"/>
    <col min="16" max="17" width="14" customWidth="1"/>
    <col min="18" max="18" width="11" customWidth="1"/>
    <col min="19" max="20" width="14" customWidth="1"/>
  </cols>
  <sheetData>
    <row r="1" ht="17" spans="1:20">
      <c r="A1" s="6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6"/>
      <c r="S1" s="6"/>
      <c r="T1" s="6"/>
    </row>
    <row r="2" ht="16.8" spans="1:20">
      <c r="A2" s="6"/>
      <c r="B2" s="4" t="s">
        <v>16</v>
      </c>
      <c r="C2" s="36">
        <v>695.23558669749</v>
      </c>
      <c r="D2" s="36">
        <v>634.115974680128</v>
      </c>
      <c r="E2" s="36">
        <v>741.075295710512</v>
      </c>
      <c r="F2" s="36">
        <v>615.016095924703</v>
      </c>
      <c r="G2" s="36">
        <v>1073.41318605492</v>
      </c>
      <c r="H2" s="36">
        <v>928.254107513682</v>
      </c>
      <c r="I2" s="36">
        <v>603.556168671447</v>
      </c>
      <c r="J2" s="36">
        <v>758.647184165503</v>
      </c>
      <c r="K2" s="36">
        <v>836.574689487639</v>
      </c>
      <c r="L2" s="36">
        <v>1108.5569629649</v>
      </c>
      <c r="M2" s="36">
        <v>861.786529444801</v>
      </c>
      <c r="N2" s="36">
        <v>770.107111418758</v>
      </c>
      <c r="O2" s="36">
        <f>SUM(C2:N2)</f>
        <v>9626.33889273448</v>
      </c>
      <c r="P2" s="36"/>
      <c r="Q2" s="6"/>
      <c r="R2" s="6"/>
      <c r="S2" s="6"/>
      <c r="T2" s="6"/>
    </row>
    <row r="3" ht="16.8" spans="1:20">
      <c r="A3" s="32"/>
      <c r="B3" s="8" t="s">
        <v>17</v>
      </c>
      <c r="C3" s="8">
        <v>462808.123836769</v>
      </c>
      <c r="D3" s="8">
        <v>520659.139316365</v>
      </c>
      <c r="E3" s="8">
        <v>347106.092877577</v>
      </c>
      <c r="F3" s="8">
        <v>289255.07739798</v>
      </c>
      <c r="G3" s="8">
        <v>636361.170275557</v>
      </c>
      <c r="H3" s="8">
        <v>578510.154795961</v>
      </c>
      <c r="I3" s="8">
        <v>347106.092877577</v>
      </c>
      <c r="J3" s="8">
        <v>520659.139316365</v>
      </c>
      <c r="K3" s="8">
        <v>347106.092877577</v>
      </c>
      <c r="L3" s="8">
        <v>636361.170275557</v>
      </c>
      <c r="M3" s="8">
        <v>578510.154795961</v>
      </c>
      <c r="N3" s="8">
        <v>520659.139316365</v>
      </c>
      <c r="O3" s="8">
        <f>SUM(C3:N3)</f>
        <v>5785101.54795961</v>
      </c>
      <c r="P3" s="8"/>
      <c r="Q3" s="10" t="s">
        <v>83</v>
      </c>
      <c r="R3" s="6"/>
      <c r="S3" s="6"/>
      <c r="T3" s="6"/>
    </row>
    <row r="4" ht="16.8" spans="1:20">
      <c r="A4" s="32"/>
      <c r="B4" s="8" t="s">
        <v>84</v>
      </c>
      <c r="C4" s="8">
        <v>323965.686685738</v>
      </c>
      <c r="D4" s="8">
        <v>364461.397521455</v>
      </c>
      <c r="E4" s="8">
        <v>242974.265014304</v>
      </c>
      <c r="F4" s="8">
        <v>202478.554178586</v>
      </c>
      <c r="G4" s="8">
        <v>445452.81919289</v>
      </c>
      <c r="H4" s="8">
        <v>404957.108357173</v>
      </c>
      <c r="I4" s="8">
        <v>242974.265014304</v>
      </c>
      <c r="J4" s="8">
        <v>364461.397521455</v>
      </c>
      <c r="K4" s="8">
        <v>242974.265014304</v>
      </c>
      <c r="L4" s="8">
        <v>445452.81919289</v>
      </c>
      <c r="M4" s="8">
        <v>404957.108357173</v>
      </c>
      <c r="N4" s="8">
        <v>364461.397521455</v>
      </c>
      <c r="O4" s="8">
        <f>SUM(C4:N4)</f>
        <v>4049571.08357173</v>
      </c>
      <c r="P4" s="8"/>
      <c r="Q4" s="10" t="s">
        <v>83</v>
      </c>
      <c r="R4" s="6"/>
      <c r="S4" s="6"/>
      <c r="T4" s="6"/>
    </row>
    <row r="5" ht="16.8" spans="1:20">
      <c r="A5" s="32"/>
      <c r="B5" s="8" t="s">
        <v>18</v>
      </c>
      <c r="C5" s="8">
        <f t="shared" ref="C5:N5" si="0">C4*15%</f>
        <v>48594.8530028607</v>
      </c>
      <c r="D5" s="8">
        <f t="shared" si="0"/>
        <v>54669.2096282183</v>
      </c>
      <c r="E5" s="8">
        <f t="shared" si="0"/>
        <v>36446.1397521455</v>
      </c>
      <c r="F5" s="8">
        <f t="shared" si="0"/>
        <v>30371.7831267879</v>
      </c>
      <c r="G5" s="8">
        <f t="shared" si="0"/>
        <v>66817.9228789335</v>
      </c>
      <c r="H5" s="8">
        <f t="shared" si="0"/>
        <v>60743.5662535759</v>
      </c>
      <c r="I5" s="8">
        <f t="shared" si="0"/>
        <v>36446.1397521455</v>
      </c>
      <c r="J5" s="8">
        <f t="shared" si="0"/>
        <v>54669.2096282183</v>
      </c>
      <c r="K5" s="8">
        <f t="shared" si="0"/>
        <v>36446.1397521455</v>
      </c>
      <c r="L5" s="8">
        <f t="shared" si="0"/>
        <v>66817.9228789335</v>
      </c>
      <c r="M5" s="8">
        <f t="shared" si="0"/>
        <v>60743.5662535759</v>
      </c>
      <c r="N5" s="8">
        <f t="shared" si="0"/>
        <v>54669.2096282183</v>
      </c>
      <c r="O5" s="8">
        <f>SUM(C5:N5)</f>
        <v>607435.662535759</v>
      </c>
      <c r="P5" s="8"/>
      <c r="Q5" s="11" t="s">
        <v>83</v>
      </c>
      <c r="R5" s="6"/>
      <c r="S5" s="6"/>
      <c r="T5" s="6"/>
    </row>
    <row r="6" ht="16.8" spans="1:20">
      <c r="A6" s="32"/>
      <c r="B6" s="12" t="s">
        <v>85</v>
      </c>
      <c r="C6" s="12">
        <f t="shared" ref="C6:N6" si="1">C3*0.85</f>
        <v>393386.905261254</v>
      </c>
      <c r="D6" s="12">
        <f t="shared" si="1"/>
        <v>442560.26841891</v>
      </c>
      <c r="E6" s="12">
        <f t="shared" si="1"/>
        <v>295040.17894594</v>
      </c>
      <c r="F6" s="12">
        <f t="shared" si="1"/>
        <v>245866.815788283</v>
      </c>
      <c r="G6" s="12">
        <f t="shared" si="1"/>
        <v>540906.994734223</v>
      </c>
      <c r="H6" s="12">
        <f t="shared" si="1"/>
        <v>491733.631576567</v>
      </c>
      <c r="I6" s="12">
        <f t="shared" si="1"/>
        <v>295040.17894594</v>
      </c>
      <c r="J6" s="12">
        <f t="shared" si="1"/>
        <v>442560.26841891</v>
      </c>
      <c r="K6" s="12">
        <f t="shared" si="1"/>
        <v>295040.17894594</v>
      </c>
      <c r="L6" s="12">
        <f t="shared" si="1"/>
        <v>540906.994734223</v>
      </c>
      <c r="M6" s="12">
        <f t="shared" si="1"/>
        <v>491733.631576567</v>
      </c>
      <c r="N6" s="12">
        <f t="shared" si="1"/>
        <v>442560.26841891</v>
      </c>
      <c r="O6" s="12">
        <f>SUM(C6:N6)</f>
        <v>4917336.31576567</v>
      </c>
      <c r="P6" s="12"/>
      <c r="Q6" s="11" t="s">
        <v>83</v>
      </c>
      <c r="R6" s="6"/>
      <c r="S6" s="6"/>
      <c r="T6" s="6"/>
    </row>
    <row r="7" ht="16.8" spans="1:20">
      <c r="A7" s="32"/>
      <c r="B7" s="14" t="s">
        <v>20</v>
      </c>
      <c r="C7" s="14">
        <f t="shared" ref="C7:O7" si="2">(C3-C4)/C3</f>
        <v>0.300000000000001</v>
      </c>
      <c r="D7" s="14">
        <f t="shared" si="2"/>
        <v>0.3</v>
      </c>
      <c r="E7" s="14">
        <f t="shared" si="2"/>
        <v>0.3</v>
      </c>
      <c r="F7" s="14">
        <f t="shared" si="2"/>
        <v>0.3</v>
      </c>
      <c r="G7" s="14">
        <f t="shared" si="2"/>
        <v>0.3</v>
      </c>
      <c r="H7" s="14">
        <f t="shared" si="2"/>
        <v>0.3</v>
      </c>
      <c r="I7" s="14">
        <f t="shared" si="2"/>
        <v>0.3</v>
      </c>
      <c r="J7" s="14">
        <f t="shared" si="2"/>
        <v>0.3</v>
      </c>
      <c r="K7" s="14">
        <f t="shared" si="2"/>
        <v>0.3</v>
      </c>
      <c r="L7" s="14">
        <f t="shared" si="2"/>
        <v>0.3</v>
      </c>
      <c r="M7" s="14">
        <f t="shared" si="2"/>
        <v>0.3</v>
      </c>
      <c r="N7" s="14">
        <f t="shared" si="2"/>
        <v>0.3</v>
      </c>
      <c r="O7" s="14">
        <f t="shared" si="2"/>
        <v>0.3</v>
      </c>
      <c r="P7" s="14"/>
      <c r="Q7" s="6" t="s">
        <v>83</v>
      </c>
      <c r="R7" s="6"/>
      <c r="S7" s="6"/>
      <c r="T7" s="6"/>
    </row>
    <row r="8" ht="16.8" spans="1:20">
      <c r="A8" s="32"/>
      <c r="B8" s="12" t="s">
        <v>86</v>
      </c>
      <c r="C8" s="12">
        <f t="shared" ref="C8:N8" si="3">C4-C5</f>
        <v>275370.833682877</v>
      </c>
      <c r="D8" s="12">
        <f t="shared" si="3"/>
        <v>309792.187893237</v>
      </c>
      <c r="E8" s="12">
        <f t="shared" si="3"/>
        <v>206528.125262158</v>
      </c>
      <c r="F8" s="12">
        <f t="shared" si="3"/>
        <v>172106.771051798</v>
      </c>
      <c r="G8" s="12">
        <f t="shared" si="3"/>
        <v>378634.896313956</v>
      </c>
      <c r="H8" s="12">
        <f t="shared" si="3"/>
        <v>344213.542103597</v>
      </c>
      <c r="I8" s="12">
        <f t="shared" si="3"/>
        <v>206528.125262158</v>
      </c>
      <c r="J8" s="12">
        <f t="shared" si="3"/>
        <v>309792.187893237</v>
      </c>
      <c r="K8" s="12">
        <f t="shared" si="3"/>
        <v>206528.125262158</v>
      </c>
      <c r="L8" s="12">
        <f t="shared" si="3"/>
        <v>378634.896313956</v>
      </c>
      <c r="M8" s="12">
        <f t="shared" si="3"/>
        <v>344213.542103597</v>
      </c>
      <c r="N8" s="12">
        <f t="shared" si="3"/>
        <v>309792.187893237</v>
      </c>
      <c r="O8" s="12">
        <f>SUM(C8:N8)</f>
        <v>3442135.42103597</v>
      </c>
      <c r="P8" s="12"/>
      <c r="Q8" s="6" t="s">
        <v>83</v>
      </c>
      <c r="R8" s="6"/>
      <c r="S8" s="6"/>
      <c r="T8" s="6"/>
    </row>
    <row r="9" ht="16.8" spans="1:20">
      <c r="A9" s="6"/>
      <c r="B9" s="4"/>
      <c r="C9" s="5">
        <f t="shared" ref="C9:O9" si="4">C10-C14-C15</f>
        <v>0</v>
      </c>
      <c r="D9" s="5">
        <f t="shared" si="4"/>
        <v>0</v>
      </c>
      <c r="E9" s="5">
        <f t="shared" si="4"/>
        <v>0</v>
      </c>
      <c r="F9" s="5">
        <f t="shared" si="4"/>
        <v>0</v>
      </c>
      <c r="G9" s="5">
        <f t="shared" si="4"/>
        <v>0</v>
      </c>
      <c r="H9" s="5">
        <f t="shared" si="4"/>
        <v>0</v>
      </c>
      <c r="I9" s="5">
        <f t="shared" si="4"/>
        <v>0</v>
      </c>
      <c r="J9" s="5">
        <f t="shared" si="4"/>
        <v>0</v>
      </c>
      <c r="K9" s="5">
        <f t="shared" si="4"/>
        <v>0</v>
      </c>
      <c r="L9" s="5">
        <f t="shared" si="4"/>
        <v>0</v>
      </c>
      <c r="M9" s="5">
        <f t="shared" si="4"/>
        <v>0</v>
      </c>
      <c r="N9" s="5">
        <f t="shared" si="4"/>
        <v>0</v>
      </c>
      <c r="O9" s="5">
        <f t="shared" si="4"/>
        <v>0</v>
      </c>
      <c r="P9" s="36"/>
      <c r="Q9" s="6"/>
      <c r="R9" s="6"/>
      <c r="S9" s="6"/>
      <c r="T9" s="6"/>
    </row>
    <row r="10" ht="16.8" spans="1:20">
      <c r="A10" s="32"/>
      <c r="B10" s="12" t="s">
        <v>22</v>
      </c>
      <c r="C10" s="12">
        <v>353269.115632187</v>
      </c>
      <c r="D10" s="12">
        <v>397427.75508621</v>
      </c>
      <c r="E10" s="12">
        <v>264951.83672414</v>
      </c>
      <c r="F10" s="12">
        <v>220793.197270117</v>
      </c>
      <c r="G10" s="12">
        <v>485745.033994257</v>
      </c>
      <c r="H10" s="12">
        <v>441586.394540233</v>
      </c>
      <c r="I10" s="12">
        <v>264951.83672414</v>
      </c>
      <c r="J10" s="12">
        <v>397427.75508621</v>
      </c>
      <c r="K10" s="12">
        <v>264951.83672414</v>
      </c>
      <c r="L10" s="12">
        <v>485745.033994257</v>
      </c>
      <c r="M10" s="12">
        <v>441586.394540233</v>
      </c>
      <c r="N10" s="12">
        <v>397427.75508621</v>
      </c>
      <c r="O10" s="12">
        <f t="shared" ref="O10:O16" si="5">SUM(C10:N10)</f>
        <v>4415863.94540234</v>
      </c>
      <c r="P10" s="12"/>
      <c r="Q10" s="6"/>
      <c r="R10" s="6"/>
      <c r="S10" s="6"/>
      <c r="T10" s="6"/>
    </row>
    <row r="11" ht="16.8" spans="1:20">
      <c r="A11" s="6"/>
      <c r="B11" s="17" t="s">
        <v>23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>
        <f t="shared" si="5"/>
        <v>0</v>
      </c>
      <c r="P11" s="37"/>
      <c r="Q11" s="6" t="s">
        <v>88</v>
      </c>
      <c r="R11" s="6"/>
      <c r="S11" s="6"/>
      <c r="T11" s="6"/>
    </row>
    <row r="12" ht="16.8" spans="1:20">
      <c r="A12" s="6"/>
      <c r="B12" s="17" t="s">
        <v>25</v>
      </c>
      <c r="C12" s="37">
        <f t="shared" ref="C12:N12" si="6">C4*15%</f>
        <v>48594.8530028607</v>
      </c>
      <c r="D12" s="37">
        <f t="shared" si="6"/>
        <v>54669.2096282183</v>
      </c>
      <c r="E12" s="37">
        <f t="shared" si="6"/>
        <v>36446.1397521455</v>
      </c>
      <c r="F12" s="37">
        <f t="shared" si="6"/>
        <v>30371.7831267879</v>
      </c>
      <c r="G12" s="37">
        <f t="shared" si="6"/>
        <v>66817.9228789335</v>
      </c>
      <c r="H12" s="37">
        <f t="shared" si="6"/>
        <v>60743.5662535759</v>
      </c>
      <c r="I12" s="37">
        <f t="shared" si="6"/>
        <v>36446.1397521455</v>
      </c>
      <c r="J12" s="37">
        <f t="shared" si="6"/>
        <v>54669.2096282183</v>
      </c>
      <c r="K12" s="37">
        <f t="shared" si="6"/>
        <v>36446.1397521455</v>
      </c>
      <c r="L12" s="37">
        <f t="shared" si="6"/>
        <v>66817.9228789335</v>
      </c>
      <c r="M12" s="37">
        <f t="shared" si="6"/>
        <v>60743.5662535759</v>
      </c>
      <c r="N12" s="37">
        <f t="shared" si="6"/>
        <v>54669.2096282183</v>
      </c>
      <c r="O12" s="37">
        <f t="shared" si="5"/>
        <v>607435.662535759</v>
      </c>
      <c r="P12" s="39">
        <v>0.15</v>
      </c>
      <c r="Q12" s="6" t="s">
        <v>83</v>
      </c>
      <c r="R12" s="20">
        <f>O12/$O$10</f>
        <v>0.137557603686636</v>
      </c>
      <c r="S12" s="6"/>
      <c r="T12" s="6"/>
    </row>
    <row r="13" ht="16.8" spans="1:20">
      <c r="A13" s="6"/>
      <c r="B13" s="17" t="s">
        <v>27</v>
      </c>
      <c r="C13" s="37">
        <v>29303.4289464487</v>
      </c>
      <c r="D13" s="37">
        <v>32966.3575647548</v>
      </c>
      <c r="E13" s="37">
        <v>21977.5717098365</v>
      </c>
      <c r="F13" s="37">
        <v>18314.6430915304</v>
      </c>
      <c r="G13" s="37">
        <v>40292.2148013669</v>
      </c>
      <c r="H13" s="37">
        <v>36629.2861830608</v>
      </c>
      <c r="I13" s="37">
        <v>21977.5717098365</v>
      </c>
      <c r="J13" s="37">
        <v>32966.3575647548</v>
      </c>
      <c r="K13" s="37">
        <v>21977.5717098365</v>
      </c>
      <c r="L13" s="37">
        <v>40292.2148013669</v>
      </c>
      <c r="M13" s="37">
        <v>36629.2861830608</v>
      </c>
      <c r="N13" s="37">
        <v>32966.3575647548</v>
      </c>
      <c r="O13" s="37">
        <f t="shared" si="5"/>
        <v>366292.861830608</v>
      </c>
      <c r="P13" s="37"/>
      <c r="Q13" s="6" t="s">
        <v>83</v>
      </c>
      <c r="R13" s="20">
        <f>O13/$O$10</f>
        <v>0.0829493087557603</v>
      </c>
      <c r="S13" s="6"/>
      <c r="T13" s="6"/>
    </row>
    <row r="14" ht="16.8" spans="1:20">
      <c r="A14" s="6"/>
      <c r="B14" s="21" t="s">
        <v>28</v>
      </c>
      <c r="C14" s="40">
        <f t="shared" ref="C14:N14" si="7">SUM(C11:C13)</f>
        <v>77898.2819493094</v>
      </c>
      <c r="D14" s="40">
        <f t="shared" si="7"/>
        <v>87635.567192973</v>
      </c>
      <c r="E14" s="40">
        <f t="shared" si="7"/>
        <v>58423.711461982</v>
      </c>
      <c r="F14" s="40">
        <f t="shared" si="7"/>
        <v>48686.4262183184</v>
      </c>
      <c r="G14" s="40">
        <f t="shared" si="7"/>
        <v>107110.1376803</v>
      </c>
      <c r="H14" s="40">
        <f t="shared" si="7"/>
        <v>97372.8524366367</v>
      </c>
      <c r="I14" s="40">
        <f t="shared" si="7"/>
        <v>58423.711461982</v>
      </c>
      <c r="J14" s="40">
        <f t="shared" si="7"/>
        <v>87635.567192973</v>
      </c>
      <c r="K14" s="40">
        <f t="shared" si="7"/>
        <v>58423.711461982</v>
      </c>
      <c r="L14" s="40">
        <f t="shared" si="7"/>
        <v>107110.1376803</v>
      </c>
      <c r="M14" s="40">
        <f t="shared" si="7"/>
        <v>97372.8524366367</v>
      </c>
      <c r="N14" s="40">
        <f t="shared" si="7"/>
        <v>87635.567192973</v>
      </c>
      <c r="O14" s="40">
        <f t="shared" si="5"/>
        <v>973728.524366367</v>
      </c>
      <c r="P14" s="40"/>
      <c r="Q14" s="6"/>
      <c r="R14" s="6"/>
      <c r="S14" s="6"/>
      <c r="T14" s="6"/>
    </row>
    <row r="15" ht="16.8" spans="1:20">
      <c r="A15" s="32"/>
      <c r="B15" s="12" t="s">
        <v>29</v>
      </c>
      <c r="C15" s="12">
        <f t="shared" ref="C15:N15" si="8">C8</f>
        <v>275370.833682877</v>
      </c>
      <c r="D15" s="12">
        <f t="shared" si="8"/>
        <v>309792.187893237</v>
      </c>
      <c r="E15" s="12">
        <f t="shared" si="8"/>
        <v>206528.125262158</v>
      </c>
      <c r="F15" s="12">
        <f t="shared" si="8"/>
        <v>172106.771051798</v>
      </c>
      <c r="G15" s="12">
        <f t="shared" si="8"/>
        <v>378634.896313956</v>
      </c>
      <c r="H15" s="12">
        <f t="shared" si="8"/>
        <v>344213.542103597</v>
      </c>
      <c r="I15" s="12">
        <f t="shared" si="8"/>
        <v>206528.125262158</v>
      </c>
      <c r="J15" s="12">
        <f t="shared" si="8"/>
        <v>309792.187893237</v>
      </c>
      <c r="K15" s="12">
        <f t="shared" si="8"/>
        <v>206528.125262158</v>
      </c>
      <c r="L15" s="12">
        <f t="shared" si="8"/>
        <v>378634.896313956</v>
      </c>
      <c r="M15" s="12">
        <f t="shared" si="8"/>
        <v>344213.542103597</v>
      </c>
      <c r="N15" s="12">
        <f t="shared" si="8"/>
        <v>309792.187893237</v>
      </c>
      <c r="O15" s="12">
        <f t="shared" si="5"/>
        <v>3442135.42103597</v>
      </c>
      <c r="P15" s="12"/>
      <c r="Q15" s="6"/>
      <c r="R15" s="6"/>
      <c r="S15" s="6"/>
      <c r="T15" s="6"/>
    </row>
    <row r="16" ht="16.8" spans="1:20">
      <c r="A16" s="32"/>
      <c r="B16" s="12" t="s">
        <v>30</v>
      </c>
      <c r="C16" s="12">
        <f t="shared" ref="C16:N16" si="9">+C8/1.13</f>
        <v>243691.003259184</v>
      </c>
      <c r="D16" s="12">
        <f t="shared" si="9"/>
        <v>274152.378666581</v>
      </c>
      <c r="E16" s="12">
        <f t="shared" si="9"/>
        <v>182768.252444388</v>
      </c>
      <c r="F16" s="12">
        <f t="shared" si="9"/>
        <v>152306.87703699</v>
      </c>
      <c r="G16" s="12">
        <f t="shared" si="9"/>
        <v>335075.129481377</v>
      </c>
      <c r="H16" s="12">
        <f t="shared" si="9"/>
        <v>304613.754073979</v>
      </c>
      <c r="I16" s="12">
        <f t="shared" si="9"/>
        <v>182768.252444388</v>
      </c>
      <c r="J16" s="12">
        <f t="shared" si="9"/>
        <v>274152.378666581</v>
      </c>
      <c r="K16" s="12">
        <f t="shared" si="9"/>
        <v>182768.252444388</v>
      </c>
      <c r="L16" s="12">
        <f t="shared" si="9"/>
        <v>335075.129481377</v>
      </c>
      <c r="M16" s="12">
        <f t="shared" si="9"/>
        <v>304613.754073979</v>
      </c>
      <c r="N16" s="12">
        <f t="shared" si="9"/>
        <v>274152.378666581</v>
      </c>
      <c r="O16" s="12">
        <f t="shared" si="5"/>
        <v>3046137.54073979</v>
      </c>
      <c r="P16" s="12"/>
      <c r="Q16" s="6"/>
      <c r="R16" s="6"/>
      <c r="S16" s="6"/>
      <c r="T16" s="6"/>
    </row>
    <row r="17" spans="1:20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ht="16.8" spans="1:20">
      <c r="A18" s="6"/>
      <c r="B18" s="17" t="s">
        <v>31</v>
      </c>
      <c r="C18" s="37">
        <f t="shared" ref="C18:N18" si="10">C64*C65</f>
        <v>119282.292386364</v>
      </c>
      <c r="D18" s="37">
        <f t="shared" si="10"/>
        <v>133622.443978219</v>
      </c>
      <c r="E18" s="37">
        <f t="shared" si="10"/>
        <v>93985.0977970846</v>
      </c>
      <c r="F18" s="37">
        <f t="shared" si="10"/>
        <v>78532.7535135517</v>
      </c>
      <c r="G18" s="37">
        <f t="shared" si="10"/>
        <v>153908.44616375</v>
      </c>
      <c r="H18" s="37">
        <f t="shared" si="10"/>
        <v>142133.376997311</v>
      </c>
      <c r="I18" s="37">
        <f t="shared" si="10"/>
        <v>78777.7098847694</v>
      </c>
      <c r="J18" s="37">
        <f t="shared" si="10"/>
        <v>117843.124603938</v>
      </c>
      <c r="K18" s="37">
        <f t="shared" si="10"/>
        <v>77203.8935151223</v>
      </c>
      <c r="L18" s="37">
        <f t="shared" si="10"/>
        <v>139257.089311656</v>
      </c>
      <c r="M18" s="37">
        <f t="shared" si="10"/>
        <v>123681.456290178</v>
      </c>
      <c r="N18" s="37">
        <f t="shared" si="10"/>
        <v>110211.491921243</v>
      </c>
      <c r="O18" s="37">
        <f>SUM(C18:N18)</f>
        <v>1368439.17636319</v>
      </c>
      <c r="P18" s="38">
        <f>O18/O16</f>
        <v>0.449237487822314</v>
      </c>
      <c r="Q18" s="6"/>
      <c r="R18" s="6"/>
      <c r="S18" s="6"/>
      <c r="T18" s="6"/>
    </row>
    <row r="19" ht="16.8" spans="1:20">
      <c r="A19" s="6"/>
      <c r="B19" s="21" t="s">
        <v>32</v>
      </c>
      <c r="C19" s="40">
        <f t="shared" ref="C19:N19" si="11">C16-C18</f>
        <v>124408.71087282</v>
      </c>
      <c r="D19" s="40">
        <f t="shared" si="11"/>
        <v>140529.934688362</v>
      </c>
      <c r="E19" s="40">
        <f t="shared" si="11"/>
        <v>88783.1546473031</v>
      </c>
      <c r="F19" s="40">
        <f t="shared" si="11"/>
        <v>73774.123523438</v>
      </c>
      <c r="G19" s="40">
        <f t="shared" si="11"/>
        <v>181166.683317628</v>
      </c>
      <c r="H19" s="40">
        <f t="shared" si="11"/>
        <v>162480.377076669</v>
      </c>
      <c r="I19" s="40">
        <f t="shared" si="11"/>
        <v>103990.542559618</v>
      </c>
      <c r="J19" s="40">
        <f t="shared" si="11"/>
        <v>156309.254062644</v>
      </c>
      <c r="K19" s="40">
        <f t="shared" si="11"/>
        <v>105564.358929265</v>
      </c>
      <c r="L19" s="40">
        <f t="shared" si="11"/>
        <v>195818.040169722</v>
      </c>
      <c r="M19" s="40">
        <f t="shared" si="11"/>
        <v>180932.297783801</v>
      </c>
      <c r="N19" s="40">
        <f t="shared" si="11"/>
        <v>163940.886745338</v>
      </c>
      <c r="O19" s="40">
        <f>SUM(C19:N19)</f>
        <v>1677698.36437661</v>
      </c>
      <c r="P19" s="41">
        <f>O19/$O$16</f>
        <v>0.550762512177686</v>
      </c>
      <c r="Q19" s="6"/>
      <c r="R19" s="6"/>
      <c r="S19" s="6"/>
      <c r="T19" s="6"/>
    </row>
    <row r="20" ht="16.8" spans="1:20">
      <c r="A20" s="36"/>
      <c r="B20" s="4" t="s">
        <v>33</v>
      </c>
      <c r="C20" s="36">
        <f t="shared" ref="C20:N20" si="12">C16*2.5%</f>
        <v>6092.27508147959</v>
      </c>
      <c r="D20" s="36">
        <f t="shared" si="12"/>
        <v>6853.80946666454</v>
      </c>
      <c r="E20" s="36">
        <f t="shared" si="12"/>
        <v>4569.20631110969</v>
      </c>
      <c r="F20" s="36">
        <f t="shared" si="12"/>
        <v>3807.67192592474</v>
      </c>
      <c r="G20" s="36">
        <f t="shared" si="12"/>
        <v>8376.87823703443</v>
      </c>
      <c r="H20" s="36">
        <f t="shared" si="12"/>
        <v>7615.34385184948</v>
      </c>
      <c r="I20" s="36">
        <f t="shared" si="12"/>
        <v>4569.20631110969</v>
      </c>
      <c r="J20" s="36">
        <f t="shared" si="12"/>
        <v>6853.80946666454</v>
      </c>
      <c r="K20" s="36">
        <f t="shared" si="12"/>
        <v>4569.20631110969</v>
      </c>
      <c r="L20" s="36">
        <f t="shared" si="12"/>
        <v>8376.87823703443</v>
      </c>
      <c r="M20" s="36">
        <f t="shared" si="12"/>
        <v>7615.34385184948</v>
      </c>
      <c r="N20" s="36">
        <f t="shared" si="12"/>
        <v>6853.80946666454</v>
      </c>
      <c r="O20" s="36">
        <f>SUM(C20:N20)</f>
        <v>76153.4385184948</v>
      </c>
      <c r="P20" s="42">
        <v>0.025</v>
      </c>
      <c r="Q20" s="6"/>
      <c r="R20" s="6"/>
      <c r="S20" s="6"/>
      <c r="T20" s="6"/>
    </row>
    <row r="21" ht="16.8" spans="1:20">
      <c r="A21" s="6"/>
      <c r="B21" s="21" t="s">
        <v>35</v>
      </c>
      <c r="C21" s="40">
        <f t="shared" ref="C21:N21" si="13">SUM(C18,C20)</f>
        <v>125374.567467843</v>
      </c>
      <c r="D21" s="40">
        <f t="shared" si="13"/>
        <v>140476.253444884</v>
      </c>
      <c r="E21" s="40">
        <f t="shared" si="13"/>
        <v>98554.3041081943</v>
      </c>
      <c r="F21" s="40">
        <f t="shared" si="13"/>
        <v>82340.4254394764</v>
      </c>
      <c r="G21" s="40">
        <f t="shared" si="13"/>
        <v>162285.324400784</v>
      </c>
      <c r="H21" s="40">
        <f t="shared" si="13"/>
        <v>149748.72084916</v>
      </c>
      <c r="I21" s="40">
        <f t="shared" si="13"/>
        <v>83346.9161958791</v>
      </c>
      <c r="J21" s="40">
        <f t="shared" si="13"/>
        <v>124696.934070602</v>
      </c>
      <c r="K21" s="40">
        <f t="shared" si="13"/>
        <v>81773.099826232</v>
      </c>
      <c r="L21" s="40">
        <f t="shared" si="13"/>
        <v>147633.96754869</v>
      </c>
      <c r="M21" s="40">
        <f t="shared" si="13"/>
        <v>131296.800142028</v>
      </c>
      <c r="N21" s="40">
        <f t="shared" si="13"/>
        <v>117065.301387908</v>
      </c>
      <c r="O21" s="40">
        <f>SUM(C21:N21)</f>
        <v>1444592.61488168</v>
      </c>
      <c r="P21" s="41">
        <f>O21/$O$16</f>
        <v>0.474237487822314</v>
      </c>
      <c r="Q21" s="6"/>
      <c r="R21" s="6"/>
      <c r="S21" s="6"/>
      <c r="T21" s="6"/>
    </row>
    <row r="22" ht="16.8" spans="1:20">
      <c r="A22" s="32"/>
      <c r="B22" s="12" t="s">
        <v>36</v>
      </c>
      <c r="C22" s="12">
        <f t="shared" ref="C22:N22" si="14">C16-C21</f>
        <v>118316.43579134</v>
      </c>
      <c r="D22" s="12">
        <f t="shared" si="14"/>
        <v>133676.125221698</v>
      </c>
      <c r="E22" s="12">
        <f t="shared" si="14"/>
        <v>84213.9483361934</v>
      </c>
      <c r="F22" s="12">
        <f t="shared" si="14"/>
        <v>69966.4515975133</v>
      </c>
      <c r="G22" s="12">
        <f t="shared" si="14"/>
        <v>172789.805080593</v>
      </c>
      <c r="H22" s="12">
        <f t="shared" si="14"/>
        <v>154865.033224819</v>
      </c>
      <c r="I22" s="12">
        <f t="shared" si="14"/>
        <v>99421.3362485085</v>
      </c>
      <c r="J22" s="12">
        <f t="shared" si="14"/>
        <v>149455.444595979</v>
      </c>
      <c r="K22" s="12">
        <f t="shared" si="14"/>
        <v>100995.152618156</v>
      </c>
      <c r="L22" s="12">
        <f t="shared" si="14"/>
        <v>187441.161932687</v>
      </c>
      <c r="M22" s="12">
        <f t="shared" si="14"/>
        <v>173316.953931951</v>
      </c>
      <c r="N22" s="12">
        <f t="shared" si="14"/>
        <v>157087.077278674</v>
      </c>
      <c r="O22" s="12">
        <f>SUM(C22:N22)</f>
        <v>1601544.92585811</v>
      </c>
      <c r="P22" s="43">
        <f>O22/$O$16</f>
        <v>0.525762512177686</v>
      </c>
      <c r="Q22" s="6"/>
      <c r="R22" s="6"/>
      <c r="S22" s="6"/>
      <c r="T22" s="6"/>
    </row>
    <row r="23" ht="16.8" spans="1:20">
      <c r="A23" s="6"/>
      <c r="B23" s="14" t="s">
        <v>37</v>
      </c>
      <c r="C23" s="44">
        <f t="shared" ref="C23:O23" si="15">C19/C16</f>
        <v>0.510518276050191</v>
      </c>
      <c r="D23" s="44">
        <f t="shared" si="15"/>
        <v>0.512597904026476</v>
      </c>
      <c r="E23" s="44">
        <f t="shared" si="15"/>
        <v>0.485769018743109</v>
      </c>
      <c r="F23" s="44">
        <f t="shared" si="15"/>
        <v>0.484378151260504</v>
      </c>
      <c r="G23" s="44">
        <f t="shared" si="15"/>
        <v>0.54067481402763</v>
      </c>
      <c r="H23" s="44">
        <f t="shared" si="15"/>
        <v>0.533398032438181</v>
      </c>
      <c r="I23" s="44">
        <f t="shared" si="15"/>
        <v>0.56897486937049</v>
      </c>
      <c r="J23" s="44">
        <f t="shared" si="15"/>
        <v>0.570154652032926</v>
      </c>
      <c r="K23" s="44">
        <f t="shared" si="15"/>
        <v>0.577585863613738</v>
      </c>
      <c r="L23" s="44">
        <f t="shared" si="15"/>
        <v>0.584400401404917</v>
      </c>
      <c r="M23" s="44">
        <f t="shared" si="15"/>
        <v>0.59397284385215</v>
      </c>
      <c r="N23" s="44">
        <f t="shared" si="15"/>
        <v>0.597991845056065</v>
      </c>
      <c r="O23" s="44">
        <f t="shared" si="15"/>
        <v>0.550762512177686</v>
      </c>
      <c r="P23" s="42"/>
      <c r="Q23" s="6"/>
      <c r="R23" s="6"/>
      <c r="S23" s="6"/>
      <c r="T23" s="6"/>
    </row>
    <row r="24" ht="16.8" spans="1:20">
      <c r="A24" s="6"/>
      <c r="B24" s="14" t="s">
        <v>38</v>
      </c>
      <c r="C24" s="44">
        <f t="shared" ref="C24:O24" si="16">IFERROR(1-C21/C16,0)</f>
        <v>0.485518276050191</v>
      </c>
      <c r="D24" s="44">
        <f t="shared" si="16"/>
        <v>0.487597904026476</v>
      </c>
      <c r="E24" s="44">
        <f t="shared" si="16"/>
        <v>0.460769018743109</v>
      </c>
      <c r="F24" s="44">
        <f t="shared" si="16"/>
        <v>0.459378151260504</v>
      </c>
      <c r="G24" s="44">
        <f t="shared" si="16"/>
        <v>0.51567481402763</v>
      </c>
      <c r="H24" s="44">
        <f t="shared" si="16"/>
        <v>0.508398032438181</v>
      </c>
      <c r="I24" s="44">
        <f t="shared" si="16"/>
        <v>0.54397486937049</v>
      </c>
      <c r="J24" s="44">
        <f t="shared" si="16"/>
        <v>0.545154652032926</v>
      </c>
      <c r="K24" s="44">
        <f t="shared" si="16"/>
        <v>0.552585863613738</v>
      </c>
      <c r="L24" s="44">
        <f t="shared" si="16"/>
        <v>0.559400401404917</v>
      </c>
      <c r="M24" s="44">
        <f t="shared" si="16"/>
        <v>0.56897284385215</v>
      </c>
      <c r="N24" s="44">
        <f t="shared" si="16"/>
        <v>0.572991845056065</v>
      </c>
      <c r="O24" s="44">
        <f t="shared" si="16"/>
        <v>0.525762512177686</v>
      </c>
      <c r="P24" s="42"/>
      <c r="Q24" s="6"/>
      <c r="R24" s="6"/>
      <c r="S24" s="6"/>
      <c r="T24" s="6"/>
    </row>
    <row r="25" ht="16.8" spans="1:20">
      <c r="A25" s="6"/>
      <c r="B25" s="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42"/>
      <c r="Q25" s="6"/>
      <c r="R25" s="6"/>
      <c r="S25" s="6"/>
      <c r="T25" s="6"/>
    </row>
    <row r="26" ht="16.8" spans="1:20">
      <c r="A26" s="6"/>
      <c r="B26" s="17" t="s">
        <v>39</v>
      </c>
      <c r="C26" s="37">
        <f t="shared" ref="C26:N26" si="17">SUM(C27:C31)</f>
        <v>3052.83569049501</v>
      </c>
      <c r="D26" s="37">
        <f t="shared" si="17"/>
        <v>10813.9066622789</v>
      </c>
      <c r="E26" s="37">
        <f t="shared" si="17"/>
        <v>18922.9376540284</v>
      </c>
      <c r="F26" s="37">
        <f t="shared" si="17"/>
        <v>10617.3870860805</v>
      </c>
      <c r="G26" s="37">
        <f t="shared" si="17"/>
        <v>46274.5210586965</v>
      </c>
      <c r="H26" s="37">
        <f t="shared" si="17"/>
        <v>26791.5889512791</v>
      </c>
      <c r="I26" s="37">
        <f t="shared" si="17"/>
        <v>4898.86372163963</v>
      </c>
      <c r="J26" s="37">
        <f t="shared" si="17"/>
        <v>8508.91127752448</v>
      </c>
      <c r="K26" s="37">
        <f t="shared" si="17"/>
        <v>6756.53181972471</v>
      </c>
      <c r="L26" s="37">
        <f t="shared" si="17"/>
        <v>24207.9055571012</v>
      </c>
      <c r="M26" s="37">
        <f t="shared" si="17"/>
        <v>9520.4856333169</v>
      </c>
      <c r="N26" s="37">
        <f t="shared" si="17"/>
        <v>5647.47474635135</v>
      </c>
      <c r="O26" s="37">
        <f t="shared" ref="O26:O31" si="18">SUM(C26:N26)</f>
        <v>176013.349858517</v>
      </c>
      <c r="P26" s="38">
        <f t="shared" ref="P26:P31" si="19">O26/$O$16</f>
        <v>0.0577824696043665</v>
      </c>
      <c r="Q26" s="6"/>
      <c r="R26" s="6"/>
      <c r="S26" s="6"/>
      <c r="T26" s="6"/>
    </row>
    <row r="27" ht="16.8" spans="1:20">
      <c r="A27" s="36"/>
      <c r="B27" s="4" t="s">
        <v>40</v>
      </c>
      <c r="C27" s="45">
        <v>0</v>
      </c>
      <c r="D27" s="45">
        <v>0</v>
      </c>
      <c r="E27" s="45">
        <v>517.020154481652</v>
      </c>
      <c r="F27" s="45">
        <v>431.601101060184</v>
      </c>
      <c r="G27" s="45">
        <v>921.803208340569</v>
      </c>
      <c r="H27" s="45">
        <v>811.866331856942</v>
      </c>
      <c r="I27" s="45">
        <v>521.155715068046</v>
      </c>
      <c r="J27" s="45">
        <v>721.094176061397</v>
      </c>
      <c r="K27" s="45">
        <v>572.587442349552</v>
      </c>
      <c r="L27" s="45">
        <v>968.316222284048</v>
      </c>
      <c r="M27" s="45">
        <v>732.345048716684</v>
      </c>
      <c r="N27" s="45">
        <v>0</v>
      </c>
      <c r="O27" s="36">
        <f t="shared" si="18"/>
        <v>6197.78940021907</v>
      </c>
      <c r="P27" s="42">
        <f t="shared" si="19"/>
        <v>0.00203463872439386</v>
      </c>
      <c r="Q27" s="4"/>
      <c r="R27" s="6"/>
      <c r="S27" s="6"/>
      <c r="T27" s="6"/>
    </row>
    <row r="28" ht="16.8" spans="1:20">
      <c r="A28" s="36"/>
      <c r="B28" s="4" t="s">
        <v>41</v>
      </c>
      <c r="C28" s="45">
        <v>0</v>
      </c>
      <c r="D28" s="45">
        <v>0</v>
      </c>
      <c r="E28" s="45">
        <v>0</v>
      </c>
      <c r="F28" s="45">
        <v>517.921321272221</v>
      </c>
      <c r="G28" s="45">
        <v>5530.81925004341</v>
      </c>
      <c r="H28" s="45">
        <v>2597.97226194221</v>
      </c>
      <c r="I28" s="45">
        <v>0</v>
      </c>
      <c r="J28" s="45">
        <v>865.313011273676</v>
      </c>
      <c r="K28" s="45">
        <v>1832.27981551857</v>
      </c>
      <c r="L28" s="45">
        <v>1161.97946674086</v>
      </c>
      <c r="M28" s="45">
        <v>878.814058460021</v>
      </c>
      <c r="N28" s="45">
        <v>0</v>
      </c>
      <c r="O28" s="36">
        <f t="shared" si="18"/>
        <v>13385.099185251</v>
      </c>
      <c r="P28" s="42">
        <f t="shared" si="19"/>
        <v>0.00439412173818002</v>
      </c>
      <c r="Q28" s="4"/>
      <c r="R28" s="6"/>
      <c r="S28" s="6"/>
      <c r="T28" s="6"/>
    </row>
    <row r="29" ht="16.8" spans="1:20">
      <c r="A29" s="36"/>
      <c r="B29" s="4" t="s">
        <v>42</v>
      </c>
      <c r="C29" s="45">
        <v>254.402974207917</v>
      </c>
      <c r="D29" s="45">
        <v>207.959743505364</v>
      </c>
      <c r="E29" s="45">
        <v>206.808061792661</v>
      </c>
      <c r="F29" s="45">
        <v>863.202202120367</v>
      </c>
      <c r="G29" s="45">
        <v>5530.81925004341</v>
      </c>
      <c r="H29" s="45">
        <v>3572.21186017054</v>
      </c>
      <c r="I29" s="45">
        <v>0</v>
      </c>
      <c r="J29" s="45">
        <v>865.313011273676</v>
      </c>
      <c r="K29" s="45">
        <v>1832.27981551857</v>
      </c>
      <c r="L29" s="45">
        <v>1936.6324445681</v>
      </c>
      <c r="M29" s="45">
        <v>1464.69009743337</v>
      </c>
      <c r="N29" s="45">
        <v>256.703397561425</v>
      </c>
      <c r="O29" s="36">
        <f t="shared" si="18"/>
        <v>16991.0228581954</v>
      </c>
      <c r="P29" s="42">
        <f t="shared" si="19"/>
        <v>0.00557789089657091</v>
      </c>
      <c r="Q29" s="6"/>
      <c r="R29" s="6"/>
      <c r="S29" s="6"/>
      <c r="T29" s="6"/>
    </row>
    <row r="30" ht="16.8" spans="1:20">
      <c r="A30" s="36"/>
      <c r="B30" s="4" t="s">
        <v>43</v>
      </c>
      <c r="C30" s="45">
        <v>254.402974207917</v>
      </c>
      <c r="D30" s="45">
        <v>207.959743505364</v>
      </c>
      <c r="E30" s="45">
        <v>1654.46449434129</v>
      </c>
      <c r="F30" s="45">
        <v>172.640440424074</v>
      </c>
      <c r="G30" s="45">
        <v>1106.16385000868</v>
      </c>
      <c r="H30" s="45">
        <v>324.746532742777</v>
      </c>
      <c r="I30" s="45">
        <v>208.462286027219</v>
      </c>
      <c r="J30" s="45">
        <v>288.437670424559</v>
      </c>
      <c r="K30" s="45">
        <v>229.034976939821</v>
      </c>
      <c r="L30" s="45">
        <v>774.652977827239</v>
      </c>
      <c r="M30" s="45">
        <v>585.876038973348</v>
      </c>
      <c r="N30" s="45">
        <v>256.703397561425</v>
      </c>
      <c r="O30" s="36">
        <f t="shared" si="18"/>
        <v>6063.54538298371</v>
      </c>
      <c r="P30" s="42">
        <f t="shared" si="19"/>
        <v>0.00199056848283715</v>
      </c>
      <c r="Q30" s="6"/>
      <c r="R30" s="6"/>
      <c r="S30" s="6"/>
      <c r="T30" s="6"/>
    </row>
    <row r="31" ht="16.8" collapsed="1" spans="1:20">
      <c r="A31" s="36"/>
      <c r="B31" s="4" t="s">
        <v>44</v>
      </c>
      <c r="C31" s="45">
        <v>2544.02974207917</v>
      </c>
      <c r="D31" s="45">
        <v>10397.9871752682</v>
      </c>
      <c r="E31" s="45">
        <v>16544.6449434128</v>
      </c>
      <c r="F31" s="45">
        <v>8632.02202120367</v>
      </c>
      <c r="G31" s="45">
        <v>33184.9155002605</v>
      </c>
      <c r="H31" s="45">
        <v>19484.7919645666</v>
      </c>
      <c r="I31" s="45">
        <v>4169.24572054437</v>
      </c>
      <c r="J31" s="45">
        <v>5768.75340849117</v>
      </c>
      <c r="K31" s="45">
        <v>2290.34976939821</v>
      </c>
      <c r="L31" s="45">
        <v>19366.324445681</v>
      </c>
      <c r="M31" s="45">
        <v>5858.76038973348</v>
      </c>
      <c r="N31" s="45">
        <v>5134.0679512285</v>
      </c>
      <c r="O31" s="36">
        <f t="shared" si="18"/>
        <v>133375.893031868</v>
      </c>
      <c r="P31" s="42">
        <f t="shared" si="19"/>
        <v>0.0437852497623845</v>
      </c>
      <c r="Q31" s="6"/>
      <c r="R31" s="6"/>
      <c r="S31" s="6"/>
      <c r="T31" s="6"/>
    </row>
    <row r="32" ht="16.8" hidden="1" outlineLevel="1" spans="1:20">
      <c r="A32" s="36"/>
      <c r="B32" s="4" t="s">
        <v>45</v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42"/>
      <c r="Q32" s="6"/>
      <c r="R32" s="6"/>
      <c r="S32" s="6"/>
      <c r="T32" s="6"/>
    </row>
    <row r="33" ht="16.8" hidden="1" outlineLevel="1" spans="1:20">
      <c r="A33" s="36"/>
      <c r="B33" s="4" t="s">
        <v>46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42"/>
      <c r="Q33" s="6"/>
      <c r="R33" s="6"/>
      <c r="S33" s="6"/>
      <c r="T33" s="6"/>
    </row>
    <row r="34" ht="16.8" hidden="1" outlineLevel="1" spans="1:20">
      <c r="A34" s="36"/>
      <c r="B34" s="4" t="s">
        <v>47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42"/>
      <c r="Q34" s="6"/>
      <c r="R34" s="6"/>
      <c r="S34" s="6"/>
      <c r="T34" s="6"/>
    </row>
    <row r="35" ht="16.8" hidden="1" outlineLevel="1" spans="1:20">
      <c r="A35" s="36"/>
      <c r="B35" s="4" t="s">
        <v>48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42"/>
      <c r="Q35" s="6"/>
      <c r="R35" s="6"/>
      <c r="S35" s="6"/>
      <c r="T35" s="6"/>
    </row>
    <row r="36" ht="16.8" hidden="1" outlineLevel="1" spans="1:20">
      <c r="A36" s="36"/>
      <c r="B36" s="4" t="s">
        <v>49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36"/>
      <c r="P36" s="42"/>
      <c r="Q36" s="6"/>
      <c r="R36" s="6"/>
      <c r="S36" s="6"/>
      <c r="T36" s="6"/>
    </row>
    <row r="37" ht="16.8" spans="1:20">
      <c r="A37" s="6"/>
      <c r="B37" s="17" t="s">
        <v>50</v>
      </c>
      <c r="C37" s="37">
        <f t="shared" ref="C37:N37" si="20">SUM(C38:C40)</f>
        <v>0</v>
      </c>
      <c r="D37" s="37">
        <f t="shared" si="20"/>
        <v>0</v>
      </c>
      <c r="E37" s="37">
        <f t="shared" si="20"/>
        <v>0</v>
      </c>
      <c r="F37" s="37">
        <f t="shared" si="20"/>
        <v>0</v>
      </c>
      <c r="G37" s="37">
        <f t="shared" si="20"/>
        <v>0</v>
      </c>
      <c r="H37" s="37">
        <f t="shared" si="20"/>
        <v>0</v>
      </c>
      <c r="I37" s="37">
        <f t="shared" si="20"/>
        <v>0</v>
      </c>
      <c r="J37" s="37">
        <f t="shared" si="20"/>
        <v>0</v>
      </c>
      <c r="K37" s="37">
        <f t="shared" si="20"/>
        <v>0</v>
      </c>
      <c r="L37" s="37">
        <f t="shared" si="20"/>
        <v>0</v>
      </c>
      <c r="M37" s="37">
        <f t="shared" si="20"/>
        <v>0</v>
      </c>
      <c r="N37" s="37">
        <f t="shared" si="20"/>
        <v>0</v>
      </c>
      <c r="O37" s="37">
        <f>SUM(C37:N37)</f>
        <v>0</v>
      </c>
      <c r="P37" s="38">
        <f>O37/$O$16</f>
        <v>0</v>
      </c>
      <c r="Q37" s="6"/>
      <c r="R37" s="6"/>
      <c r="S37" s="6"/>
      <c r="T37" s="6"/>
    </row>
    <row r="38" ht="16.8" spans="1:20">
      <c r="A38" s="36"/>
      <c r="B38" s="4" t="s">
        <v>51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36">
        <f>SUM(C38:N38)</f>
        <v>0</v>
      </c>
      <c r="P38" s="42">
        <f>O38/$O$16</f>
        <v>0</v>
      </c>
      <c r="Q38" s="6" t="s">
        <v>91</v>
      </c>
      <c r="R38" s="6"/>
      <c r="S38" s="6"/>
      <c r="T38" s="6"/>
    </row>
    <row r="39" ht="16.8" spans="1:20">
      <c r="A39" s="36"/>
      <c r="B39" s="4" t="s">
        <v>53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36">
        <f>SUM(C39:N39)</f>
        <v>0</v>
      </c>
      <c r="P39" s="42">
        <f>O39/$O$16</f>
        <v>0</v>
      </c>
      <c r="Q39" s="6" t="s">
        <v>91</v>
      </c>
      <c r="R39" s="6"/>
      <c r="S39" s="6"/>
      <c r="T39" s="6"/>
    </row>
    <row r="40" ht="16.8" collapsed="1" spans="1:20">
      <c r="A40" s="36"/>
      <c r="B40" s="4" t="s">
        <v>55</v>
      </c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36">
        <f>SUM(C40:N40)</f>
        <v>0</v>
      </c>
      <c r="P40" s="42">
        <f>O40/$O$16</f>
        <v>0</v>
      </c>
      <c r="Q40" s="6" t="s">
        <v>91</v>
      </c>
      <c r="R40" s="6"/>
      <c r="S40" s="6"/>
      <c r="T40" s="6"/>
    </row>
    <row r="41" ht="16.8" hidden="1" outlineLevel="1" spans="1:20">
      <c r="A41" s="36"/>
      <c r="B41" s="4" t="s">
        <v>57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2">
        <f>O38/$O$16</f>
        <v>0</v>
      </c>
      <c r="P41" s="6"/>
      <c r="Q41" s="6" t="s">
        <v>91</v>
      </c>
      <c r="R41" s="6"/>
      <c r="S41" s="6"/>
      <c r="T41" s="6"/>
    </row>
    <row r="42" ht="16.8" hidden="1" outlineLevel="1" spans="1:20">
      <c r="A42" s="36"/>
      <c r="B42" s="4" t="s">
        <v>58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2">
        <f>O39/$O$16</f>
        <v>0</v>
      </c>
      <c r="P42" s="6"/>
      <c r="Q42" s="6" t="s">
        <v>91</v>
      </c>
      <c r="R42" s="6"/>
      <c r="S42" s="6"/>
      <c r="T42" s="6"/>
    </row>
    <row r="43" ht="16.8" hidden="1" outlineLevel="1" spans="1:20">
      <c r="A43" s="36"/>
      <c r="B43" s="4" t="s">
        <v>59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2">
        <f>O40/$O$16</f>
        <v>0</v>
      </c>
      <c r="P43" s="6"/>
      <c r="Q43" s="6" t="s">
        <v>91</v>
      </c>
      <c r="R43" s="6"/>
      <c r="S43" s="6"/>
      <c r="T43" s="6"/>
    </row>
    <row r="44" ht="16.8" spans="1:20">
      <c r="A44" s="6"/>
      <c r="B44" s="17" t="s">
        <v>60</v>
      </c>
      <c r="C44" s="37">
        <f t="shared" ref="C44:N44" si="21">SUM(C45:C46)</f>
        <v>73207.0763507876</v>
      </c>
      <c r="D44" s="37">
        <f t="shared" si="21"/>
        <v>82357.960894636</v>
      </c>
      <c r="E44" s="37">
        <f t="shared" si="21"/>
        <v>54905.3072630907</v>
      </c>
      <c r="F44" s="37">
        <f t="shared" si="21"/>
        <v>45754.4227192422</v>
      </c>
      <c r="G44" s="37">
        <f t="shared" si="21"/>
        <v>100659.729982333</v>
      </c>
      <c r="H44" s="37">
        <f t="shared" si="21"/>
        <v>91508.8454384845</v>
      </c>
      <c r="I44" s="37">
        <f t="shared" si="21"/>
        <v>54905.3072630907</v>
      </c>
      <c r="J44" s="37">
        <f t="shared" si="21"/>
        <v>82357.960894636</v>
      </c>
      <c r="K44" s="37">
        <f t="shared" si="21"/>
        <v>54905.3072630907</v>
      </c>
      <c r="L44" s="37">
        <f t="shared" si="21"/>
        <v>100659.729982333</v>
      </c>
      <c r="M44" s="37">
        <f t="shared" si="21"/>
        <v>91508.8454384845</v>
      </c>
      <c r="N44" s="37">
        <f t="shared" si="21"/>
        <v>82357.960894636</v>
      </c>
      <c r="O44" s="37">
        <f>SUM(C44:N44)</f>
        <v>915088.454384845</v>
      </c>
      <c r="P44" s="38">
        <f>O44/$O$16</f>
        <v>0.300409433962264</v>
      </c>
      <c r="Q44" s="6"/>
      <c r="R44" s="6"/>
      <c r="S44" s="6"/>
      <c r="T44" s="6"/>
    </row>
    <row r="45" ht="16.8" spans="1:20">
      <c r="A45" s="36"/>
      <c r="B45" s="4" t="s">
        <v>61</v>
      </c>
      <c r="C45" s="45">
        <f t="shared" ref="C45:N45" si="22">(C8*15%+C8*10%)/1.06</f>
        <v>64945.9513403013</v>
      </c>
      <c r="D45" s="45">
        <f t="shared" si="22"/>
        <v>73064.1952578389</v>
      </c>
      <c r="E45" s="45">
        <f t="shared" si="22"/>
        <v>48709.4635052259</v>
      </c>
      <c r="F45" s="45">
        <f t="shared" si="22"/>
        <v>40591.2195876883</v>
      </c>
      <c r="G45" s="45">
        <f t="shared" si="22"/>
        <v>89300.6830929142</v>
      </c>
      <c r="H45" s="45">
        <f t="shared" si="22"/>
        <v>81182.4391753766</v>
      </c>
      <c r="I45" s="45">
        <f t="shared" si="22"/>
        <v>48709.4635052259</v>
      </c>
      <c r="J45" s="45">
        <f t="shared" si="22"/>
        <v>73064.1952578389</v>
      </c>
      <c r="K45" s="45">
        <f t="shared" si="22"/>
        <v>48709.4635052259</v>
      </c>
      <c r="L45" s="45">
        <f t="shared" si="22"/>
        <v>89300.6830929142</v>
      </c>
      <c r="M45" s="45">
        <f t="shared" si="22"/>
        <v>81182.4391753766</v>
      </c>
      <c r="N45" s="45">
        <f t="shared" si="22"/>
        <v>73064.1952578389</v>
      </c>
      <c r="O45" s="36">
        <f>SUM(C45:N45)</f>
        <v>811824.391753766</v>
      </c>
      <c r="P45" s="42">
        <v>0.01</v>
      </c>
      <c r="Q45" s="6" t="s">
        <v>92</v>
      </c>
      <c r="R45" s="6"/>
      <c r="S45" s="6"/>
      <c r="T45" s="6"/>
    </row>
    <row r="46" ht="16.8" spans="1:20">
      <c r="A46" s="36"/>
      <c r="B46" s="4" t="s">
        <v>63</v>
      </c>
      <c r="C46" s="45">
        <f t="shared" ref="C46:N46" si="23">C8*3%</f>
        <v>8261.12501048632</v>
      </c>
      <c r="D46" s="45">
        <f t="shared" si="23"/>
        <v>9293.76563679711</v>
      </c>
      <c r="E46" s="45">
        <f t="shared" si="23"/>
        <v>6195.84375786474</v>
      </c>
      <c r="F46" s="45">
        <f t="shared" si="23"/>
        <v>5163.20313155395</v>
      </c>
      <c r="G46" s="45">
        <f t="shared" si="23"/>
        <v>11359.0468894187</v>
      </c>
      <c r="H46" s="45">
        <f t="shared" si="23"/>
        <v>10326.4062631079</v>
      </c>
      <c r="I46" s="45">
        <f t="shared" si="23"/>
        <v>6195.84375786474</v>
      </c>
      <c r="J46" s="45">
        <f t="shared" si="23"/>
        <v>9293.76563679711</v>
      </c>
      <c r="K46" s="45">
        <f t="shared" si="23"/>
        <v>6195.84375786474</v>
      </c>
      <c r="L46" s="45">
        <f t="shared" si="23"/>
        <v>11359.0468894187</v>
      </c>
      <c r="M46" s="45">
        <f t="shared" si="23"/>
        <v>10326.4062631079</v>
      </c>
      <c r="N46" s="45">
        <f t="shared" si="23"/>
        <v>9293.76563679711</v>
      </c>
      <c r="O46" s="45">
        <f>O4*3%</f>
        <v>121487.132507152</v>
      </c>
      <c r="P46" s="42">
        <v>0.02</v>
      </c>
      <c r="Q46" s="4" t="s">
        <v>83</v>
      </c>
      <c r="R46" s="6"/>
      <c r="S46" s="6"/>
      <c r="T46" s="6"/>
    </row>
    <row r="47" ht="16.8" spans="1:20">
      <c r="A47" s="6"/>
      <c r="B47" s="17" t="s">
        <v>65</v>
      </c>
      <c r="C47" s="37">
        <f t="shared" ref="C47:N47" si="24">SUM(C48:C51)</f>
        <v>0</v>
      </c>
      <c r="D47" s="37">
        <f t="shared" si="24"/>
        <v>0</v>
      </c>
      <c r="E47" s="37">
        <f t="shared" si="24"/>
        <v>0</v>
      </c>
      <c r="F47" s="37">
        <f t="shared" si="24"/>
        <v>0</v>
      </c>
      <c r="G47" s="37">
        <f t="shared" si="24"/>
        <v>0</v>
      </c>
      <c r="H47" s="37">
        <f t="shared" si="24"/>
        <v>0</v>
      </c>
      <c r="I47" s="37">
        <f t="shared" si="24"/>
        <v>0</v>
      </c>
      <c r="J47" s="37">
        <f t="shared" si="24"/>
        <v>0</v>
      </c>
      <c r="K47" s="37">
        <f t="shared" si="24"/>
        <v>0</v>
      </c>
      <c r="L47" s="37">
        <f t="shared" si="24"/>
        <v>0</v>
      </c>
      <c r="M47" s="37">
        <f t="shared" si="24"/>
        <v>0</v>
      </c>
      <c r="N47" s="37">
        <f t="shared" si="24"/>
        <v>0</v>
      </c>
      <c r="O47" s="37">
        <f t="shared" ref="O47:O60" si="25">SUM(C47:N47)</f>
        <v>0</v>
      </c>
      <c r="P47" s="38">
        <f t="shared" ref="P47:P52" si="26">O47/$O$16</f>
        <v>0</v>
      </c>
      <c r="Q47" s="6"/>
      <c r="R47" s="6"/>
      <c r="S47" s="6"/>
      <c r="T47" s="6"/>
    </row>
    <row r="48" ht="16.8" spans="1:20">
      <c r="A48" s="36"/>
      <c r="B48" s="4" t="s">
        <v>66</v>
      </c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36">
        <f t="shared" si="25"/>
        <v>0</v>
      </c>
      <c r="P48" s="42">
        <f t="shared" si="26"/>
        <v>0</v>
      </c>
      <c r="Q48" s="4" t="s">
        <v>95</v>
      </c>
      <c r="R48" s="6"/>
      <c r="S48" s="6"/>
      <c r="T48" s="6"/>
    </row>
    <row r="49" ht="16.8" spans="1:20">
      <c r="A49" s="36"/>
      <c r="B49" s="4" t="s">
        <v>67</v>
      </c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36">
        <f t="shared" si="25"/>
        <v>0</v>
      </c>
      <c r="P49" s="42">
        <f t="shared" si="26"/>
        <v>0</v>
      </c>
      <c r="Q49" s="4" t="s">
        <v>95</v>
      </c>
      <c r="R49" s="6"/>
      <c r="S49" s="6"/>
      <c r="T49" s="6"/>
    </row>
    <row r="50" ht="16.8" spans="1:20">
      <c r="A50" s="36"/>
      <c r="B50" s="4" t="s">
        <v>68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36">
        <f t="shared" si="25"/>
        <v>0</v>
      </c>
      <c r="P50" s="42">
        <f t="shared" si="26"/>
        <v>0</v>
      </c>
      <c r="Q50" s="4" t="s">
        <v>95</v>
      </c>
      <c r="R50" s="6"/>
      <c r="S50" s="6"/>
      <c r="T50" s="6"/>
    </row>
    <row r="51" ht="16.8" spans="1:20">
      <c r="A51" s="6"/>
      <c r="B51" s="4" t="s">
        <v>69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36">
        <f t="shared" si="25"/>
        <v>0</v>
      </c>
      <c r="P51" s="42">
        <f t="shared" si="26"/>
        <v>0</v>
      </c>
      <c r="Q51" s="4" t="s">
        <v>95</v>
      </c>
      <c r="R51" s="6"/>
      <c r="S51" s="6"/>
      <c r="T51" s="6"/>
    </row>
    <row r="52" ht="16.8" spans="1:20">
      <c r="A52" s="6"/>
      <c r="B52" s="21" t="s">
        <v>70</v>
      </c>
      <c r="C52" s="40">
        <f t="shared" ref="C52:N52" si="27">SUM(C26,C37,C44,C47)</f>
        <v>76259.9120412826</v>
      </c>
      <c r="D52" s="40">
        <f t="shared" si="27"/>
        <v>93171.8675569149</v>
      </c>
      <c r="E52" s="40">
        <f t="shared" si="27"/>
        <v>73828.2449171191</v>
      </c>
      <c r="F52" s="40">
        <f t="shared" si="27"/>
        <v>56371.8098053228</v>
      </c>
      <c r="G52" s="40">
        <f t="shared" si="27"/>
        <v>146934.251041029</v>
      </c>
      <c r="H52" s="40">
        <f t="shared" si="27"/>
        <v>118300.434389764</v>
      </c>
      <c r="I52" s="40">
        <f t="shared" si="27"/>
        <v>59804.1709847303</v>
      </c>
      <c r="J52" s="40">
        <f t="shared" si="27"/>
        <v>90866.8721721605</v>
      </c>
      <c r="K52" s="40">
        <f t="shared" si="27"/>
        <v>61661.8390828154</v>
      </c>
      <c r="L52" s="40">
        <f t="shared" si="27"/>
        <v>124867.635539434</v>
      </c>
      <c r="M52" s="40">
        <f t="shared" si="27"/>
        <v>101029.331071801</v>
      </c>
      <c r="N52" s="40">
        <f t="shared" si="27"/>
        <v>88005.4356409874</v>
      </c>
      <c r="O52" s="40">
        <f t="shared" si="25"/>
        <v>1091101.80424336</v>
      </c>
      <c r="P52" s="41">
        <f t="shared" si="26"/>
        <v>0.358191903566631</v>
      </c>
      <c r="Q52" s="6"/>
      <c r="R52" s="6"/>
      <c r="S52" s="6"/>
      <c r="T52" s="6"/>
    </row>
    <row r="53" ht="16.8" spans="1:20">
      <c r="A53" s="36"/>
      <c r="B53" s="4" t="s">
        <v>71</v>
      </c>
      <c r="C53" s="45">
        <f t="shared" ref="C53:N53" si="28">C16*15%</f>
        <v>36553.6504888775</v>
      </c>
      <c r="D53" s="45">
        <f t="shared" si="28"/>
        <v>41122.8567999872</v>
      </c>
      <c r="E53" s="45">
        <f t="shared" si="28"/>
        <v>27415.2378666581</v>
      </c>
      <c r="F53" s="45">
        <f t="shared" si="28"/>
        <v>22846.0315555485</v>
      </c>
      <c r="G53" s="45">
        <f t="shared" si="28"/>
        <v>50261.2694222066</v>
      </c>
      <c r="H53" s="45">
        <f t="shared" si="28"/>
        <v>45692.0631110969</v>
      </c>
      <c r="I53" s="45">
        <f t="shared" si="28"/>
        <v>27415.2378666581</v>
      </c>
      <c r="J53" s="45">
        <f t="shared" si="28"/>
        <v>41122.8567999872</v>
      </c>
      <c r="K53" s="45">
        <f t="shared" si="28"/>
        <v>27415.2378666581</v>
      </c>
      <c r="L53" s="45">
        <f t="shared" si="28"/>
        <v>50261.2694222066</v>
      </c>
      <c r="M53" s="45">
        <f t="shared" si="28"/>
        <v>45692.0631110969</v>
      </c>
      <c r="N53" s="45">
        <f t="shared" si="28"/>
        <v>41122.8567999872</v>
      </c>
      <c r="O53" s="36">
        <f t="shared" si="25"/>
        <v>456920.631110969</v>
      </c>
      <c r="P53" s="42">
        <v>0.036</v>
      </c>
      <c r="Q53" s="6"/>
      <c r="R53" s="6"/>
      <c r="S53" s="6"/>
      <c r="T53" s="6"/>
    </row>
    <row r="54" ht="16.8" spans="1:20">
      <c r="A54" s="36"/>
      <c r="B54" s="4" t="s">
        <v>73</v>
      </c>
      <c r="C54" s="45">
        <f t="shared" ref="C54:N54" si="29">C16*$P$54</f>
        <v>3411.67404562857</v>
      </c>
      <c r="D54" s="45">
        <f t="shared" si="29"/>
        <v>3838.13330133214</v>
      </c>
      <c r="E54" s="45">
        <f t="shared" si="29"/>
        <v>2558.75553422143</v>
      </c>
      <c r="F54" s="45">
        <f t="shared" si="29"/>
        <v>2132.29627851786</v>
      </c>
      <c r="G54" s="45">
        <f t="shared" si="29"/>
        <v>4691.05181273928</v>
      </c>
      <c r="H54" s="45">
        <f t="shared" si="29"/>
        <v>4264.59255703571</v>
      </c>
      <c r="I54" s="45">
        <f t="shared" si="29"/>
        <v>2558.75553422143</v>
      </c>
      <c r="J54" s="45">
        <f t="shared" si="29"/>
        <v>3838.13330133214</v>
      </c>
      <c r="K54" s="45">
        <f t="shared" si="29"/>
        <v>2558.75553422143</v>
      </c>
      <c r="L54" s="45">
        <f t="shared" si="29"/>
        <v>4691.05181273928</v>
      </c>
      <c r="M54" s="45">
        <f t="shared" si="29"/>
        <v>4264.59255703571</v>
      </c>
      <c r="N54" s="45">
        <f t="shared" si="29"/>
        <v>3838.13330133214</v>
      </c>
      <c r="O54" s="36">
        <f t="shared" si="25"/>
        <v>42645.9255703571</v>
      </c>
      <c r="P54" s="42">
        <v>0.014</v>
      </c>
      <c r="Q54" s="6"/>
      <c r="R54" s="6"/>
      <c r="S54" s="6"/>
      <c r="T54" s="6"/>
    </row>
    <row r="55" ht="16.8" spans="1:20">
      <c r="A55" s="36"/>
      <c r="B55" s="4" t="s">
        <v>75</v>
      </c>
      <c r="C55" s="45">
        <v>16352.3869960467</v>
      </c>
      <c r="D55" s="45">
        <v>10693.0103200464</v>
      </c>
      <c r="E55" s="45">
        <v>8340.46478026243</v>
      </c>
      <c r="F55" s="45">
        <v>12835.5018995997</v>
      </c>
      <c r="G55" s="45">
        <v>11023.0929036119</v>
      </c>
      <c r="H55" s="45">
        <v>7722.43732132348</v>
      </c>
      <c r="I55" s="45">
        <v>10759.4942596383</v>
      </c>
      <c r="J55" s="45">
        <v>8324.11271829554</v>
      </c>
      <c r="K55" s="45">
        <v>11470.1008559695</v>
      </c>
      <c r="L55" s="45">
        <v>9053.65613224771</v>
      </c>
      <c r="M55" s="45">
        <v>7929.94521984703</v>
      </c>
      <c r="N55" s="45">
        <v>7737.0636332579</v>
      </c>
      <c r="O55" s="36">
        <f t="shared" si="25"/>
        <v>122241.267040147</v>
      </c>
      <c r="P55" s="42">
        <v>0.03</v>
      </c>
      <c r="Q55" s="6"/>
      <c r="R55" s="6"/>
      <c r="S55" s="6"/>
      <c r="T55" s="6"/>
    </row>
    <row r="56" ht="16.8" spans="1:20">
      <c r="A56" s="36"/>
      <c r="B56" s="4" t="s">
        <v>77</v>
      </c>
      <c r="C56" s="45">
        <f t="shared" ref="C56:N56" si="30">C16*$P$56</f>
        <v>243.691003259184</v>
      </c>
      <c r="D56" s="45">
        <f t="shared" si="30"/>
        <v>274.152378666581</v>
      </c>
      <c r="E56" s="45">
        <f t="shared" si="30"/>
        <v>182.768252444388</v>
      </c>
      <c r="F56" s="45">
        <f t="shared" si="30"/>
        <v>152.30687703699</v>
      </c>
      <c r="G56" s="45">
        <f t="shared" si="30"/>
        <v>335.075129481377</v>
      </c>
      <c r="H56" s="45">
        <f t="shared" si="30"/>
        <v>304.613754073979</v>
      </c>
      <c r="I56" s="45">
        <f t="shared" si="30"/>
        <v>182.768252444388</v>
      </c>
      <c r="J56" s="45">
        <f t="shared" si="30"/>
        <v>274.152378666581</v>
      </c>
      <c r="K56" s="45">
        <f t="shared" si="30"/>
        <v>182.768252444388</v>
      </c>
      <c r="L56" s="45">
        <f t="shared" si="30"/>
        <v>335.075129481377</v>
      </c>
      <c r="M56" s="45">
        <f t="shared" si="30"/>
        <v>304.613754073979</v>
      </c>
      <c r="N56" s="45">
        <f t="shared" si="30"/>
        <v>274.152378666581</v>
      </c>
      <c r="O56" s="36">
        <f t="shared" si="25"/>
        <v>3046.13754073979</v>
      </c>
      <c r="P56" s="42">
        <v>0.001</v>
      </c>
      <c r="Q56" s="6"/>
      <c r="R56" s="6"/>
      <c r="S56" s="6"/>
      <c r="T56" s="6"/>
    </row>
    <row r="57" ht="16.8" spans="1:20">
      <c r="A57" s="36"/>
      <c r="B57" s="4" t="s">
        <v>79</v>
      </c>
      <c r="C57" s="45">
        <v>1909.98787554256</v>
      </c>
      <c r="D57" s="45"/>
      <c r="E57" s="45"/>
      <c r="F57" s="45"/>
      <c r="G57" s="45">
        <v>763.995150217022</v>
      </c>
      <c r="H57" s="45"/>
      <c r="I57" s="45"/>
      <c r="J57" s="45"/>
      <c r="K57" s="45"/>
      <c r="L57" s="45">
        <v>763.995150217022</v>
      </c>
      <c r="M57" s="45"/>
      <c r="N57" s="45">
        <v>2291.98545065107</v>
      </c>
      <c r="O57" s="36">
        <f t="shared" si="25"/>
        <v>5729.96362662767</v>
      </c>
      <c r="P57" s="42">
        <f>O57/$O$16</f>
        <v>0.00188105873421463</v>
      </c>
      <c r="Q57" s="4"/>
      <c r="R57" s="6"/>
      <c r="S57" s="6"/>
      <c r="T57" s="6"/>
    </row>
    <row r="58" ht="16.8" spans="1:20">
      <c r="A58" s="6"/>
      <c r="B58" s="21" t="s">
        <v>80</v>
      </c>
      <c r="C58" s="40">
        <f t="shared" ref="C58:N58" si="31">SUM(C53:C57)</f>
        <v>58471.3904093545</v>
      </c>
      <c r="D58" s="40">
        <f t="shared" si="31"/>
        <v>55928.1528000323</v>
      </c>
      <c r="E58" s="40">
        <f t="shared" si="31"/>
        <v>38497.2264335864</v>
      </c>
      <c r="F58" s="40">
        <f t="shared" si="31"/>
        <v>37966.136610703</v>
      </c>
      <c r="G58" s="40">
        <f t="shared" si="31"/>
        <v>67074.4844182562</v>
      </c>
      <c r="H58" s="40">
        <f t="shared" si="31"/>
        <v>57983.7067435301</v>
      </c>
      <c r="I58" s="40">
        <f t="shared" si="31"/>
        <v>40916.2559129622</v>
      </c>
      <c r="J58" s="40">
        <f t="shared" si="31"/>
        <v>53559.2551982815</v>
      </c>
      <c r="K58" s="40">
        <f t="shared" si="31"/>
        <v>41626.8625092935</v>
      </c>
      <c r="L58" s="40">
        <f t="shared" si="31"/>
        <v>65105.047646892</v>
      </c>
      <c r="M58" s="40">
        <f t="shared" si="31"/>
        <v>58191.2146420536</v>
      </c>
      <c r="N58" s="40">
        <f t="shared" si="31"/>
        <v>55264.1915638949</v>
      </c>
      <c r="O58" s="40">
        <f t="shared" si="25"/>
        <v>630583.92488884</v>
      </c>
      <c r="P58" s="41">
        <f>O58/$O$16</f>
        <v>0.207010982417982</v>
      </c>
      <c r="Q58" s="6"/>
      <c r="R58" s="6"/>
      <c r="S58" s="6"/>
      <c r="T58" s="6"/>
    </row>
    <row r="59" ht="16.8" spans="1:20">
      <c r="A59" s="32"/>
      <c r="B59" s="12" t="s">
        <v>81</v>
      </c>
      <c r="C59" s="12">
        <f t="shared" ref="C59:N59" si="32">SUM(C52,C58)</f>
        <v>134731.302450637</v>
      </c>
      <c r="D59" s="12">
        <f t="shared" si="32"/>
        <v>149100.020356947</v>
      </c>
      <c r="E59" s="12">
        <f t="shared" si="32"/>
        <v>112325.471350706</v>
      </c>
      <c r="F59" s="12">
        <f t="shared" si="32"/>
        <v>94337.9464160258</v>
      </c>
      <c r="G59" s="12">
        <f t="shared" si="32"/>
        <v>214008.735459286</v>
      </c>
      <c r="H59" s="12">
        <f t="shared" si="32"/>
        <v>176284.141133294</v>
      </c>
      <c r="I59" s="12">
        <f t="shared" si="32"/>
        <v>100720.426897693</v>
      </c>
      <c r="J59" s="12">
        <f t="shared" si="32"/>
        <v>144426.127370442</v>
      </c>
      <c r="K59" s="12">
        <f t="shared" si="32"/>
        <v>103288.701592109</v>
      </c>
      <c r="L59" s="12">
        <f t="shared" si="32"/>
        <v>189972.683186326</v>
      </c>
      <c r="M59" s="12">
        <f t="shared" si="32"/>
        <v>159220.545713855</v>
      </c>
      <c r="N59" s="12">
        <f t="shared" si="32"/>
        <v>143269.627204882</v>
      </c>
      <c r="O59" s="12">
        <f t="shared" si="25"/>
        <v>1721685.7291322</v>
      </c>
      <c r="P59" s="43">
        <f>O59/$O$16</f>
        <v>0.565202885984613</v>
      </c>
      <c r="Q59" s="32"/>
      <c r="R59" s="48"/>
      <c r="S59" s="6"/>
      <c r="T59" s="6"/>
    </row>
    <row r="60" ht="16.8" spans="1:20">
      <c r="A60" s="32"/>
      <c r="B60" s="12" t="s">
        <v>82</v>
      </c>
      <c r="C60" s="12">
        <f t="shared" ref="C60:N60" si="33">C22-C59</f>
        <v>-16414.8666592968</v>
      </c>
      <c r="D60" s="12">
        <f t="shared" si="33"/>
        <v>-15423.8951352496</v>
      </c>
      <c r="E60" s="12">
        <f t="shared" si="33"/>
        <v>-28111.5230145122</v>
      </c>
      <c r="F60" s="12">
        <f t="shared" si="33"/>
        <v>-24371.4948185125</v>
      </c>
      <c r="G60" s="12">
        <f t="shared" si="33"/>
        <v>-41218.9303786923</v>
      </c>
      <c r="H60" s="12">
        <f t="shared" si="33"/>
        <v>-21419.1079084745</v>
      </c>
      <c r="I60" s="12">
        <f t="shared" si="33"/>
        <v>-1299.09064918403</v>
      </c>
      <c r="J60" s="12">
        <f t="shared" si="33"/>
        <v>5029.31722553715</v>
      </c>
      <c r="K60" s="12">
        <f t="shared" si="33"/>
        <v>-2293.54897395321</v>
      </c>
      <c r="L60" s="12">
        <f t="shared" si="33"/>
        <v>-2531.52125363902</v>
      </c>
      <c r="M60" s="12">
        <f t="shared" si="33"/>
        <v>14096.4082180964</v>
      </c>
      <c r="N60" s="12">
        <f t="shared" si="33"/>
        <v>13817.4500737913</v>
      </c>
      <c r="O60" s="12">
        <f t="shared" si="25"/>
        <v>-120140.803274089</v>
      </c>
      <c r="P60" s="43">
        <f>O60/$O$16</f>
        <v>-0.0394403738069265</v>
      </c>
      <c r="Q60" s="32"/>
      <c r="R60" s="49"/>
      <c r="S60" s="6"/>
      <c r="T60" s="6"/>
    </row>
    <row r="61" spans="1:20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>
      <c r="A62" s="6"/>
      <c r="B62" s="61" t="s">
        <v>117</v>
      </c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35"/>
      <c r="P62" s="6"/>
      <c r="Q62" s="6"/>
      <c r="R62" s="6"/>
      <c r="S62" s="6"/>
      <c r="T62" s="6"/>
    </row>
    <row r="63" ht="16.8" spans="1:20">
      <c r="A63" s="6"/>
      <c r="B63" s="63" t="s">
        <v>118</v>
      </c>
      <c r="C63" s="63">
        <v>366.6</v>
      </c>
      <c r="D63" s="63">
        <v>362.6</v>
      </c>
      <c r="E63" s="63">
        <v>362.8</v>
      </c>
      <c r="F63" s="63">
        <v>357</v>
      </c>
      <c r="G63" s="63">
        <v>376.4</v>
      </c>
      <c r="H63" s="63">
        <v>376.1</v>
      </c>
      <c r="I63" s="63">
        <v>401.9</v>
      </c>
      <c r="J63" s="63">
        <v>400.9</v>
      </c>
      <c r="K63" s="63">
        <v>401.8</v>
      </c>
      <c r="L63" s="63">
        <v>398.6</v>
      </c>
      <c r="M63" s="63">
        <v>397.7</v>
      </c>
      <c r="N63" s="63">
        <v>392.4</v>
      </c>
      <c r="O63" s="6"/>
      <c r="P63" s="6"/>
      <c r="Q63" s="6"/>
      <c r="R63" s="6"/>
      <c r="S63" s="6"/>
      <c r="T63" s="6"/>
    </row>
    <row r="64" ht="16.8" spans="1:20">
      <c r="A64" s="6"/>
      <c r="B64" s="63" t="s">
        <v>119</v>
      </c>
      <c r="C64" s="63">
        <v>158.8</v>
      </c>
      <c r="D64" s="63">
        <v>156.4</v>
      </c>
      <c r="E64" s="63">
        <v>165.1</v>
      </c>
      <c r="F64" s="63">
        <v>162.9</v>
      </c>
      <c r="G64" s="63">
        <v>153</v>
      </c>
      <c r="H64" s="63">
        <v>155.3</v>
      </c>
      <c r="I64" s="63">
        <v>153.3</v>
      </c>
      <c r="J64" s="63">
        <v>152.5</v>
      </c>
      <c r="K64" s="63">
        <v>150.2</v>
      </c>
      <c r="L64" s="63">
        <v>146.6</v>
      </c>
      <c r="M64" s="63">
        <v>142.9</v>
      </c>
      <c r="N64" s="63">
        <v>139.6</v>
      </c>
      <c r="O64" s="6"/>
      <c r="P64" s="6"/>
      <c r="Q64" s="6"/>
      <c r="R64" s="6"/>
      <c r="S64" s="6"/>
      <c r="T64" s="6"/>
    </row>
    <row r="65" spans="1:20">
      <c r="A65" s="6"/>
      <c r="B65" s="61" t="s">
        <v>16</v>
      </c>
      <c r="C65" s="64">
        <f t="shared" ref="C65:N65" si="34">C8/C63</f>
        <v>751.147936941837</v>
      </c>
      <c r="D65" s="64">
        <f t="shared" si="34"/>
        <v>854.363452546158</v>
      </c>
      <c r="E65" s="64">
        <f t="shared" si="34"/>
        <v>569.261646257326</v>
      </c>
      <c r="F65" s="64">
        <f t="shared" si="34"/>
        <v>482.091795663301</v>
      </c>
      <c r="G65" s="64">
        <f t="shared" si="34"/>
        <v>1005.93755662581</v>
      </c>
      <c r="H65" s="64">
        <f t="shared" si="34"/>
        <v>915.218139068324</v>
      </c>
      <c r="I65" s="64">
        <f t="shared" si="34"/>
        <v>513.879386071555</v>
      </c>
      <c r="J65" s="64">
        <f t="shared" si="34"/>
        <v>772.741800681559</v>
      </c>
      <c r="K65" s="64">
        <f t="shared" si="34"/>
        <v>514.007280393624</v>
      </c>
      <c r="L65" s="64">
        <f t="shared" si="34"/>
        <v>949.911932548812</v>
      </c>
      <c r="M65" s="64">
        <f t="shared" si="34"/>
        <v>865.510540868988</v>
      </c>
      <c r="N65" s="64">
        <f t="shared" si="34"/>
        <v>789.480601155038</v>
      </c>
      <c r="O65" s="6"/>
      <c r="P65" s="6"/>
      <c r="Q65" s="6"/>
      <c r="R65" s="6"/>
      <c r="S65" s="6"/>
      <c r="T65" s="6"/>
    </row>
    <row r="66" spans="1:20">
      <c r="A66" s="6"/>
      <c r="B66" s="73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6"/>
      <c r="P66" s="6"/>
      <c r="Q66" s="6"/>
      <c r="R66" s="6"/>
      <c r="S66" s="6"/>
      <c r="T66" s="6"/>
    </row>
    <row r="67" spans="1:20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>
      <c r="A82" s="6"/>
      <c r="B82" s="6"/>
      <c r="C82" s="35">
        <f t="shared" ref="C82:O82" si="35">C16-C18-C20-C26-C37-C44-C47-C58-C60</f>
        <v>0</v>
      </c>
      <c r="D82" s="35">
        <f t="shared" si="35"/>
        <v>0</v>
      </c>
      <c r="E82" s="35">
        <f t="shared" si="35"/>
        <v>0</v>
      </c>
      <c r="F82" s="35">
        <f t="shared" si="35"/>
        <v>0</v>
      </c>
      <c r="G82" s="35">
        <f t="shared" si="35"/>
        <v>0</v>
      </c>
      <c r="H82" s="35">
        <f t="shared" si="35"/>
        <v>0</v>
      </c>
      <c r="I82" s="35">
        <f t="shared" si="35"/>
        <v>1.45519152283669e-11</v>
      </c>
      <c r="J82" s="35">
        <f t="shared" si="35"/>
        <v>3.63797880709171e-11</v>
      </c>
      <c r="K82" s="35">
        <f t="shared" si="35"/>
        <v>0</v>
      </c>
      <c r="L82" s="35">
        <f t="shared" si="35"/>
        <v>0</v>
      </c>
      <c r="M82" s="35">
        <f t="shared" si="35"/>
        <v>0</v>
      </c>
      <c r="N82" s="35">
        <f t="shared" si="35"/>
        <v>5.82076609134674e-11</v>
      </c>
      <c r="O82" s="35">
        <f t="shared" si="35"/>
        <v>0</v>
      </c>
      <c r="P82" s="6"/>
      <c r="Q82" s="6"/>
      <c r="R82" s="6"/>
      <c r="S82" s="6"/>
      <c r="T82" s="6"/>
    </row>
    <row r="83" spans="1:20">
      <c r="A83" s="6"/>
      <c r="B83" s="6"/>
      <c r="C83" s="53">
        <f t="shared" ref="C83:O83" si="36">C10-C11-C12-C13-C15</f>
        <v>0</v>
      </c>
      <c r="D83" s="53">
        <f t="shared" si="36"/>
        <v>0</v>
      </c>
      <c r="E83" s="53">
        <f t="shared" si="36"/>
        <v>0</v>
      </c>
      <c r="F83" s="53">
        <f t="shared" si="36"/>
        <v>0</v>
      </c>
      <c r="G83" s="53">
        <f t="shared" si="36"/>
        <v>0</v>
      </c>
      <c r="H83" s="53">
        <f t="shared" si="36"/>
        <v>0</v>
      </c>
      <c r="I83" s="53">
        <f t="shared" si="36"/>
        <v>0</v>
      </c>
      <c r="J83" s="53">
        <f t="shared" si="36"/>
        <v>0</v>
      </c>
      <c r="K83" s="53">
        <f t="shared" si="36"/>
        <v>0</v>
      </c>
      <c r="L83" s="53">
        <f t="shared" si="36"/>
        <v>0</v>
      </c>
      <c r="M83" s="53">
        <f t="shared" si="36"/>
        <v>0</v>
      </c>
      <c r="N83" s="53">
        <f t="shared" si="36"/>
        <v>0</v>
      </c>
      <c r="O83" s="53">
        <f t="shared" si="36"/>
        <v>0</v>
      </c>
      <c r="P83" s="6"/>
      <c r="Q83" s="6"/>
      <c r="R83" s="6"/>
      <c r="S83" s="6"/>
      <c r="T83" s="6"/>
    </row>
    <row r="84" spans="1:20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>
      <c r="A93" s="6"/>
      <c r="B93" s="6" t="s">
        <v>120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ht="16.8" spans="1:20">
      <c r="A94" s="6"/>
      <c r="B94" s="17" t="s">
        <v>39</v>
      </c>
      <c r="C94" s="37">
        <f t="shared" ref="C94:N94" si="37">SUM(C95:C99)</f>
        <v>0</v>
      </c>
      <c r="D94" s="37">
        <f t="shared" si="37"/>
        <v>0</v>
      </c>
      <c r="E94" s="37">
        <f t="shared" si="37"/>
        <v>0</v>
      </c>
      <c r="F94" s="37">
        <f t="shared" si="37"/>
        <v>0</v>
      </c>
      <c r="G94" s="37">
        <f t="shared" si="37"/>
        <v>0</v>
      </c>
      <c r="H94" s="37">
        <f t="shared" si="37"/>
        <v>0</v>
      </c>
      <c r="I94" s="37">
        <f t="shared" si="37"/>
        <v>0</v>
      </c>
      <c r="J94" s="37">
        <f t="shared" si="37"/>
        <v>0</v>
      </c>
      <c r="K94" s="37">
        <f t="shared" si="37"/>
        <v>0</v>
      </c>
      <c r="L94" s="37">
        <f t="shared" si="37"/>
        <v>0</v>
      </c>
      <c r="M94" s="37">
        <f t="shared" si="37"/>
        <v>0</v>
      </c>
      <c r="N94" s="37">
        <f t="shared" si="37"/>
        <v>0</v>
      </c>
      <c r="O94" s="6"/>
      <c r="P94" s="6"/>
      <c r="Q94" s="6"/>
      <c r="R94" s="6"/>
      <c r="S94" s="6"/>
      <c r="T94" s="6"/>
    </row>
    <row r="95" ht="16.8" spans="1:20">
      <c r="A95" s="6"/>
      <c r="B95" s="4" t="s">
        <v>40</v>
      </c>
      <c r="C95" s="45">
        <f>'线下门店-小计'!C27*(C15/('26年全渠道汇总'!C15-'线下门店-小计'!C15))</f>
        <v>0</v>
      </c>
      <c r="D95" s="45">
        <f>'线下门店-小计'!D27*(D15/('26年全渠道汇总'!D15-'线下门店-小计'!D15))</f>
        <v>0</v>
      </c>
      <c r="E95" s="45">
        <f>'线下门店-小计'!E27*(E15/('26年全渠道汇总'!E15-'线下门店-小计'!E15))</f>
        <v>0</v>
      </c>
      <c r="F95" s="45">
        <f>'线下门店-小计'!F27*(F15/('26年全渠道汇总'!F15-'线下门店-小计'!F15))</f>
        <v>0</v>
      </c>
      <c r="G95" s="45">
        <f>'线下门店-小计'!G27*(G15/('26年全渠道汇总'!G15-'线下门店-小计'!G15))</f>
        <v>0</v>
      </c>
      <c r="H95" s="45">
        <f>'线下门店-小计'!H27*(H15/('26年全渠道汇总'!H15-'线下门店-小计'!H15))</f>
        <v>0</v>
      </c>
      <c r="I95" s="45">
        <f>'线下门店-小计'!I27*(I15/('26年全渠道汇总'!I15-'线下门店-小计'!I15))</f>
        <v>0</v>
      </c>
      <c r="J95" s="45">
        <f>'线下门店-小计'!J27*(J15/('26年全渠道汇总'!J15-'线下门店-小计'!J15))</f>
        <v>0</v>
      </c>
      <c r="K95" s="45">
        <f>'线下门店-小计'!K27*(K15/('26年全渠道汇总'!K15-'线下门店-小计'!K15))</f>
        <v>0</v>
      </c>
      <c r="L95" s="45">
        <f>'线下门店-小计'!L27*(L15/('26年全渠道汇总'!L15-'线下门店-小计'!L15))</f>
        <v>0</v>
      </c>
      <c r="M95" s="45">
        <f>'线下门店-小计'!M27*(M15/('26年全渠道汇总'!M15-'线下门店-小计'!M15))</f>
        <v>0</v>
      </c>
      <c r="N95" s="45">
        <f>'线下门店-小计'!N27*(N15/('26年全渠道汇总'!N15-'线下门店-小计'!N15))</f>
        <v>0</v>
      </c>
      <c r="O95" s="6"/>
      <c r="P95" s="6"/>
      <c r="Q95" s="6"/>
      <c r="R95" s="6"/>
      <c r="S95" s="6"/>
      <c r="T95" s="6"/>
    </row>
    <row r="96" ht="16.8" spans="1:20">
      <c r="A96" s="6"/>
      <c r="B96" s="4" t="s">
        <v>41</v>
      </c>
      <c r="C96" s="45">
        <f>'线下门店-小计'!C28*(C15/('26年全渠道汇总'!C15-'线下门店-小计'!C15))</f>
        <v>0</v>
      </c>
      <c r="D96" s="45">
        <f>'线下门店-小计'!D28*(D15/('26年全渠道汇总'!D15-'线下门店-小计'!D15))</f>
        <v>0</v>
      </c>
      <c r="E96" s="45">
        <f>'线下门店-小计'!E28*(E15/('26年全渠道汇总'!E15-'线下门店-小计'!E15))</f>
        <v>0</v>
      </c>
      <c r="F96" s="45">
        <f>'线下门店-小计'!F28*(F15/('26年全渠道汇总'!F15-'线下门店-小计'!F15))</f>
        <v>0</v>
      </c>
      <c r="G96" s="45">
        <f>'线下门店-小计'!G28*(G15/('26年全渠道汇总'!G15-'线下门店-小计'!G15))</f>
        <v>0</v>
      </c>
      <c r="H96" s="45">
        <f>'线下门店-小计'!H28*(H15/('26年全渠道汇总'!H15-'线下门店-小计'!H15))</f>
        <v>0</v>
      </c>
      <c r="I96" s="45">
        <f>'线下门店-小计'!I28*(I15/('26年全渠道汇总'!I15-'线下门店-小计'!I15))</f>
        <v>0</v>
      </c>
      <c r="J96" s="45">
        <f>'线下门店-小计'!J28*(J15/('26年全渠道汇总'!J15-'线下门店-小计'!J15))</f>
        <v>0</v>
      </c>
      <c r="K96" s="45">
        <f>'线下门店-小计'!K28*(K15/('26年全渠道汇总'!K15-'线下门店-小计'!K15))</f>
        <v>0</v>
      </c>
      <c r="L96" s="45">
        <f>'线下门店-小计'!L28*(L15/('26年全渠道汇总'!L15-'线下门店-小计'!L15))</f>
        <v>0</v>
      </c>
      <c r="M96" s="45">
        <f>'线下门店-小计'!M28*(M15/('26年全渠道汇总'!M15-'线下门店-小计'!M15))</f>
        <v>0</v>
      </c>
      <c r="N96" s="45">
        <f>'线下门店-小计'!N28*(N15/('26年全渠道汇总'!N15-'线下门店-小计'!N15))</f>
        <v>0</v>
      </c>
      <c r="O96" s="6"/>
      <c r="P96" s="6"/>
      <c r="Q96" s="6"/>
      <c r="R96" s="6"/>
      <c r="S96" s="6"/>
      <c r="T96" s="6"/>
    </row>
    <row r="97" ht="16.8" spans="1:20">
      <c r="A97" s="6"/>
      <c r="B97" s="4" t="s">
        <v>42</v>
      </c>
      <c r="C97" s="45">
        <f>'线下门店-小计'!C29*(C15/('26年全渠道汇总'!C15-'线下门店-小计'!C15))</f>
        <v>0</v>
      </c>
      <c r="D97" s="45">
        <f>'线下门店-小计'!D29*(D15/('26年全渠道汇总'!D15-'线下门店-小计'!D15))</f>
        <v>0</v>
      </c>
      <c r="E97" s="45">
        <f>'线下门店-小计'!E29*(E15/('26年全渠道汇总'!E15-'线下门店-小计'!E15))</f>
        <v>0</v>
      </c>
      <c r="F97" s="45">
        <f>'线下门店-小计'!F29*(F15/('26年全渠道汇总'!F15-'线下门店-小计'!F15))</f>
        <v>0</v>
      </c>
      <c r="G97" s="45">
        <f>'线下门店-小计'!G29*(G15/('26年全渠道汇总'!G15-'线下门店-小计'!G15))</f>
        <v>0</v>
      </c>
      <c r="H97" s="45">
        <f>'线下门店-小计'!H29*(H15/('26年全渠道汇总'!H15-'线下门店-小计'!H15))</f>
        <v>0</v>
      </c>
      <c r="I97" s="45">
        <f>'线下门店-小计'!I29*(I15/('26年全渠道汇总'!I15-'线下门店-小计'!I15))</f>
        <v>0</v>
      </c>
      <c r="J97" s="45">
        <f>'线下门店-小计'!J29*(J15/('26年全渠道汇总'!J15-'线下门店-小计'!J15))</f>
        <v>0</v>
      </c>
      <c r="K97" s="45">
        <f>'线下门店-小计'!K29*(K15/('26年全渠道汇总'!K15-'线下门店-小计'!K15))</f>
        <v>0</v>
      </c>
      <c r="L97" s="45">
        <f>'线下门店-小计'!L29*(L15/('26年全渠道汇总'!L15-'线下门店-小计'!L15))</f>
        <v>0</v>
      </c>
      <c r="M97" s="45">
        <f>'线下门店-小计'!M29*(M15/('26年全渠道汇总'!M15-'线下门店-小计'!M15))</f>
        <v>0</v>
      </c>
      <c r="N97" s="45">
        <f>'线下门店-小计'!N29*(N15/('26年全渠道汇总'!N15-'线下门店-小计'!N15))</f>
        <v>0</v>
      </c>
      <c r="O97" s="6"/>
      <c r="P97" s="6"/>
      <c r="Q97" s="6"/>
      <c r="R97" s="6"/>
      <c r="S97" s="6"/>
      <c r="T97" s="6"/>
    </row>
    <row r="98" ht="16.8" spans="1:20">
      <c r="A98" s="6"/>
      <c r="B98" s="4" t="s">
        <v>43</v>
      </c>
      <c r="C98" s="45">
        <f>'线下门店-小计'!C30*(C15/('26年全渠道汇总'!C15-'线下门店-小计'!C15))</f>
        <v>0</v>
      </c>
      <c r="D98" s="45">
        <f>'线下门店-小计'!D30*(D15/('26年全渠道汇总'!D15-'线下门店-小计'!D15))</f>
        <v>0</v>
      </c>
      <c r="E98" s="45">
        <f>'线下门店-小计'!E30*(E15/('26年全渠道汇总'!E15-'线下门店-小计'!E15))</f>
        <v>0</v>
      </c>
      <c r="F98" s="45">
        <f>'线下门店-小计'!F30*(F15/('26年全渠道汇总'!F15-'线下门店-小计'!F15))</f>
        <v>0</v>
      </c>
      <c r="G98" s="45">
        <f>'线下门店-小计'!G30*(G15/('26年全渠道汇总'!G15-'线下门店-小计'!G15))</f>
        <v>0</v>
      </c>
      <c r="H98" s="45">
        <f>'线下门店-小计'!H30*(H15/('26年全渠道汇总'!H15-'线下门店-小计'!H15))</f>
        <v>0</v>
      </c>
      <c r="I98" s="45">
        <f>'线下门店-小计'!I30*(I15/('26年全渠道汇总'!I15-'线下门店-小计'!I15))</f>
        <v>0</v>
      </c>
      <c r="J98" s="45">
        <f>'线下门店-小计'!J30*(J15/('26年全渠道汇总'!J15-'线下门店-小计'!J15))</f>
        <v>0</v>
      </c>
      <c r="K98" s="45">
        <f>'线下门店-小计'!K30*(K15/('26年全渠道汇总'!K15-'线下门店-小计'!K15))</f>
        <v>0</v>
      </c>
      <c r="L98" s="45">
        <f>'线下门店-小计'!L30*(L15/('26年全渠道汇总'!L15-'线下门店-小计'!L15))</f>
        <v>0</v>
      </c>
      <c r="M98" s="45">
        <f>'线下门店-小计'!M30*(M15/('26年全渠道汇总'!M15-'线下门店-小计'!M15))</f>
        <v>0</v>
      </c>
      <c r="N98" s="45">
        <f>'线下门店-小计'!N30*(N15/('26年全渠道汇总'!N15-'线下门店-小计'!N15))</f>
        <v>0</v>
      </c>
      <c r="O98" s="6"/>
      <c r="P98" s="6"/>
      <c r="Q98" s="6"/>
      <c r="R98" s="6"/>
      <c r="S98" s="6"/>
      <c r="T98" s="6"/>
    </row>
    <row r="99" ht="16.8" spans="1:20">
      <c r="A99" s="6"/>
      <c r="B99" s="4" t="s">
        <v>44</v>
      </c>
      <c r="C99" s="45">
        <f>'线下门店-小计'!C31*(C15/('26年全渠道汇总'!C15-'线下门店-小计'!C15))</f>
        <v>0</v>
      </c>
      <c r="D99" s="45">
        <f>'线下门店-小计'!D31*(D15/('26年全渠道汇总'!D15-'线下门店-小计'!D15))</f>
        <v>0</v>
      </c>
      <c r="E99" s="45">
        <f>'线下门店-小计'!E31*(E15/('26年全渠道汇总'!E15-'线下门店-小计'!E15))</f>
        <v>0</v>
      </c>
      <c r="F99" s="45">
        <f>'线下门店-小计'!F31*(F15/('26年全渠道汇总'!F15-'线下门店-小计'!F15))</f>
        <v>0</v>
      </c>
      <c r="G99" s="45">
        <f>'线下门店-小计'!G31*(G15/('26年全渠道汇总'!G15-'线下门店-小计'!G15))</f>
        <v>0</v>
      </c>
      <c r="H99" s="45">
        <f>'线下门店-小计'!H31*(H15/('26年全渠道汇总'!H15-'线下门店-小计'!H15))</f>
        <v>0</v>
      </c>
      <c r="I99" s="45">
        <f>'线下门店-小计'!I31*(I15/('26年全渠道汇总'!I15-'线下门店-小计'!I15))</f>
        <v>0</v>
      </c>
      <c r="J99" s="45">
        <f>'线下门店-小计'!J31*(J15/('26年全渠道汇总'!J15-'线下门店-小计'!J15))</f>
        <v>0</v>
      </c>
      <c r="K99" s="45">
        <f>'线下门店-小计'!K31*(K15/('26年全渠道汇总'!K15-'线下门店-小计'!K15))</f>
        <v>0</v>
      </c>
      <c r="L99" s="45">
        <f>'线下门店-小计'!L31*(L15/('26年全渠道汇总'!L15-'线下门店-小计'!L15))</f>
        <v>0</v>
      </c>
      <c r="M99" s="45">
        <f>'线下门店-小计'!M31*(M15/('26年全渠道汇总'!M15-'线下门店-小计'!M15))</f>
        <v>0</v>
      </c>
      <c r="N99" s="45">
        <f>'线下门店-小计'!N31*(N15/('26年全渠道汇总'!N15-'线下门店-小计'!N15))</f>
        <v>0</v>
      </c>
      <c r="O99" s="6"/>
      <c r="P99" s="6"/>
      <c r="Q99" s="6"/>
      <c r="R99" s="6"/>
      <c r="S99" s="6"/>
      <c r="T99" s="6"/>
    </row>
    <row r="100" spans="1:2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>
      <c r="A101" s="6"/>
      <c r="B101" s="6" t="s">
        <v>121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ht="16.8" spans="1:20">
      <c r="A102" s="6"/>
      <c r="B102" s="17" t="s">
        <v>39</v>
      </c>
      <c r="C102" s="37">
        <f t="shared" ref="C102:N102" si="38">SUM(C103:C107)</f>
        <v>3052.83569049501</v>
      </c>
      <c r="D102" s="37">
        <f t="shared" si="38"/>
        <v>10813.9066622789</v>
      </c>
      <c r="E102" s="37">
        <f t="shared" si="38"/>
        <v>18922.9376540284</v>
      </c>
      <c r="F102" s="37">
        <f t="shared" si="38"/>
        <v>10617.3870860805</v>
      </c>
      <c r="G102" s="37">
        <f t="shared" si="38"/>
        <v>46274.5210586965</v>
      </c>
      <c r="H102" s="37">
        <f t="shared" si="38"/>
        <v>26791.5889512791</v>
      </c>
      <c r="I102" s="37">
        <f t="shared" si="38"/>
        <v>4898.86372163963</v>
      </c>
      <c r="J102" s="37">
        <f t="shared" si="38"/>
        <v>8508.91127752448</v>
      </c>
      <c r="K102" s="37">
        <f t="shared" si="38"/>
        <v>6756.53181972471</v>
      </c>
      <c r="L102" s="37">
        <f t="shared" si="38"/>
        <v>24207.9055571012</v>
      </c>
      <c r="M102" s="37">
        <f t="shared" si="38"/>
        <v>9520.4856333169</v>
      </c>
      <c r="N102" s="37">
        <f t="shared" si="38"/>
        <v>5647.47474635135</v>
      </c>
      <c r="O102" s="6"/>
      <c r="P102" s="6"/>
      <c r="Q102" s="6"/>
      <c r="R102" s="6"/>
      <c r="S102" s="6"/>
      <c r="T102" s="6"/>
    </row>
    <row r="103" ht="16.8" spans="1:20">
      <c r="A103" s="6"/>
      <c r="B103" s="4" t="s">
        <v>40</v>
      </c>
      <c r="C103" s="45">
        <f t="shared" ref="C103:N103" si="39">C95+C27</f>
        <v>0</v>
      </c>
      <c r="D103" s="45">
        <f t="shared" si="39"/>
        <v>0</v>
      </c>
      <c r="E103" s="45">
        <f t="shared" si="39"/>
        <v>517.020154481652</v>
      </c>
      <c r="F103" s="45">
        <f t="shared" si="39"/>
        <v>431.601101060184</v>
      </c>
      <c r="G103" s="45">
        <f t="shared" si="39"/>
        <v>921.803208340569</v>
      </c>
      <c r="H103" s="45">
        <f t="shared" si="39"/>
        <v>811.866331856942</v>
      </c>
      <c r="I103" s="45">
        <f t="shared" si="39"/>
        <v>521.155715068046</v>
      </c>
      <c r="J103" s="45">
        <f t="shared" si="39"/>
        <v>721.094176061397</v>
      </c>
      <c r="K103" s="45">
        <f t="shared" si="39"/>
        <v>572.587442349552</v>
      </c>
      <c r="L103" s="45">
        <f t="shared" si="39"/>
        <v>968.316222284048</v>
      </c>
      <c r="M103" s="45">
        <f t="shared" si="39"/>
        <v>732.345048716684</v>
      </c>
      <c r="N103" s="45">
        <f t="shared" si="39"/>
        <v>0</v>
      </c>
      <c r="O103" s="6"/>
      <c r="P103" s="6"/>
      <c r="Q103" s="6"/>
      <c r="R103" s="6"/>
      <c r="S103" s="6"/>
      <c r="T103" s="6"/>
    </row>
    <row r="104" ht="16.8" spans="1:20">
      <c r="A104" s="6"/>
      <c r="B104" s="4" t="s">
        <v>41</v>
      </c>
      <c r="C104" s="45">
        <f t="shared" ref="C104:N104" si="40">C96+C28</f>
        <v>0</v>
      </c>
      <c r="D104" s="45">
        <f t="shared" si="40"/>
        <v>0</v>
      </c>
      <c r="E104" s="45">
        <f t="shared" si="40"/>
        <v>0</v>
      </c>
      <c r="F104" s="45">
        <f t="shared" si="40"/>
        <v>517.921321272221</v>
      </c>
      <c r="G104" s="45">
        <f t="shared" si="40"/>
        <v>5530.81925004341</v>
      </c>
      <c r="H104" s="45">
        <f t="shared" si="40"/>
        <v>2597.97226194221</v>
      </c>
      <c r="I104" s="45">
        <f t="shared" si="40"/>
        <v>0</v>
      </c>
      <c r="J104" s="45">
        <f t="shared" si="40"/>
        <v>865.313011273676</v>
      </c>
      <c r="K104" s="45">
        <f t="shared" si="40"/>
        <v>1832.27981551857</v>
      </c>
      <c r="L104" s="45">
        <f t="shared" si="40"/>
        <v>1161.97946674086</v>
      </c>
      <c r="M104" s="45">
        <f t="shared" si="40"/>
        <v>878.814058460021</v>
      </c>
      <c r="N104" s="45">
        <f t="shared" si="40"/>
        <v>0</v>
      </c>
      <c r="O104" s="6"/>
      <c r="P104" s="6"/>
      <c r="Q104" s="6"/>
      <c r="R104" s="6"/>
      <c r="S104" s="6"/>
      <c r="T104" s="6"/>
    </row>
    <row r="105" ht="16.8" spans="1:20">
      <c r="A105" s="6"/>
      <c r="B105" s="4" t="s">
        <v>42</v>
      </c>
      <c r="C105" s="45">
        <f t="shared" ref="C105:N105" si="41">C97+C29</f>
        <v>254.402974207917</v>
      </c>
      <c r="D105" s="45">
        <f t="shared" si="41"/>
        <v>207.959743505364</v>
      </c>
      <c r="E105" s="45">
        <f t="shared" si="41"/>
        <v>206.808061792661</v>
      </c>
      <c r="F105" s="45">
        <f t="shared" si="41"/>
        <v>863.202202120367</v>
      </c>
      <c r="G105" s="45">
        <f t="shared" si="41"/>
        <v>5530.81925004341</v>
      </c>
      <c r="H105" s="45">
        <f t="shared" si="41"/>
        <v>3572.21186017054</v>
      </c>
      <c r="I105" s="45">
        <f t="shared" si="41"/>
        <v>0</v>
      </c>
      <c r="J105" s="45">
        <f t="shared" si="41"/>
        <v>865.313011273676</v>
      </c>
      <c r="K105" s="45">
        <f t="shared" si="41"/>
        <v>1832.27981551857</v>
      </c>
      <c r="L105" s="45">
        <f t="shared" si="41"/>
        <v>1936.6324445681</v>
      </c>
      <c r="M105" s="45">
        <f t="shared" si="41"/>
        <v>1464.69009743337</v>
      </c>
      <c r="N105" s="45">
        <f t="shared" si="41"/>
        <v>256.703397561425</v>
      </c>
      <c r="O105" s="6"/>
      <c r="P105" s="6"/>
      <c r="Q105" s="6"/>
      <c r="R105" s="6"/>
      <c r="S105" s="6"/>
      <c r="T105" s="6"/>
    </row>
    <row r="106" ht="16.8" spans="1:20">
      <c r="A106" s="6"/>
      <c r="B106" s="4" t="s">
        <v>43</v>
      </c>
      <c r="C106" s="45">
        <f t="shared" ref="C106:N106" si="42">C98+C30</f>
        <v>254.402974207917</v>
      </c>
      <c r="D106" s="45">
        <f t="shared" si="42"/>
        <v>207.959743505364</v>
      </c>
      <c r="E106" s="45">
        <f t="shared" si="42"/>
        <v>1654.46449434129</v>
      </c>
      <c r="F106" s="45">
        <f t="shared" si="42"/>
        <v>172.640440424074</v>
      </c>
      <c r="G106" s="45">
        <f t="shared" si="42"/>
        <v>1106.16385000868</v>
      </c>
      <c r="H106" s="45">
        <f t="shared" si="42"/>
        <v>324.746532742777</v>
      </c>
      <c r="I106" s="45">
        <f t="shared" si="42"/>
        <v>208.462286027219</v>
      </c>
      <c r="J106" s="45">
        <f t="shared" si="42"/>
        <v>288.437670424559</v>
      </c>
      <c r="K106" s="45">
        <f t="shared" si="42"/>
        <v>229.034976939821</v>
      </c>
      <c r="L106" s="45">
        <f t="shared" si="42"/>
        <v>774.652977827239</v>
      </c>
      <c r="M106" s="45">
        <f t="shared" si="42"/>
        <v>585.876038973348</v>
      </c>
      <c r="N106" s="45">
        <f t="shared" si="42"/>
        <v>256.703397561425</v>
      </c>
      <c r="O106" s="6"/>
      <c r="P106" s="6"/>
      <c r="Q106" s="6"/>
      <c r="R106" s="6"/>
      <c r="S106" s="6"/>
      <c r="T106" s="6"/>
    </row>
    <row r="107" ht="16.8" spans="1:20">
      <c r="A107" s="6"/>
      <c r="B107" s="4" t="s">
        <v>44</v>
      </c>
      <c r="C107" s="45">
        <f t="shared" ref="C107:N107" si="43">C99+C31</f>
        <v>2544.02974207917</v>
      </c>
      <c r="D107" s="45">
        <f t="shared" si="43"/>
        <v>10397.9871752682</v>
      </c>
      <c r="E107" s="45">
        <f t="shared" si="43"/>
        <v>16544.6449434128</v>
      </c>
      <c r="F107" s="45">
        <f t="shared" si="43"/>
        <v>8632.02202120367</v>
      </c>
      <c r="G107" s="45">
        <f t="shared" si="43"/>
        <v>33184.9155002605</v>
      </c>
      <c r="H107" s="45">
        <f t="shared" si="43"/>
        <v>19484.7919645666</v>
      </c>
      <c r="I107" s="45">
        <f t="shared" si="43"/>
        <v>4169.24572054437</v>
      </c>
      <c r="J107" s="45">
        <f t="shared" si="43"/>
        <v>5768.75340849117</v>
      </c>
      <c r="K107" s="45">
        <f t="shared" si="43"/>
        <v>2290.34976939821</v>
      </c>
      <c r="L107" s="45">
        <f t="shared" si="43"/>
        <v>19366.324445681</v>
      </c>
      <c r="M107" s="45">
        <f t="shared" si="43"/>
        <v>5858.76038973348</v>
      </c>
      <c r="N107" s="45">
        <f t="shared" si="43"/>
        <v>5134.0679512285</v>
      </c>
      <c r="O107" s="6"/>
      <c r="P107" s="6"/>
      <c r="Q107" s="6"/>
      <c r="R107" s="6"/>
      <c r="S107" s="6"/>
      <c r="T107" s="6"/>
    </row>
    <row r="108" spans="1:20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</sheetData>
  <pageMargins left="0.75" right="0.75" top="1" bottom="1" header="0.5" footer="0.5"/>
  <headerFooter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1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4.4"/>
  <cols>
    <col min="1" max="1" width="7" customWidth="1"/>
    <col min="2" max="2" width="30" customWidth="1"/>
    <col min="3" max="15" width="19" customWidth="1"/>
    <col min="16" max="17" width="14" customWidth="1"/>
    <col min="18" max="18" width="11" customWidth="1"/>
    <col min="19" max="20" width="14" customWidth="1"/>
  </cols>
  <sheetData>
    <row r="1" ht="17" spans="1:20">
      <c r="A1" s="6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6"/>
      <c r="S1" s="6"/>
      <c r="T1" s="6"/>
    </row>
    <row r="2" ht="16.8" spans="1:20">
      <c r="A2" s="6"/>
      <c r="B2" s="4" t="s">
        <v>16</v>
      </c>
      <c r="C2" s="36">
        <v>69.802769748744</v>
      </c>
      <c r="D2" s="36">
        <v>63.6662625180852</v>
      </c>
      <c r="E2" s="36">
        <v>74.4051501717381</v>
      </c>
      <c r="F2" s="36">
        <v>61.7486040085043</v>
      </c>
      <c r="G2" s="36">
        <v>107.772408238445</v>
      </c>
      <c r="H2" s="36">
        <v>93.1982035656307</v>
      </c>
      <c r="I2" s="36">
        <v>60.5980089027558</v>
      </c>
      <c r="J2" s="36">
        <v>76.1693960005525</v>
      </c>
      <c r="K2" s="36">
        <v>83.9934427196425</v>
      </c>
      <c r="L2" s="36">
        <v>111.300899896074</v>
      </c>
      <c r="M2" s="36">
        <v>86.5247519522892</v>
      </c>
      <c r="N2" s="36">
        <v>77.319991106301</v>
      </c>
      <c r="O2" s="36">
        <f>SUM(C2:N2)</f>
        <v>966.499888828763</v>
      </c>
      <c r="P2" s="36"/>
      <c r="Q2" s="6"/>
      <c r="R2" s="6"/>
      <c r="S2" s="6"/>
      <c r="T2" s="6"/>
    </row>
    <row r="3" ht="16.8" spans="1:20">
      <c r="A3" s="32"/>
      <c r="B3" s="8" t="s">
        <v>17</v>
      </c>
      <c r="C3" s="8">
        <v>46466.6791000772</v>
      </c>
      <c r="D3" s="8">
        <v>52275.0139875868</v>
      </c>
      <c r="E3" s="8">
        <v>34850.0093250579</v>
      </c>
      <c r="F3" s="8">
        <v>29041.6744375482</v>
      </c>
      <c r="G3" s="8">
        <v>63891.6837626061</v>
      </c>
      <c r="H3" s="8">
        <v>58083.3488750965</v>
      </c>
      <c r="I3" s="8">
        <v>34850.0093250579</v>
      </c>
      <c r="J3" s="8">
        <v>52275.0139875868</v>
      </c>
      <c r="K3" s="8">
        <v>34850.0093250579</v>
      </c>
      <c r="L3" s="8">
        <v>63891.6837626061</v>
      </c>
      <c r="M3" s="8">
        <v>58083.3488750965</v>
      </c>
      <c r="N3" s="8">
        <v>52275.0139875868</v>
      </c>
      <c r="O3" s="8">
        <f>SUM(C3:N3)</f>
        <v>580833.488750965</v>
      </c>
      <c r="P3" s="8"/>
      <c r="Q3" s="10" t="s">
        <v>83</v>
      </c>
      <c r="R3" s="6"/>
      <c r="S3" s="6"/>
      <c r="T3" s="6"/>
    </row>
    <row r="4" ht="16.8" spans="1:20">
      <c r="A4" s="32"/>
      <c r="B4" s="8" t="s">
        <v>84</v>
      </c>
      <c r="C4" s="8">
        <v>32526.675370054</v>
      </c>
      <c r="D4" s="8">
        <v>36592.5097913108</v>
      </c>
      <c r="E4" s="8">
        <v>24395.0065275405</v>
      </c>
      <c r="F4" s="8">
        <v>20329.1721062838</v>
      </c>
      <c r="G4" s="8">
        <v>44724.1786338243</v>
      </c>
      <c r="H4" s="8">
        <v>40658.3442125675</v>
      </c>
      <c r="I4" s="8">
        <v>24395.0065275405</v>
      </c>
      <c r="J4" s="8">
        <v>36592.5097913108</v>
      </c>
      <c r="K4" s="8">
        <v>24395.0065275405</v>
      </c>
      <c r="L4" s="8">
        <v>44724.1786338243</v>
      </c>
      <c r="M4" s="8">
        <v>40658.3442125675</v>
      </c>
      <c r="N4" s="8">
        <v>36592.5097913108</v>
      </c>
      <c r="O4" s="8">
        <f>SUM(C4:N4)</f>
        <v>406583.442125675</v>
      </c>
      <c r="P4" s="8"/>
      <c r="Q4" s="10" t="s">
        <v>83</v>
      </c>
      <c r="R4" s="6"/>
      <c r="S4" s="6"/>
      <c r="T4" s="6"/>
    </row>
    <row r="5" ht="16.8" spans="1:20">
      <c r="A5" s="32"/>
      <c r="B5" s="8" t="s">
        <v>18</v>
      </c>
      <c r="C5" s="8">
        <f t="shared" ref="C5:N5" si="0">C12</f>
        <v>4879.0013055081</v>
      </c>
      <c r="D5" s="8">
        <f t="shared" si="0"/>
        <v>5488.87646869661</v>
      </c>
      <c r="E5" s="8">
        <f t="shared" si="0"/>
        <v>3659.25097913108</v>
      </c>
      <c r="F5" s="8">
        <f t="shared" si="0"/>
        <v>3049.37581594256</v>
      </c>
      <c r="G5" s="8">
        <f t="shared" si="0"/>
        <v>6708.62679507364</v>
      </c>
      <c r="H5" s="8">
        <f t="shared" si="0"/>
        <v>6098.75163188513</v>
      </c>
      <c r="I5" s="8">
        <f t="shared" si="0"/>
        <v>3659.25097913108</v>
      </c>
      <c r="J5" s="8">
        <f t="shared" si="0"/>
        <v>5488.87646869661</v>
      </c>
      <c r="K5" s="8">
        <f t="shared" si="0"/>
        <v>3659.25097913108</v>
      </c>
      <c r="L5" s="8">
        <f t="shared" si="0"/>
        <v>6708.62679507364</v>
      </c>
      <c r="M5" s="8">
        <f t="shared" si="0"/>
        <v>6098.75163188513</v>
      </c>
      <c r="N5" s="8">
        <f t="shared" si="0"/>
        <v>5488.87646869661</v>
      </c>
      <c r="O5" s="8">
        <f>SUM(C5:N5)</f>
        <v>60987.5163188513</v>
      </c>
      <c r="P5" s="8"/>
      <c r="Q5" s="11" t="s">
        <v>83</v>
      </c>
      <c r="R5" s="6"/>
      <c r="S5" s="6"/>
      <c r="T5" s="6"/>
    </row>
    <row r="6" ht="16.8" spans="1:20">
      <c r="A6" s="32"/>
      <c r="B6" s="12" t="s">
        <v>85</v>
      </c>
      <c r="C6" s="12">
        <v>39496.6772350656</v>
      </c>
      <c r="D6" s="12">
        <v>44433.7618894488</v>
      </c>
      <c r="E6" s="12">
        <v>29622.5079262992</v>
      </c>
      <c r="F6" s="12">
        <v>24685.423271916</v>
      </c>
      <c r="G6" s="12">
        <v>54307.9311982152</v>
      </c>
      <c r="H6" s="12">
        <v>49370.846543832</v>
      </c>
      <c r="I6" s="12">
        <v>29622.5079262992</v>
      </c>
      <c r="J6" s="12">
        <v>44433.7618894488</v>
      </c>
      <c r="K6" s="12">
        <v>29622.5079262992</v>
      </c>
      <c r="L6" s="12">
        <v>54307.9311982152</v>
      </c>
      <c r="M6" s="12">
        <v>49370.846543832</v>
      </c>
      <c r="N6" s="12">
        <v>44433.7618894488</v>
      </c>
      <c r="O6" s="12">
        <f>SUM(C6:N6)</f>
        <v>493708.46543832</v>
      </c>
      <c r="P6" s="12"/>
      <c r="Q6" s="11" t="s">
        <v>83</v>
      </c>
      <c r="R6" s="6"/>
      <c r="S6" s="6"/>
      <c r="T6" s="6"/>
    </row>
    <row r="7" ht="16.8" spans="1:20">
      <c r="A7" s="32"/>
      <c r="B7" s="14" t="s">
        <v>20</v>
      </c>
      <c r="C7" s="14">
        <f t="shared" ref="C7:O7" si="1">1-C8/C6</f>
        <v>0.3</v>
      </c>
      <c r="D7" s="14">
        <f t="shared" si="1"/>
        <v>0.3</v>
      </c>
      <c r="E7" s="14">
        <f t="shared" si="1"/>
        <v>0.3</v>
      </c>
      <c r="F7" s="14">
        <f t="shared" si="1"/>
        <v>0.3</v>
      </c>
      <c r="G7" s="14">
        <f t="shared" si="1"/>
        <v>0.3</v>
      </c>
      <c r="H7" s="14">
        <f t="shared" si="1"/>
        <v>0.3</v>
      </c>
      <c r="I7" s="14">
        <f t="shared" si="1"/>
        <v>0.3</v>
      </c>
      <c r="J7" s="14">
        <f t="shared" si="1"/>
        <v>0.3</v>
      </c>
      <c r="K7" s="14">
        <f t="shared" si="1"/>
        <v>0.3</v>
      </c>
      <c r="L7" s="14">
        <f t="shared" si="1"/>
        <v>0.3</v>
      </c>
      <c r="M7" s="14">
        <f t="shared" si="1"/>
        <v>0.3</v>
      </c>
      <c r="N7" s="14">
        <f t="shared" si="1"/>
        <v>0.3</v>
      </c>
      <c r="O7" s="14">
        <f t="shared" si="1"/>
        <v>0.3</v>
      </c>
      <c r="P7" s="14"/>
      <c r="Q7" s="6" t="s">
        <v>83</v>
      </c>
      <c r="R7" s="6"/>
      <c r="S7" s="6"/>
      <c r="T7" s="6"/>
    </row>
    <row r="8" ht="16.8" spans="1:20">
      <c r="A8" s="32"/>
      <c r="B8" s="12" t="s">
        <v>86</v>
      </c>
      <c r="C8" s="12">
        <v>27647.6740645459</v>
      </c>
      <c r="D8" s="12">
        <v>31103.6333226141</v>
      </c>
      <c r="E8" s="12">
        <v>20735.7555484094</v>
      </c>
      <c r="F8" s="12">
        <v>17279.7962903412</v>
      </c>
      <c r="G8" s="12">
        <v>38015.5518387506</v>
      </c>
      <c r="H8" s="12">
        <v>34559.5925806824</v>
      </c>
      <c r="I8" s="12">
        <v>20735.7555484094</v>
      </c>
      <c r="J8" s="12">
        <v>31103.6333226141</v>
      </c>
      <c r="K8" s="12">
        <v>20735.7555484094</v>
      </c>
      <c r="L8" s="12">
        <v>38015.5518387506</v>
      </c>
      <c r="M8" s="12">
        <v>34559.5925806824</v>
      </c>
      <c r="N8" s="12">
        <v>31103.6333226141</v>
      </c>
      <c r="O8" s="12">
        <f>SUM(C8:N8)</f>
        <v>345595.925806824</v>
      </c>
      <c r="P8" s="12"/>
      <c r="Q8" s="6" t="s">
        <v>83</v>
      </c>
      <c r="R8" s="6"/>
      <c r="S8" s="6"/>
      <c r="T8" s="6"/>
    </row>
    <row r="9" ht="16.8" spans="1:20">
      <c r="A9" s="6"/>
      <c r="B9" s="4"/>
      <c r="C9" s="5">
        <f t="shared" ref="C9:O9" si="2">C10-C14-C15</f>
        <v>0</v>
      </c>
      <c r="D9" s="5">
        <f t="shared" si="2"/>
        <v>0</v>
      </c>
      <c r="E9" s="5">
        <f t="shared" si="2"/>
        <v>0</v>
      </c>
      <c r="F9" s="5">
        <f t="shared" si="2"/>
        <v>0</v>
      </c>
      <c r="G9" s="5">
        <f t="shared" si="2"/>
        <v>0</v>
      </c>
      <c r="H9" s="5">
        <f t="shared" si="2"/>
        <v>0</v>
      </c>
      <c r="I9" s="5">
        <f t="shared" si="2"/>
        <v>0</v>
      </c>
      <c r="J9" s="5">
        <f t="shared" si="2"/>
        <v>0</v>
      </c>
      <c r="K9" s="5">
        <f t="shared" si="2"/>
        <v>0</v>
      </c>
      <c r="L9" s="5">
        <f t="shared" si="2"/>
        <v>0</v>
      </c>
      <c r="M9" s="5">
        <f t="shared" si="2"/>
        <v>0</v>
      </c>
      <c r="N9" s="5">
        <f t="shared" si="2"/>
        <v>0</v>
      </c>
      <c r="O9" s="5">
        <f t="shared" si="2"/>
        <v>0</v>
      </c>
      <c r="P9" s="36"/>
      <c r="Q9" s="6"/>
      <c r="R9" s="6"/>
      <c r="S9" s="6"/>
      <c r="T9" s="6"/>
    </row>
    <row r="10" ht="16.8" spans="1:20">
      <c r="A10" s="32"/>
      <c r="B10" s="12" t="s">
        <v>22</v>
      </c>
      <c r="C10" s="12">
        <f t="shared" ref="C10:N10" si="3">C13+C4</f>
        <v>32967.0807976309</v>
      </c>
      <c r="D10" s="12">
        <f t="shared" si="3"/>
        <v>37087.9658973347</v>
      </c>
      <c r="E10" s="12">
        <f t="shared" si="3"/>
        <v>24725.3105982231</v>
      </c>
      <c r="F10" s="12">
        <f t="shared" si="3"/>
        <v>20604.4254985193</v>
      </c>
      <c r="G10" s="12">
        <f t="shared" si="3"/>
        <v>45329.7360967424</v>
      </c>
      <c r="H10" s="12">
        <f t="shared" si="3"/>
        <v>41208.8509970386</v>
      </c>
      <c r="I10" s="12">
        <f t="shared" si="3"/>
        <v>24725.3105982231</v>
      </c>
      <c r="J10" s="12">
        <f t="shared" si="3"/>
        <v>37087.9658973347</v>
      </c>
      <c r="K10" s="12">
        <f t="shared" si="3"/>
        <v>24725.3105982231</v>
      </c>
      <c r="L10" s="12">
        <f t="shared" si="3"/>
        <v>45329.7360967424</v>
      </c>
      <c r="M10" s="12">
        <f t="shared" si="3"/>
        <v>41208.8509970386</v>
      </c>
      <c r="N10" s="12">
        <f t="shared" si="3"/>
        <v>37087.9658973347</v>
      </c>
      <c r="O10" s="12">
        <f t="shared" ref="O10:O16" si="4">SUM(C10:N10)</f>
        <v>412088.509970386</v>
      </c>
      <c r="P10" s="12"/>
      <c r="Q10" s="6"/>
      <c r="R10" s="6"/>
      <c r="S10" s="6"/>
      <c r="T10" s="6"/>
    </row>
    <row r="11" ht="16.8" spans="1:20">
      <c r="A11" s="6"/>
      <c r="B11" s="17" t="s">
        <v>23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>
        <f t="shared" si="4"/>
        <v>0</v>
      </c>
      <c r="P11" s="37"/>
      <c r="Q11" s="6" t="s">
        <v>88</v>
      </c>
      <c r="R11" s="6"/>
      <c r="S11" s="6"/>
      <c r="T11" s="6"/>
    </row>
    <row r="12" ht="16.8" spans="1:20">
      <c r="A12" s="6"/>
      <c r="B12" s="17" t="s">
        <v>25</v>
      </c>
      <c r="C12" s="37">
        <f t="shared" ref="C12:N12" si="5">C4*$P$12</f>
        <v>4879.0013055081</v>
      </c>
      <c r="D12" s="37">
        <f t="shared" si="5"/>
        <v>5488.87646869661</v>
      </c>
      <c r="E12" s="37">
        <f t="shared" si="5"/>
        <v>3659.25097913108</v>
      </c>
      <c r="F12" s="37">
        <f t="shared" si="5"/>
        <v>3049.37581594256</v>
      </c>
      <c r="G12" s="37">
        <f t="shared" si="5"/>
        <v>6708.62679507364</v>
      </c>
      <c r="H12" s="37">
        <f t="shared" si="5"/>
        <v>6098.75163188513</v>
      </c>
      <c r="I12" s="37">
        <f t="shared" si="5"/>
        <v>3659.25097913108</v>
      </c>
      <c r="J12" s="37">
        <f t="shared" si="5"/>
        <v>5488.87646869661</v>
      </c>
      <c r="K12" s="37">
        <f t="shared" si="5"/>
        <v>3659.25097913108</v>
      </c>
      <c r="L12" s="37">
        <f t="shared" si="5"/>
        <v>6708.62679507364</v>
      </c>
      <c r="M12" s="37">
        <f t="shared" si="5"/>
        <v>6098.75163188513</v>
      </c>
      <c r="N12" s="37">
        <f t="shared" si="5"/>
        <v>5488.87646869661</v>
      </c>
      <c r="O12" s="37">
        <f t="shared" si="4"/>
        <v>60987.5163188513</v>
      </c>
      <c r="P12" s="39">
        <v>0.15</v>
      </c>
      <c r="Q12" s="6" t="s">
        <v>83</v>
      </c>
      <c r="R12" s="20">
        <f>O12/$O$10</f>
        <v>0.147996158211822</v>
      </c>
      <c r="S12" s="6"/>
      <c r="T12" s="6"/>
    </row>
    <row r="13" ht="16.8" spans="1:20">
      <c r="A13" s="6"/>
      <c r="B13" s="17" t="s">
        <v>27</v>
      </c>
      <c r="C13" s="37">
        <f t="shared" ref="C13:N13" si="6">C16*$P$13</f>
        <v>440.405427576838</v>
      </c>
      <c r="D13" s="37">
        <f t="shared" si="6"/>
        <v>495.456106023942</v>
      </c>
      <c r="E13" s="37">
        <f t="shared" si="6"/>
        <v>330.304070682628</v>
      </c>
      <c r="F13" s="37">
        <f t="shared" si="6"/>
        <v>275.253392235524</v>
      </c>
      <c r="G13" s="37">
        <f t="shared" si="6"/>
        <v>605.557462918152</v>
      </c>
      <c r="H13" s="37">
        <f t="shared" si="6"/>
        <v>550.506784471047</v>
      </c>
      <c r="I13" s="37">
        <f t="shared" si="6"/>
        <v>330.304070682628</v>
      </c>
      <c r="J13" s="37">
        <f t="shared" si="6"/>
        <v>495.456106023942</v>
      </c>
      <c r="K13" s="37">
        <f t="shared" si="6"/>
        <v>330.304070682628</v>
      </c>
      <c r="L13" s="37">
        <f t="shared" si="6"/>
        <v>605.557462918152</v>
      </c>
      <c r="M13" s="37">
        <f t="shared" si="6"/>
        <v>550.506784471047</v>
      </c>
      <c r="N13" s="37">
        <f t="shared" si="6"/>
        <v>495.456106023942</v>
      </c>
      <c r="O13" s="37">
        <f t="shared" si="4"/>
        <v>5505.06784471047</v>
      </c>
      <c r="P13" s="38">
        <v>0.018</v>
      </c>
      <c r="Q13" s="6" t="s">
        <v>83</v>
      </c>
      <c r="R13" s="20">
        <f>O13/$O$10</f>
        <v>0.0133589452545185</v>
      </c>
      <c r="S13" s="6"/>
      <c r="T13" s="6"/>
    </row>
    <row r="14" ht="16.8" spans="1:20">
      <c r="A14" s="6"/>
      <c r="B14" s="21" t="s">
        <v>28</v>
      </c>
      <c r="C14" s="40">
        <f t="shared" ref="C14:N14" si="7">SUM(C11:C13)</f>
        <v>5319.40673308494</v>
      </c>
      <c r="D14" s="40">
        <f t="shared" si="7"/>
        <v>5984.33257472056</v>
      </c>
      <c r="E14" s="40">
        <f t="shared" si="7"/>
        <v>3989.55504981371</v>
      </c>
      <c r="F14" s="40">
        <f t="shared" si="7"/>
        <v>3324.62920817809</v>
      </c>
      <c r="G14" s="40">
        <f t="shared" si="7"/>
        <v>7314.18425799179</v>
      </c>
      <c r="H14" s="40">
        <f t="shared" si="7"/>
        <v>6649.25841635618</v>
      </c>
      <c r="I14" s="40">
        <f t="shared" si="7"/>
        <v>3989.55504981371</v>
      </c>
      <c r="J14" s="40">
        <f t="shared" si="7"/>
        <v>5984.33257472056</v>
      </c>
      <c r="K14" s="40">
        <f t="shared" si="7"/>
        <v>3989.55504981371</v>
      </c>
      <c r="L14" s="40">
        <f t="shared" si="7"/>
        <v>7314.18425799179</v>
      </c>
      <c r="M14" s="40">
        <f t="shared" si="7"/>
        <v>6649.25841635618</v>
      </c>
      <c r="N14" s="40">
        <f t="shared" si="7"/>
        <v>5984.33257472056</v>
      </c>
      <c r="O14" s="40">
        <f t="shared" si="4"/>
        <v>66492.5841635617</v>
      </c>
      <c r="P14" s="40"/>
      <c r="Q14" s="6"/>
      <c r="R14" s="6"/>
      <c r="S14" s="6"/>
      <c r="T14" s="6"/>
    </row>
    <row r="15" ht="16.8" spans="1:20">
      <c r="A15" s="32"/>
      <c r="B15" s="12" t="s">
        <v>29</v>
      </c>
      <c r="C15" s="12">
        <f t="shared" ref="C15:N15" si="8">C8</f>
        <v>27647.6740645459</v>
      </c>
      <c r="D15" s="12">
        <f t="shared" si="8"/>
        <v>31103.6333226141</v>
      </c>
      <c r="E15" s="12">
        <f t="shared" si="8"/>
        <v>20735.7555484094</v>
      </c>
      <c r="F15" s="12">
        <f t="shared" si="8"/>
        <v>17279.7962903412</v>
      </c>
      <c r="G15" s="12">
        <f t="shared" si="8"/>
        <v>38015.5518387506</v>
      </c>
      <c r="H15" s="12">
        <f t="shared" si="8"/>
        <v>34559.5925806824</v>
      </c>
      <c r="I15" s="12">
        <f t="shared" si="8"/>
        <v>20735.7555484094</v>
      </c>
      <c r="J15" s="12">
        <f t="shared" si="8"/>
        <v>31103.6333226141</v>
      </c>
      <c r="K15" s="12">
        <f t="shared" si="8"/>
        <v>20735.7555484094</v>
      </c>
      <c r="L15" s="12">
        <f t="shared" si="8"/>
        <v>38015.5518387506</v>
      </c>
      <c r="M15" s="12">
        <f t="shared" si="8"/>
        <v>34559.5925806824</v>
      </c>
      <c r="N15" s="12">
        <f t="shared" si="8"/>
        <v>31103.6333226141</v>
      </c>
      <c r="O15" s="12">
        <f t="shared" si="4"/>
        <v>345595.925806824</v>
      </c>
      <c r="P15" s="12"/>
      <c r="Q15" s="6"/>
      <c r="R15" s="6"/>
      <c r="S15" s="6"/>
      <c r="T15" s="6"/>
    </row>
    <row r="16" ht="16.8" spans="1:20">
      <c r="A16" s="32"/>
      <c r="B16" s="12" t="s">
        <v>30</v>
      </c>
      <c r="C16" s="12">
        <f t="shared" ref="C16:N16" si="9">+C8/1.13</f>
        <v>24466.9681987132</v>
      </c>
      <c r="D16" s="12">
        <f t="shared" si="9"/>
        <v>27525.3392235523</v>
      </c>
      <c r="E16" s="12">
        <f t="shared" si="9"/>
        <v>18350.2261490349</v>
      </c>
      <c r="F16" s="12">
        <f t="shared" si="9"/>
        <v>15291.8551241958</v>
      </c>
      <c r="G16" s="12">
        <f t="shared" si="9"/>
        <v>33642.0812732307</v>
      </c>
      <c r="H16" s="12">
        <f t="shared" si="9"/>
        <v>30583.7102483915</v>
      </c>
      <c r="I16" s="12">
        <f t="shared" si="9"/>
        <v>18350.2261490349</v>
      </c>
      <c r="J16" s="12">
        <f t="shared" si="9"/>
        <v>27525.3392235523</v>
      </c>
      <c r="K16" s="12">
        <f t="shared" si="9"/>
        <v>18350.2261490349</v>
      </c>
      <c r="L16" s="12">
        <f t="shared" si="9"/>
        <v>33642.0812732307</v>
      </c>
      <c r="M16" s="12">
        <f t="shared" si="9"/>
        <v>30583.7102483915</v>
      </c>
      <c r="N16" s="12">
        <f t="shared" si="9"/>
        <v>27525.3392235523</v>
      </c>
      <c r="O16" s="12">
        <f t="shared" si="4"/>
        <v>305837.102483915</v>
      </c>
      <c r="P16" s="12"/>
      <c r="Q16" s="6"/>
      <c r="R16" s="6"/>
      <c r="S16" s="6"/>
      <c r="T16" s="6"/>
    </row>
    <row r="17" spans="1:20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ht="16.8" spans="1:20">
      <c r="A18" s="6"/>
      <c r="B18" s="17" t="s">
        <v>31</v>
      </c>
      <c r="C18" s="37">
        <f t="shared" ref="C18:N18" si="10">C64*C65</f>
        <v>11976.1337737313</v>
      </c>
      <c r="D18" s="37">
        <f t="shared" si="10"/>
        <v>13415.9080299417</v>
      </c>
      <c r="E18" s="37">
        <f t="shared" si="10"/>
        <v>9436.25479890407</v>
      </c>
      <c r="F18" s="37">
        <f t="shared" si="10"/>
        <v>7884.81460979435</v>
      </c>
      <c r="G18" s="37">
        <f t="shared" si="10"/>
        <v>15452.6552373242</v>
      </c>
      <c r="H18" s="37">
        <f t="shared" si="10"/>
        <v>14270.41937724</v>
      </c>
      <c r="I18" s="37">
        <f t="shared" si="10"/>
        <v>7909.40862296881</v>
      </c>
      <c r="J18" s="37">
        <f t="shared" si="10"/>
        <v>11831.6390164596</v>
      </c>
      <c r="K18" s="37">
        <f t="shared" si="10"/>
        <v>7751.39493123717</v>
      </c>
      <c r="L18" s="37">
        <f t="shared" si="10"/>
        <v>13981.6354730578</v>
      </c>
      <c r="M18" s="37">
        <f t="shared" si="10"/>
        <v>12417.8168966043</v>
      </c>
      <c r="N18" s="37">
        <f t="shared" si="10"/>
        <v>11065.4108354662</v>
      </c>
      <c r="O18" s="37">
        <f>SUM(C18:N18)</f>
        <v>137393.49160273</v>
      </c>
      <c r="P18" s="38">
        <v>0.3976</v>
      </c>
      <c r="Q18" s="6"/>
      <c r="R18" s="6"/>
      <c r="S18" s="6"/>
      <c r="T18" s="6"/>
    </row>
    <row r="19" ht="16.8" spans="1:20">
      <c r="A19" s="6"/>
      <c r="B19" s="21" t="s">
        <v>32</v>
      </c>
      <c r="C19" s="40">
        <f t="shared" ref="C19:N19" si="11">C16-C18</f>
        <v>12490.8344249819</v>
      </c>
      <c r="D19" s="40">
        <f t="shared" si="11"/>
        <v>14109.4311936107</v>
      </c>
      <c r="E19" s="40">
        <f t="shared" si="11"/>
        <v>8913.97135013083</v>
      </c>
      <c r="F19" s="40">
        <f t="shared" si="11"/>
        <v>7407.0405144014</v>
      </c>
      <c r="G19" s="40">
        <f t="shared" si="11"/>
        <v>18189.4260359064</v>
      </c>
      <c r="H19" s="40">
        <f t="shared" si="11"/>
        <v>16313.2908711515</v>
      </c>
      <c r="I19" s="40">
        <f t="shared" si="11"/>
        <v>10440.8175260661</v>
      </c>
      <c r="J19" s="40">
        <f t="shared" si="11"/>
        <v>15693.7002070927</v>
      </c>
      <c r="K19" s="40">
        <f t="shared" si="11"/>
        <v>10598.8312177977</v>
      </c>
      <c r="L19" s="40">
        <f t="shared" si="11"/>
        <v>19660.4458001728</v>
      </c>
      <c r="M19" s="40">
        <f t="shared" si="11"/>
        <v>18165.8933517872</v>
      </c>
      <c r="N19" s="40">
        <f t="shared" si="11"/>
        <v>16459.9283880861</v>
      </c>
      <c r="O19" s="40">
        <f>SUM(C19:N19)</f>
        <v>168443.610881185</v>
      </c>
      <c r="P19" s="41">
        <f>O19/$O$16</f>
        <v>0.550762512177686</v>
      </c>
      <c r="Q19" s="6"/>
      <c r="R19" s="6"/>
      <c r="S19" s="6"/>
      <c r="T19" s="6"/>
    </row>
    <row r="20" ht="16.8" spans="1:20">
      <c r="A20" s="36"/>
      <c r="B20" s="4" t="s">
        <v>33</v>
      </c>
      <c r="C20" s="36">
        <f t="shared" ref="C20:N20" si="12">C16*1.7%</f>
        <v>415.938459378124</v>
      </c>
      <c r="D20" s="36">
        <f t="shared" si="12"/>
        <v>467.93076680039</v>
      </c>
      <c r="E20" s="36">
        <f t="shared" si="12"/>
        <v>311.953844533593</v>
      </c>
      <c r="F20" s="36">
        <f t="shared" si="12"/>
        <v>259.961537111328</v>
      </c>
      <c r="G20" s="36">
        <f t="shared" si="12"/>
        <v>571.915381644921</v>
      </c>
      <c r="H20" s="36">
        <f t="shared" si="12"/>
        <v>519.923074222656</v>
      </c>
      <c r="I20" s="36">
        <f t="shared" si="12"/>
        <v>311.953844533593</v>
      </c>
      <c r="J20" s="36">
        <f t="shared" si="12"/>
        <v>467.93076680039</v>
      </c>
      <c r="K20" s="36">
        <f t="shared" si="12"/>
        <v>311.953844533593</v>
      </c>
      <c r="L20" s="36">
        <f t="shared" si="12"/>
        <v>571.915381644921</v>
      </c>
      <c r="M20" s="36">
        <f t="shared" si="12"/>
        <v>519.923074222656</v>
      </c>
      <c r="N20" s="36">
        <f t="shared" si="12"/>
        <v>467.93076680039</v>
      </c>
      <c r="O20" s="36">
        <f>SUM(C20:N20)</f>
        <v>5199.23074222656</v>
      </c>
      <c r="P20" s="42">
        <v>0.0165</v>
      </c>
      <c r="Q20" s="6"/>
      <c r="R20" s="6"/>
      <c r="S20" s="6"/>
      <c r="T20" s="6"/>
    </row>
    <row r="21" ht="16.8" spans="1:20">
      <c r="A21" s="6"/>
      <c r="B21" s="21" t="s">
        <v>35</v>
      </c>
      <c r="C21" s="40">
        <f t="shared" ref="C21:N21" si="13">SUM(C18,C20)</f>
        <v>12392.0722331094</v>
      </c>
      <c r="D21" s="40">
        <f t="shared" si="13"/>
        <v>13883.8387967421</v>
      </c>
      <c r="E21" s="40">
        <f t="shared" si="13"/>
        <v>9748.20864343766</v>
      </c>
      <c r="F21" s="40">
        <f t="shared" si="13"/>
        <v>8144.77614690567</v>
      </c>
      <c r="G21" s="40">
        <f t="shared" si="13"/>
        <v>16024.5706189692</v>
      </c>
      <c r="H21" s="40">
        <f t="shared" si="13"/>
        <v>14790.3424514627</v>
      </c>
      <c r="I21" s="40">
        <f t="shared" si="13"/>
        <v>8221.36246750241</v>
      </c>
      <c r="J21" s="40">
        <f t="shared" si="13"/>
        <v>12299.56978326</v>
      </c>
      <c r="K21" s="40">
        <f t="shared" si="13"/>
        <v>8063.34877577077</v>
      </c>
      <c r="L21" s="40">
        <f t="shared" si="13"/>
        <v>14553.5508547027</v>
      </c>
      <c r="M21" s="40">
        <f t="shared" si="13"/>
        <v>12937.7399708269</v>
      </c>
      <c r="N21" s="40">
        <f t="shared" si="13"/>
        <v>11533.3416022666</v>
      </c>
      <c r="O21" s="40">
        <f>SUM(C21:N21)</f>
        <v>142592.722344956</v>
      </c>
      <c r="P21" s="41">
        <f>O21/$O$16</f>
        <v>0.466237487822314</v>
      </c>
      <c r="Q21" s="6"/>
      <c r="R21" s="6"/>
      <c r="S21" s="6"/>
      <c r="T21" s="6"/>
    </row>
    <row r="22" ht="16.8" spans="1:20">
      <c r="A22" s="32"/>
      <c r="B22" s="12" t="s">
        <v>36</v>
      </c>
      <c r="C22" s="12">
        <f t="shared" ref="C22:N22" si="14">C16-C21</f>
        <v>12074.8959656038</v>
      </c>
      <c r="D22" s="12">
        <f t="shared" si="14"/>
        <v>13641.5004268103</v>
      </c>
      <c r="E22" s="12">
        <f t="shared" si="14"/>
        <v>8602.01750559723</v>
      </c>
      <c r="F22" s="12">
        <f t="shared" si="14"/>
        <v>7147.07897729008</v>
      </c>
      <c r="G22" s="12">
        <f t="shared" si="14"/>
        <v>17617.5106542615</v>
      </c>
      <c r="H22" s="12">
        <f t="shared" si="14"/>
        <v>15793.3677969288</v>
      </c>
      <c r="I22" s="12">
        <f t="shared" si="14"/>
        <v>10128.8636815325</v>
      </c>
      <c r="J22" s="12">
        <f t="shared" si="14"/>
        <v>15225.7694402923</v>
      </c>
      <c r="K22" s="12">
        <f t="shared" si="14"/>
        <v>10286.8773732641</v>
      </c>
      <c r="L22" s="12">
        <f t="shared" si="14"/>
        <v>19088.5304185279</v>
      </c>
      <c r="M22" s="12">
        <f t="shared" si="14"/>
        <v>17645.9702775646</v>
      </c>
      <c r="N22" s="12">
        <f t="shared" si="14"/>
        <v>15991.9976212858</v>
      </c>
      <c r="O22" s="12">
        <f>SUM(C22:N22)</f>
        <v>163244.380138959</v>
      </c>
      <c r="P22" s="43">
        <f>O22/$O$16</f>
        <v>0.533762512177686</v>
      </c>
      <c r="Q22" s="6"/>
      <c r="R22" s="6"/>
      <c r="S22" s="6"/>
      <c r="T22" s="6"/>
    </row>
    <row r="23" ht="16.8" spans="1:20">
      <c r="A23" s="6"/>
      <c r="B23" s="14" t="s">
        <v>37</v>
      </c>
      <c r="C23" s="44">
        <f t="shared" ref="C23:O23" si="15">C19/C16</f>
        <v>0.510518276050191</v>
      </c>
      <c r="D23" s="44">
        <f t="shared" si="15"/>
        <v>0.512597904026476</v>
      </c>
      <c r="E23" s="44">
        <f t="shared" si="15"/>
        <v>0.485769018743109</v>
      </c>
      <c r="F23" s="44">
        <f t="shared" si="15"/>
        <v>0.484378151260504</v>
      </c>
      <c r="G23" s="44">
        <f t="shared" si="15"/>
        <v>0.54067481402763</v>
      </c>
      <c r="H23" s="44">
        <f t="shared" si="15"/>
        <v>0.533398032438181</v>
      </c>
      <c r="I23" s="44">
        <f t="shared" si="15"/>
        <v>0.56897486937049</v>
      </c>
      <c r="J23" s="44">
        <f t="shared" si="15"/>
        <v>0.570154652032926</v>
      </c>
      <c r="K23" s="44">
        <f t="shared" si="15"/>
        <v>0.577585863613738</v>
      </c>
      <c r="L23" s="44">
        <f t="shared" si="15"/>
        <v>0.584400401404917</v>
      </c>
      <c r="M23" s="44">
        <f t="shared" si="15"/>
        <v>0.59397284385215</v>
      </c>
      <c r="N23" s="44">
        <f t="shared" si="15"/>
        <v>0.597991845056065</v>
      </c>
      <c r="O23" s="44">
        <f t="shared" si="15"/>
        <v>0.550762512177686</v>
      </c>
      <c r="P23" s="42"/>
      <c r="Q23" s="6"/>
      <c r="R23" s="6"/>
      <c r="S23" s="6"/>
      <c r="T23" s="6"/>
    </row>
    <row r="24" ht="16.8" spans="1:20">
      <c r="A24" s="6"/>
      <c r="B24" s="14" t="s">
        <v>38</v>
      </c>
      <c r="C24" s="44">
        <f t="shared" ref="C24:O24" si="16">IFERROR(1-C21/C16,0)</f>
        <v>0.493518276050191</v>
      </c>
      <c r="D24" s="44">
        <f t="shared" si="16"/>
        <v>0.495597904026476</v>
      </c>
      <c r="E24" s="44">
        <f t="shared" si="16"/>
        <v>0.468769018743109</v>
      </c>
      <c r="F24" s="44">
        <f t="shared" si="16"/>
        <v>0.467378151260504</v>
      </c>
      <c r="G24" s="44">
        <f t="shared" si="16"/>
        <v>0.52367481402763</v>
      </c>
      <c r="H24" s="44">
        <f t="shared" si="16"/>
        <v>0.516398032438181</v>
      </c>
      <c r="I24" s="44">
        <f t="shared" si="16"/>
        <v>0.55197486937049</v>
      </c>
      <c r="J24" s="44">
        <f t="shared" si="16"/>
        <v>0.553154652032926</v>
      </c>
      <c r="K24" s="44">
        <f t="shared" si="16"/>
        <v>0.560585863613738</v>
      </c>
      <c r="L24" s="44">
        <f t="shared" si="16"/>
        <v>0.567400401404917</v>
      </c>
      <c r="M24" s="44">
        <f t="shared" si="16"/>
        <v>0.57697284385215</v>
      </c>
      <c r="N24" s="44">
        <f t="shared" si="16"/>
        <v>0.580991845056065</v>
      </c>
      <c r="O24" s="44">
        <f t="shared" si="16"/>
        <v>0.533762512177686</v>
      </c>
      <c r="P24" s="42"/>
      <c r="Q24" s="6"/>
      <c r="R24" s="6"/>
      <c r="S24" s="6"/>
      <c r="T24" s="6"/>
    </row>
    <row r="25" ht="16.8" spans="1:20">
      <c r="A25" s="6"/>
      <c r="B25" s="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42"/>
      <c r="Q25" s="6"/>
      <c r="R25" s="6"/>
      <c r="S25" s="6"/>
      <c r="T25" s="6"/>
    </row>
    <row r="26" ht="16.8" spans="1:20">
      <c r="A26" s="6"/>
      <c r="B26" s="17" t="s">
        <v>39</v>
      </c>
      <c r="C26" s="37">
        <f t="shared" ref="C26:N26" si="17">SUM(C27:C31)</f>
        <v>302.704992532564</v>
      </c>
      <c r="D26" s="37">
        <f t="shared" si="17"/>
        <v>1072.31167363316</v>
      </c>
      <c r="E26" s="37">
        <f t="shared" si="17"/>
        <v>1876.24339970071</v>
      </c>
      <c r="F26" s="37">
        <f t="shared" si="17"/>
        <v>1052.72105263871</v>
      </c>
      <c r="G26" s="37">
        <f t="shared" si="17"/>
        <v>4588.28740583525</v>
      </c>
      <c r="H26" s="37">
        <f t="shared" si="17"/>
        <v>2656.49744923708</v>
      </c>
      <c r="I26" s="37">
        <f t="shared" si="17"/>
        <v>485.715469304381</v>
      </c>
      <c r="J26" s="37">
        <f t="shared" si="17"/>
        <v>843.681817752406</v>
      </c>
      <c r="K26" s="37">
        <f t="shared" si="17"/>
        <v>669.890210648331</v>
      </c>
      <c r="L26" s="37">
        <f t="shared" si="17"/>
        <v>2400.24978471244</v>
      </c>
      <c r="M26" s="37">
        <f t="shared" si="17"/>
        <v>943.950258294321</v>
      </c>
      <c r="N26" s="37">
        <f t="shared" si="17"/>
        <v>559.957018890595</v>
      </c>
      <c r="O26" s="37">
        <f t="shared" ref="O26:O31" si="18">SUM(C26:N26)</f>
        <v>17452.2105331799</v>
      </c>
      <c r="P26" s="38">
        <f t="shared" ref="P26:P31" si="19">O26/$O$16</f>
        <v>0.0570637453449514</v>
      </c>
      <c r="Q26" s="6"/>
      <c r="R26" s="6"/>
      <c r="S26" s="6"/>
      <c r="T26" s="6"/>
    </row>
    <row r="27" ht="16.8" spans="1:20">
      <c r="A27" s="36"/>
      <c r="B27" s="4" t="s">
        <v>40</v>
      </c>
      <c r="C27" s="45">
        <v>0</v>
      </c>
      <c r="D27" s="45">
        <v>0</v>
      </c>
      <c r="E27" s="45">
        <v>51.2634808661395</v>
      </c>
      <c r="F27" s="45">
        <v>42.7935387251507</v>
      </c>
      <c r="G27" s="45">
        <v>91.4001475265985</v>
      </c>
      <c r="H27" s="45">
        <v>80.4999227041538</v>
      </c>
      <c r="I27" s="45">
        <v>51.6718584366363</v>
      </c>
      <c r="J27" s="45">
        <v>71.4984591315599</v>
      </c>
      <c r="K27" s="45">
        <v>56.7703568346044</v>
      </c>
      <c r="L27" s="45">
        <v>96.0099913884977</v>
      </c>
      <c r="M27" s="45">
        <v>72.6115583303323</v>
      </c>
      <c r="N27" s="45">
        <v>0</v>
      </c>
      <c r="O27" s="36">
        <f t="shared" si="18"/>
        <v>614.519313943673</v>
      </c>
      <c r="P27" s="42">
        <f t="shared" si="19"/>
        <v>0.00200930269399212</v>
      </c>
      <c r="Q27" s="4"/>
      <c r="R27" s="6"/>
      <c r="S27" s="6"/>
      <c r="T27" s="6"/>
    </row>
    <row r="28" ht="16.8" spans="1:20">
      <c r="A28" s="36"/>
      <c r="B28" s="4" t="s">
        <v>41</v>
      </c>
      <c r="C28" s="45">
        <v>0</v>
      </c>
      <c r="D28" s="45">
        <v>0</v>
      </c>
      <c r="E28" s="45">
        <v>0</v>
      </c>
      <c r="F28" s="45">
        <v>51.3522464701808</v>
      </c>
      <c r="G28" s="45">
        <v>548.400885159591</v>
      </c>
      <c r="H28" s="45">
        <v>257.599752653292</v>
      </c>
      <c r="I28" s="45">
        <v>0</v>
      </c>
      <c r="J28" s="45">
        <v>85.7981509578718</v>
      </c>
      <c r="K28" s="45">
        <v>181.665141870734</v>
      </c>
      <c r="L28" s="45">
        <v>115.211989666197</v>
      </c>
      <c r="M28" s="45">
        <v>87.1338699963988</v>
      </c>
      <c r="N28" s="45">
        <v>0</v>
      </c>
      <c r="O28" s="36">
        <f t="shared" si="18"/>
        <v>1327.16203677427</v>
      </c>
      <c r="P28" s="42">
        <f t="shared" si="19"/>
        <v>0.00433944091804253</v>
      </c>
      <c r="Q28" s="4"/>
      <c r="R28" s="6"/>
      <c r="S28" s="6"/>
      <c r="T28" s="6"/>
    </row>
    <row r="29" ht="16.8" spans="1:20">
      <c r="A29" s="36"/>
      <c r="B29" s="4" t="s">
        <v>42</v>
      </c>
      <c r="C29" s="45">
        <v>25.2254160443803</v>
      </c>
      <c r="D29" s="45">
        <v>20.6213783390993</v>
      </c>
      <c r="E29" s="45">
        <v>20.5053923464558</v>
      </c>
      <c r="F29" s="45">
        <v>85.5870774503014</v>
      </c>
      <c r="G29" s="45">
        <v>548.400885159591</v>
      </c>
      <c r="H29" s="45">
        <v>354.199659898277</v>
      </c>
      <c r="I29" s="45">
        <v>0</v>
      </c>
      <c r="J29" s="45">
        <v>85.7981509578718</v>
      </c>
      <c r="K29" s="45">
        <v>181.665141870734</v>
      </c>
      <c r="L29" s="45">
        <v>192.019982776995</v>
      </c>
      <c r="M29" s="45">
        <v>145.223116660665</v>
      </c>
      <c r="N29" s="45">
        <v>25.4525917677543</v>
      </c>
      <c r="O29" s="36">
        <f t="shared" si="18"/>
        <v>1684.69879327212</v>
      </c>
      <c r="P29" s="42">
        <f t="shared" si="19"/>
        <v>0.00550848402495812</v>
      </c>
      <c r="Q29" s="6"/>
      <c r="R29" s="6"/>
      <c r="S29" s="6"/>
      <c r="T29" s="6"/>
    </row>
    <row r="30" ht="16.8" spans="1:20">
      <c r="A30" s="36"/>
      <c r="B30" s="4" t="s">
        <v>43</v>
      </c>
      <c r="C30" s="45">
        <v>25.2254160443803</v>
      </c>
      <c r="D30" s="45">
        <v>20.6213783390993</v>
      </c>
      <c r="E30" s="45">
        <v>164.043138771646</v>
      </c>
      <c r="F30" s="45">
        <v>17.1174154900603</v>
      </c>
      <c r="G30" s="45">
        <v>109.680177031918</v>
      </c>
      <c r="H30" s="45">
        <v>32.1999690816615</v>
      </c>
      <c r="I30" s="45">
        <v>20.6687433746545</v>
      </c>
      <c r="J30" s="45">
        <v>28.599383652624</v>
      </c>
      <c r="K30" s="45">
        <v>22.7081427338417</v>
      </c>
      <c r="L30" s="45">
        <v>76.8079931107982</v>
      </c>
      <c r="M30" s="45">
        <v>58.0892466642659</v>
      </c>
      <c r="N30" s="45">
        <v>25.4525917677543</v>
      </c>
      <c r="O30" s="36">
        <f t="shared" si="18"/>
        <v>601.213596062704</v>
      </c>
      <c r="P30" s="42">
        <f t="shared" si="19"/>
        <v>0.00196579679567924</v>
      </c>
      <c r="Q30" s="6"/>
      <c r="R30" s="6"/>
      <c r="S30" s="6"/>
      <c r="T30" s="6"/>
    </row>
    <row r="31" ht="16.8" spans="1:20">
      <c r="A31" s="36"/>
      <c r="B31" s="4" t="s">
        <v>44</v>
      </c>
      <c r="C31" s="45">
        <v>252.254160443803</v>
      </c>
      <c r="D31" s="45">
        <v>1031.06891695496</v>
      </c>
      <c r="E31" s="45">
        <v>1640.43138771646</v>
      </c>
      <c r="F31" s="45">
        <v>855.870774503014</v>
      </c>
      <c r="G31" s="45">
        <v>3290.40531095755</v>
      </c>
      <c r="H31" s="45">
        <v>1931.99814489969</v>
      </c>
      <c r="I31" s="45">
        <v>413.37486749309</v>
      </c>
      <c r="J31" s="45">
        <v>571.987673052479</v>
      </c>
      <c r="K31" s="45">
        <v>227.081427338417</v>
      </c>
      <c r="L31" s="45">
        <v>1920.19982776995</v>
      </c>
      <c r="M31" s="45">
        <v>580.892466642659</v>
      </c>
      <c r="N31" s="45">
        <v>509.051835355086</v>
      </c>
      <c r="O31" s="36">
        <f t="shared" si="18"/>
        <v>13224.6167931272</v>
      </c>
      <c r="P31" s="42">
        <f t="shared" si="19"/>
        <v>0.0432407209122794</v>
      </c>
      <c r="Q31" s="6"/>
      <c r="R31" s="6"/>
      <c r="S31" s="6"/>
      <c r="T31" s="6"/>
    </row>
    <row r="32" ht="16.8" outlineLevel="1" spans="1:20">
      <c r="A32" s="36"/>
      <c r="B32" s="4" t="s">
        <v>45</v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42"/>
      <c r="Q32" s="6"/>
      <c r="R32" s="6"/>
      <c r="S32" s="6"/>
      <c r="T32" s="6"/>
    </row>
    <row r="33" ht="16.8" outlineLevel="1" spans="1:20">
      <c r="A33" s="36"/>
      <c r="B33" s="4" t="s">
        <v>46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42"/>
      <c r="Q33" s="6"/>
      <c r="R33" s="6"/>
      <c r="S33" s="6"/>
      <c r="T33" s="6"/>
    </row>
    <row r="34" ht="16.8" outlineLevel="1" spans="1:20">
      <c r="A34" s="36"/>
      <c r="B34" s="4" t="s">
        <v>47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42"/>
      <c r="Q34" s="6"/>
      <c r="R34" s="6"/>
      <c r="S34" s="6"/>
      <c r="T34" s="6"/>
    </row>
    <row r="35" ht="16.8" outlineLevel="1" spans="1:20">
      <c r="A35" s="36"/>
      <c r="B35" s="4" t="s">
        <v>48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42"/>
      <c r="Q35" s="6"/>
      <c r="R35" s="6"/>
      <c r="S35" s="6"/>
      <c r="T35" s="6"/>
    </row>
    <row r="36" ht="16.8" outlineLevel="1" spans="1:20">
      <c r="A36" s="36"/>
      <c r="B36" s="4" t="s">
        <v>49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36"/>
      <c r="P36" s="42"/>
      <c r="Q36" s="6"/>
      <c r="R36" s="6"/>
      <c r="S36" s="6"/>
      <c r="T36" s="6"/>
    </row>
    <row r="37" ht="16.8" spans="1:20">
      <c r="A37" s="6"/>
      <c r="B37" s="17" t="s">
        <v>50</v>
      </c>
      <c r="C37" s="37">
        <f t="shared" ref="C37:N37" si="20">SUM(C38:C40)</f>
        <v>0</v>
      </c>
      <c r="D37" s="37">
        <f t="shared" si="20"/>
        <v>0</v>
      </c>
      <c r="E37" s="37">
        <f t="shared" si="20"/>
        <v>0</v>
      </c>
      <c r="F37" s="37">
        <f t="shared" si="20"/>
        <v>0</v>
      </c>
      <c r="G37" s="37">
        <f t="shared" si="20"/>
        <v>0</v>
      </c>
      <c r="H37" s="37">
        <f t="shared" si="20"/>
        <v>0</v>
      </c>
      <c r="I37" s="37">
        <f t="shared" si="20"/>
        <v>0</v>
      </c>
      <c r="J37" s="37">
        <f t="shared" si="20"/>
        <v>0</v>
      </c>
      <c r="K37" s="37">
        <f t="shared" si="20"/>
        <v>0</v>
      </c>
      <c r="L37" s="37">
        <f t="shared" si="20"/>
        <v>0</v>
      </c>
      <c r="M37" s="37">
        <f t="shared" si="20"/>
        <v>0</v>
      </c>
      <c r="N37" s="37">
        <f t="shared" si="20"/>
        <v>0</v>
      </c>
      <c r="O37" s="37">
        <f>SUM(C37:N37)</f>
        <v>0</v>
      </c>
      <c r="P37" s="38">
        <f>O37/$O$16</f>
        <v>0</v>
      </c>
      <c r="Q37" s="6"/>
      <c r="R37" s="6"/>
      <c r="S37" s="6"/>
      <c r="T37" s="6"/>
    </row>
    <row r="38" ht="16.8" spans="1:20">
      <c r="A38" s="36"/>
      <c r="B38" s="4" t="s">
        <v>51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36">
        <f>SUM(C38:N38)</f>
        <v>0</v>
      </c>
      <c r="P38" s="42">
        <f>O38/$O$16</f>
        <v>0</v>
      </c>
      <c r="Q38" s="6" t="s">
        <v>91</v>
      </c>
      <c r="R38" s="6"/>
      <c r="S38" s="6"/>
      <c r="T38" s="6"/>
    </row>
    <row r="39" ht="16.8" spans="1:20">
      <c r="A39" s="36"/>
      <c r="B39" s="4" t="s">
        <v>53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36">
        <f>SUM(C39:N39)</f>
        <v>0</v>
      </c>
      <c r="P39" s="42">
        <f>O39/$O$16</f>
        <v>0</v>
      </c>
      <c r="Q39" s="6" t="s">
        <v>91</v>
      </c>
      <c r="R39" s="6"/>
      <c r="S39" s="6"/>
      <c r="T39" s="6"/>
    </row>
    <row r="40" ht="16.8" spans="1:20">
      <c r="A40" s="36"/>
      <c r="B40" s="4" t="s">
        <v>55</v>
      </c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36">
        <f>SUM(C40:N40)</f>
        <v>0</v>
      </c>
      <c r="P40" s="42">
        <f>O40/$O$16</f>
        <v>0</v>
      </c>
      <c r="Q40" s="6" t="s">
        <v>91</v>
      </c>
      <c r="R40" s="6"/>
      <c r="S40" s="6"/>
      <c r="T40" s="6"/>
    </row>
    <row r="41" ht="16.8" outlineLevel="1" spans="1:20">
      <c r="A41" s="36"/>
      <c r="B41" s="4" t="s">
        <v>57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2">
        <f>O38/$O$16</f>
        <v>0</v>
      </c>
      <c r="P41" s="6"/>
      <c r="Q41" s="6" t="s">
        <v>91</v>
      </c>
      <c r="R41" s="6"/>
      <c r="S41" s="6"/>
      <c r="T41" s="6"/>
    </row>
    <row r="42" ht="16.8" outlineLevel="1" spans="1:20">
      <c r="A42" s="36"/>
      <c r="B42" s="4" t="s">
        <v>58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2">
        <f>O39/$O$16</f>
        <v>0</v>
      </c>
      <c r="P42" s="6"/>
      <c r="Q42" s="6" t="s">
        <v>91</v>
      </c>
      <c r="R42" s="6"/>
      <c r="S42" s="6"/>
      <c r="T42" s="6"/>
    </row>
    <row r="43" ht="16.8" outlineLevel="1" spans="1:20">
      <c r="A43" s="36"/>
      <c r="B43" s="4" t="s">
        <v>59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2">
        <f>O40/$O$16</f>
        <v>0</v>
      </c>
      <c r="P43" s="6"/>
      <c r="Q43" s="6" t="s">
        <v>91</v>
      </c>
      <c r="R43" s="6"/>
      <c r="S43" s="6"/>
      <c r="T43" s="6"/>
    </row>
    <row r="44" ht="16.8" spans="1:20">
      <c r="A44" s="6"/>
      <c r="B44" s="17" t="s">
        <v>60</v>
      </c>
      <c r="C44" s="37">
        <f t="shared" ref="C44:N44" si="21">SUM(C45:C46)</f>
        <v>8230.68810204712</v>
      </c>
      <c r="D44" s="37">
        <f t="shared" si="21"/>
        <v>9259.52411480301</v>
      </c>
      <c r="E44" s="37">
        <f t="shared" si="21"/>
        <v>6173.01607653534</v>
      </c>
      <c r="F44" s="37">
        <f t="shared" si="21"/>
        <v>5144.18006377945</v>
      </c>
      <c r="G44" s="37">
        <f t="shared" si="21"/>
        <v>11317.1961403148</v>
      </c>
      <c r="H44" s="37">
        <f t="shared" si="21"/>
        <v>10288.3601275589</v>
      </c>
      <c r="I44" s="37">
        <f t="shared" si="21"/>
        <v>6173.01607653534</v>
      </c>
      <c r="J44" s="37">
        <f t="shared" si="21"/>
        <v>9259.52411480301</v>
      </c>
      <c r="K44" s="37">
        <f t="shared" si="21"/>
        <v>6173.01607653534</v>
      </c>
      <c r="L44" s="37">
        <f t="shared" si="21"/>
        <v>11317.1961403148</v>
      </c>
      <c r="M44" s="37">
        <f t="shared" si="21"/>
        <v>10288.3601275589</v>
      </c>
      <c r="N44" s="37">
        <f t="shared" si="21"/>
        <v>9259.52411480301</v>
      </c>
      <c r="O44" s="37">
        <f t="shared" ref="O44:O60" si="22">SUM(C44:N44)</f>
        <v>102883.601275589</v>
      </c>
      <c r="P44" s="38">
        <f>O44/$O$16</f>
        <v>0.3364</v>
      </c>
      <c r="Q44" s="6"/>
      <c r="R44" s="6"/>
      <c r="S44" s="6"/>
      <c r="T44" s="6"/>
    </row>
    <row r="45" ht="58" spans="1:20">
      <c r="A45" s="36"/>
      <c r="B45" s="4" t="s">
        <v>61</v>
      </c>
      <c r="C45" s="45">
        <f t="shared" ref="C45:N45" si="23">C8*0.4*0.4+C8*0.6*0.2</f>
        <v>7741.34873807286</v>
      </c>
      <c r="D45" s="45">
        <f t="shared" si="23"/>
        <v>8709.01733033196</v>
      </c>
      <c r="E45" s="45">
        <f t="shared" si="23"/>
        <v>5806.01155355464</v>
      </c>
      <c r="F45" s="45">
        <f t="shared" si="23"/>
        <v>4838.34296129554</v>
      </c>
      <c r="G45" s="45">
        <f t="shared" si="23"/>
        <v>10644.3545148502</v>
      </c>
      <c r="H45" s="45">
        <f t="shared" si="23"/>
        <v>9676.68592259107</v>
      </c>
      <c r="I45" s="45">
        <f t="shared" si="23"/>
        <v>5806.01155355464</v>
      </c>
      <c r="J45" s="45">
        <f t="shared" si="23"/>
        <v>8709.01733033196</v>
      </c>
      <c r="K45" s="45">
        <f t="shared" si="23"/>
        <v>5806.01155355464</v>
      </c>
      <c r="L45" s="45">
        <f t="shared" si="23"/>
        <v>10644.3545148502</v>
      </c>
      <c r="M45" s="45">
        <f t="shared" si="23"/>
        <v>9676.68592259107</v>
      </c>
      <c r="N45" s="45">
        <f t="shared" si="23"/>
        <v>8709.01733033196</v>
      </c>
      <c r="O45" s="36">
        <f t="shared" si="22"/>
        <v>96766.8592259107</v>
      </c>
      <c r="P45" s="42">
        <f>O45/O16</f>
        <v>0.3164</v>
      </c>
      <c r="Q45" s="60" t="s">
        <v>128</v>
      </c>
      <c r="R45" s="6"/>
      <c r="S45" s="6"/>
      <c r="T45" s="6"/>
    </row>
    <row r="46" ht="16.8" spans="1:20">
      <c r="A46" s="36"/>
      <c r="B46" s="4" t="s">
        <v>63</v>
      </c>
      <c r="C46" s="45">
        <f t="shared" ref="C46:N46" si="24">C16*$P$46</f>
        <v>489.339363974264</v>
      </c>
      <c r="D46" s="45">
        <f t="shared" si="24"/>
        <v>550.506784471047</v>
      </c>
      <c r="E46" s="45">
        <f t="shared" si="24"/>
        <v>367.004522980698</v>
      </c>
      <c r="F46" s="45">
        <f t="shared" si="24"/>
        <v>305.837102483915</v>
      </c>
      <c r="G46" s="45">
        <f t="shared" si="24"/>
        <v>672.841625464613</v>
      </c>
      <c r="H46" s="45">
        <f t="shared" si="24"/>
        <v>611.67420496783</v>
      </c>
      <c r="I46" s="45">
        <f t="shared" si="24"/>
        <v>367.004522980698</v>
      </c>
      <c r="J46" s="45">
        <f t="shared" si="24"/>
        <v>550.506784471047</v>
      </c>
      <c r="K46" s="45">
        <f t="shared" si="24"/>
        <v>367.004522980698</v>
      </c>
      <c r="L46" s="45">
        <f t="shared" si="24"/>
        <v>672.841625464613</v>
      </c>
      <c r="M46" s="45">
        <f t="shared" si="24"/>
        <v>611.67420496783</v>
      </c>
      <c r="N46" s="45">
        <f t="shared" si="24"/>
        <v>550.506784471047</v>
      </c>
      <c r="O46" s="36">
        <f t="shared" si="22"/>
        <v>6116.7420496783</v>
      </c>
      <c r="P46" s="42">
        <v>0.02</v>
      </c>
      <c r="Q46" s="4" t="s">
        <v>83</v>
      </c>
      <c r="R46" s="6"/>
      <c r="S46" s="6"/>
      <c r="T46" s="6"/>
    </row>
    <row r="47" ht="16.8" spans="1:20">
      <c r="A47" s="6"/>
      <c r="B47" s="17" t="s">
        <v>65</v>
      </c>
      <c r="C47" s="37">
        <f t="shared" ref="C47:N47" si="25">SUM(C48:C51)</f>
        <v>0</v>
      </c>
      <c r="D47" s="37">
        <f t="shared" si="25"/>
        <v>0</v>
      </c>
      <c r="E47" s="37">
        <f t="shared" si="25"/>
        <v>0</v>
      </c>
      <c r="F47" s="37">
        <f t="shared" si="25"/>
        <v>0</v>
      </c>
      <c r="G47" s="37">
        <f t="shared" si="25"/>
        <v>0</v>
      </c>
      <c r="H47" s="37">
        <f t="shared" si="25"/>
        <v>0</v>
      </c>
      <c r="I47" s="37">
        <f t="shared" si="25"/>
        <v>0</v>
      </c>
      <c r="J47" s="37">
        <f t="shared" si="25"/>
        <v>0</v>
      </c>
      <c r="K47" s="37">
        <f t="shared" si="25"/>
        <v>0</v>
      </c>
      <c r="L47" s="37">
        <f t="shared" si="25"/>
        <v>0</v>
      </c>
      <c r="M47" s="37">
        <f t="shared" si="25"/>
        <v>0</v>
      </c>
      <c r="N47" s="37">
        <f t="shared" si="25"/>
        <v>0</v>
      </c>
      <c r="O47" s="37">
        <f t="shared" si="22"/>
        <v>0</v>
      </c>
      <c r="P47" s="38">
        <f t="shared" ref="P47:P52" si="26">O47/$O$16</f>
        <v>0</v>
      </c>
      <c r="Q47" s="6"/>
      <c r="R47" s="6"/>
      <c r="S47" s="6"/>
      <c r="T47" s="6"/>
    </row>
    <row r="48" ht="16.8" spans="1:20">
      <c r="A48" s="36"/>
      <c r="B48" s="4" t="s">
        <v>66</v>
      </c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36">
        <f t="shared" si="22"/>
        <v>0</v>
      </c>
      <c r="P48" s="42">
        <f t="shared" si="26"/>
        <v>0</v>
      </c>
      <c r="Q48" s="4" t="s">
        <v>95</v>
      </c>
      <c r="R48" s="6"/>
      <c r="S48" s="6"/>
      <c r="T48" s="6"/>
    </row>
    <row r="49" ht="16.8" spans="1:20">
      <c r="A49" s="36"/>
      <c r="B49" s="4" t="s">
        <v>67</v>
      </c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36">
        <f t="shared" si="22"/>
        <v>0</v>
      </c>
      <c r="P49" s="42">
        <f t="shared" si="26"/>
        <v>0</v>
      </c>
      <c r="Q49" s="4" t="s">
        <v>95</v>
      </c>
      <c r="R49" s="6"/>
      <c r="S49" s="6"/>
      <c r="T49" s="6"/>
    </row>
    <row r="50" ht="16.8" spans="1:20">
      <c r="A50" s="36"/>
      <c r="B50" s="4" t="s">
        <v>68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36">
        <f t="shared" si="22"/>
        <v>0</v>
      </c>
      <c r="P50" s="42">
        <f t="shared" si="26"/>
        <v>0</v>
      </c>
      <c r="Q50" s="4" t="s">
        <v>95</v>
      </c>
      <c r="R50" s="6"/>
      <c r="S50" s="6"/>
      <c r="T50" s="6"/>
    </row>
    <row r="51" ht="16.8" spans="1:20">
      <c r="A51" s="6"/>
      <c r="B51" s="4" t="s">
        <v>69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36">
        <f t="shared" si="22"/>
        <v>0</v>
      </c>
      <c r="P51" s="42">
        <f t="shared" si="26"/>
        <v>0</v>
      </c>
      <c r="Q51" s="4" t="s">
        <v>95</v>
      </c>
      <c r="R51" s="6"/>
      <c r="S51" s="6"/>
      <c r="T51" s="6"/>
    </row>
    <row r="52" ht="16.8" spans="1:20">
      <c r="A52" s="6"/>
      <c r="B52" s="21" t="s">
        <v>70</v>
      </c>
      <c r="C52" s="40">
        <f t="shared" ref="C52:N52" si="27">SUM(C26,C37,C44,C47)</f>
        <v>8533.39309457969</v>
      </c>
      <c r="D52" s="40">
        <f t="shared" si="27"/>
        <v>10331.8357884362</v>
      </c>
      <c r="E52" s="40">
        <f t="shared" si="27"/>
        <v>8049.25947623605</v>
      </c>
      <c r="F52" s="40">
        <f t="shared" si="27"/>
        <v>6196.90111641816</v>
      </c>
      <c r="G52" s="40">
        <f t="shared" si="27"/>
        <v>15905.48354615</v>
      </c>
      <c r="H52" s="40">
        <f t="shared" si="27"/>
        <v>12944.857576796</v>
      </c>
      <c r="I52" s="40">
        <f t="shared" si="27"/>
        <v>6658.73154583972</v>
      </c>
      <c r="J52" s="40">
        <f t="shared" si="27"/>
        <v>10103.2059325554</v>
      </c>
      <c r="K52" s="40">
        <f t="shared" si="27"/>
        <v>6842.90628718367</v>
      </c>
      <c r="L52" s="40">
        <f t="shared" si="27"/>
        <v>13717.4459250272</v>
      </c>
      <c r="M52" s="40">
        <f t="shared" si="27"/>
        <v>11232.3103858532</v>
      </c>
      <c r="N52" s="40">
        <f t="shared" si="27"/>
        <v>9819.4811336936</v>
      </c>
      <c r="O52" s="40">
        <f t="shared" si="22"/>
        <v>120335.811808769</v>
      </c>
      <c r="P52" s="41">
        <f t="shared" si="26"/>
        <v>0.393463745344952</v>
      </c>
      <c r="Q52" s="6"/>
      <c r="R52" s="6"/>
      <c r="S52" s="6"/>
      <c r="T52" s="6"/>
    </row>
    <row r="53" ht="17" spans="1:20">
      <c r="A53" s="36"/>
      <c r="B53" s="4" t="s">
        <v>71</v>
      </c>
      <c r="C53" s="45">
        <f t="shared" ref="C53:N53" si="28">C16*$P$53</f>
        <v>611.67420496783</v>
      </c>
      <c r="D53" s="45">
        <f t="shared" si="28"/>
        <v>688.133480588809</v>
      </c>
      <c r="E53" s="45">
        <f t="shared" si="28"/>
        <v>458.755653725872</v>
      </c>
      <c r="F53" s="45">
        <f t="shared" si="28"/>
        <v>382.296378104894</v>
      </c>
      <c r="G53" s="45">
        <f t="shared" si="28"/>
        <v>841.052031830766</v>
      </c>
      <c r="H53" s="45">
        <f t="shared" si="28"/>
        <v>764.592756209788</v>
      </c>
      <c r="I53" s="45">
        <f t="shared" si="28"/>
        <v>458.755653725872</v>
      </c>
      <c r="J53" s="45">
        <f t="shared" si="28"/>
        <v>688.133480588809</v>
      </c>
      <c r="K53" s="45">
        <f t="shared" si="28"/>
        <v>458.755653725872</v>
      </c>
      <c r="L53" s="45">
        <f t="shared" si="28"/>
        <v>841.052031830766</v>
      </c>
      <c r="M53" s="45">
        <f t="shared" si="28"/>
        <v>764.592756209788</v>
      </c>
      <c r="N53" s="45">
        <f t="shared" si="28"/>
        <v>688.133480588809</v>
      </c>
      <c r="O53" s="36">
        <f t="shared" si="22"/>
        <v>7645.92756209788</v>
      </c>
      <c r="P53" s="42">
        <v>0.025</v>
      </c>
      <c r="Q53" s="72" t="s">
        <v>129</v>
      </c>
      <c r="R53" s="6"/>
      <c r="S53" s="6"/>
      <c r="T53" s="6"/>
    </row>
    <row r="54" ht="51" spans="1:20">
      <c r="A54" s="36"/>
      <c r="B54" s="4" t="s">
        <v>73</v>
      </c>
      <c r="C54" s="45">
        <f t="shared" ref="C54:N54" si="29">C16*$P$54</f>
        <v>171.268777390992</v>
      </c>
      <c r="D54" s="45">
        <f t="shared" si="29"/>
        <v>192.677374564866</v>
      </c>
      <c r="E54" s="45">
        <f t="shared" si="29"/>
        <v>128.451583043244</v>
      </c>
      <c r="F54" s="45">
        <f t="shared" si="29"/>
        <v>107.04298586937</v>
      </c>
      <c r="G54" s="45">
        <f t="shared" si="29"/>
        <v>235.494568912615</v>
      </c>
      <c r="H54" s="45">
        <f t="shared" si="29"/>
        <v>214.085971738741</v>
      </c>
      <c r="I54" s="45">
        <f t="shared" si="29"/>
        <v>128.451583043244</v>
      </c>
      <c r="J54" s="45">
        <f t="shared" si="29"/>
        <v>192.677374564866</v>
      </c>
      <c r="K54" s="45">
        <f t="shared" si="29"/>
        <v>128.451583043244</v>
      </c>
      <c r="L54" s="45">
        <f t="shared" si="29"/>
        <v>235.494568912615</v>
      </c>
      <c r="M54" s="45">
        <f t="shared" si="29"/>
        <v>214.085971738741</v>
      </c>
      <c r="N54" s="45">
        <f t="shared" si="29"/>
        <v>192.677374564866</v>
      </c>
      <c r="O54" s="36">
        <f t="shared" si="22"/>
        <v>2140.8597173874</v>
      </c>
      <c r="P54" s="42">
        <v>0.007</v>
      </c>
      <c r="Q54" s="72" t="s">
        <v>130</v>
      </c>
      <c r="R54" s="6"/>
      <c r="S54" s="6"/>
      <c r="T54" s="6"/>
    </row>
    <row r="55" ht="16.8" spans="1:20">
      <c r="A55" s="36"/>
      <c r="B55" s="4" t="s">
        <v>75</v>
      </c>
      <c r="C55" s="45">
        <v>1620.73971116747</v>
      </c>
      <c r="D55" s="45">
        <v>1059.81997990951</v>
      </c>
      <c r="E55" s="45">
        <v>826.65133122357</v>
      </c>
      <c r="F55" s="45">
        <v>1272.16947877249</v>
      </c>
      <c r="G55" s="45">
        <v>1092.53556762638</v>
      </c>
      <c r="H55" s="45">
        <v>765.396564837693</v>
      </c>
      <c r="I55" s="45">
        <v>1066.40942529614</v>
      </c>
      <c r="J55" s="45">
        <v>825.030623727127</v>
      </c>
      <c r="K55" s="45">
        <v>1136.84001931094</v>
      </c>
      <c r="L55" s="45">
        <v>897.338109007339</v>
      </c>
      <c r="M55" s="45">
        <v>785.963365978061</v>
      </c>
      <c r="N55" s="45">
        <v>766.846227482405</v>
      </c>
      <c r="O55" s="36">
        <f t="shared" si="22"/>
        <v>12115.7404043391</v>
      </c>
      <c r="P55" s="42">
        <v>0.03</v>
      </c>
      <c r="Q55" s="6"/>
      <c r="R55" s="6"/>
      <c r="S55" s="6"/>
      <c r="T55" s="6"/>
    </row>
    <row r="56" ht="16.8" spans="1:20">
      <c r="A56" s="36"/>
      <c r="B56" s="4" t="s">
        <v>77</v>
      </c>
      <c r="C56" s="45">
        <f t="shared" ref="C56:N56" si="30">C16*$P$56</f>
        <v>24.4669681987132</v>
      </c>
      <c r="D56" s="45">
        <f t="shared" si="30"/>
        <v>27.5253392235523</v>
      </c>
      <c r="E56" s="45">
        <f t="shared" si="30"/>
        <v>18.3502261490349</v>
      </c>
      <c r="F56" s="45">
        <f t="shared" si="30"/>
        <v>15.2918551241958</v>
      </c>
      <c r="G56" s="45">
        <f t="shared" si="30"/>
        <v>33.6420812732307</v>
      </c>
      <c r="H56" s="45">
        <f t="shared" si="30"/>
        <v>30.5837102483915</v>
      </c>
      <c r="I56" s="45">
        <f t="shared" si="30"/>
        <v>18.3502261490349</v>
      </c>
      <c r="J56" s="45">
        <f t="shared" si="30"/>
        <v>27.5253392235523</v>
      </c>
      <c r="K56" s="45">
        <f t="shared" si="30"/>
        <v>18.3502261490349</v>
      </c>
      <c r="L56" s="45">
        <f t="shared" si="30"/>
        <v>33.6420812732307</v>
      </c>
      <c r="M56" s="45">
        <f t="shared" si="30"/>
        <v>30.5837102483915</v>
      </c>
      <c r="N56" s="45">
        <f t="shared" si="30"/>
        <v>27.5253392235523</v>
      </c>
      <c r="O56" s="36">
        <f t="shared" si="22"/>
        <v>305.837102483915</v>
      </c>
      <c r="P56" s="42">
        <v>0.001</v>
      </c>
      <c r="Q56" s="6"/>
      <c r="R56" s="6"/>
      <c r="S56" s="6"/>
      <c r="T56" s="6"/>
    </row>
    <row r="57" ht="16.8" spans="1:20">
      <c r="A57" s="36"/>
      <c r="B57" s="4" t="s">
        <v>79</v>
      </c>
      <c r="C57" s="45">
        <v>191.765850958088</v>
      </c>
      <c r="D57" s="45"/>
      <c r="E57" s="45"/>
      <c r="F57" s="45"/>
      <c r="G57" s="45">
        <v>76.7063403832351</v>
      </c>
      <c r="H57" s="45"/>
      <c r="I57" s="45"/>
      <c r="J57" s="45"/>
      <c r="K57" s="45"/>
      <c r="L57" s="45">
        <v>76.7063403832351</v>
      </c>
      <c r="M57" s="45"/>
      <c r="N57" s="45">
        <v>230.119021149705</v>
      </c>
      <c r="O57" s="36">
        <f t="shared" si="22"/>
        <v>575.297552874263</v>
      </c>
      <c r="P57" s="42">
        <f>O57/$O$16</f>
        <v>0.00188105873421463</v>
      </c>
      <c r="Q57" s="4"/>
      <c r="R57" s="6"/>
      <c r="S57" s="6"/>
      <c r="T57" s="6"/>
    </row>
    <row r="58" ht="16.8" spans="1:20">
      <c r="A58" s="6"/>
      <c r="B58" s="21" t="s">
        <v>80</v>
      </c>
      <c r="C58" s="40">
        <f t="shared" ref="C58:N58" si="31">SUM(C53:C57)</f>
        <v>2619.91551268309</v>
      </c>
      <c r="D58" s="40">
        <f t="shared" si="31"/>
        <v>1968.15617428674</v>
      </c>
      <c r="E58" s="40">
        <f t="shared" si="31"/>
        <v>1432.20879414172</v>
      </c>
      <c r="F58" s="40">
        <f t="shared" si="31"/>
        <v>1776.80069787095</v>
      </c>
      <c r="G58" s="40">
        <f t="shared" si="31"/>
        <v>2279.43059002623</v>
      </c>
      <c r="H58" s="40">
        <f t="shared" si="31"/>
        <v>1774.65900303461</v>
      </c>
      <c r="I58" s="40">
        <f t="shared" si="31"/>
        <v>1671.96688821429</v>
      </c>
      <c r="J58" s="40">
        <f t="shared" si="31"/>
        <v>1733.36681810435</v>
      </c>
      <c r="K58" s="40">
        <f t="shared" si="31"/>
        <v>1742.3974822291</v>
      </c>
      <c r="L58" s="40">
        <f t="shared" si="31"/>
        <v>2084.23313140719</v>
      </c>
      <c r="M58" s="40">
        <f t="shared" si="31"/>
        <v>1795.22580417498</v>
      </c>
      <c r="N58" s="40">
        <f t="shared" si="31"/>
        <v>1905.30144300934</v>
      </c>
      <c r="O58" s="40">
        <f t="shared" si="22"/>
        <v>22783.6623391826</v>
      </c>
      <c r="P58" s="41">
        <f>O58/$O$16</f>
        <v>0.0744960704706547</v>
      </c>
      <c r="Q58" s="6"/>
      <c r="R58" s="6"/>
      <c r="S58" s="6"/>
      <c r="T58" s="6"/>
    </row>
    <row r="59" ht="16.8" spans="1:20">
      <c r="A59" s="32"/>
      <c r="B59" s="12" t="s">
        <v>81</v>
      </c>
      <c r="C59" s="12">
        <f t="shared" ref="C59:N59" si="32">SUM(C52,C58)</f>
        <v>11153.3086072628</v>
      </c>
      <c r="D59" s="12">
        <f t="shared" si="32"/>
        <v>12299.9919627229</v>
      </c>
      <c r="E59" s="12">
        <f t="shared" si="32"/>
        <v>9481.46827037777</v>
      </c>
      <c r="F59" s="12">
        <f t="shared" si="32"/>
        <v>7973.70181428911</v>
      </c>
      <c r="G59" s="12">
        <f t="shared" si="32"/>
        <v>18184.9141361763</v>
      </c>
      <c r="H59" s="12">
        <f t="shared" si="32"/>
        <v>14719.5165798306</v>
      </c>
      <c r="I59" s="12">
        <f t="shared" si="32"/>
        <v>8330.69843405401</v>
      </c>
      <c r="J59" s="12">
        <f t="shared" si="32"/>
        <v>11836.5727506598</v>
      </c>
      <c r="K59" s="12">
        <f t="shared" si="32"/>
        <v>8585.30376941277</v>
      </c>
      <c r="L59" s="12">
        <f t="shared" si="32"/>
        <v>15801.6790564344</v>
      </c>
      <c r="M59" s="12">
        <f t="shared" si="32"/>
        <v>13027.5361900282</v>
      </c>
      <c r="N59" s="12">
        <f t="shared" si="32"/>
        <v>11724.7825767029</v>
      </c>
      <c r="O59" s="12">
        <f t="shared" si="22"/>
        <v>143119.474147952</v>
      </c>
      <c r="P59" s="43">
        <f>O59/$O$16</f>
        <v>0.467959815815606</v>
      </c>
      <c r="Q59" s="32"/>
      <c r="R59" s="48"/>
      <c r="S59" s="6"/>
      <c r="T59" s="6"/>
    </row>
    <row r="60" ht="16.8" spans="1:20">
      <c r="A60" s="32"/>
      <c r="B60" s="12" t="s">
        <v>82</v>
      </c>
      <c r="C60" s="12">
        <f t="shared" ref="C60:N60" si="33">C22-C59</f>
        <v>921.587358341008</v>
      </c>
      <c r="D60" s="12">
        <f t="shared" si="33"/>
        <v>1341.50846408737</v>
      </c>
      <c r="E60" s="12">
        <f t="shared" si="33"/>
        <v>-879.450764780533</v>
      </c>
      <c r="F60" s="12">
        <f t="shared" si="33"/>
        <v>-826.62283699903</v>
      </c>
      <c r="G60" s="12">
        <f t="shared" si="33"/>
        <v>-567.403481914782</v>
      </c>
      <c r="H60" s="12">
        <f t="shared" si="33"/>
        <v>1073.85121709822</v>
      </c>
      <c r="I60" s="12">
        <f t="shared" si="33"/>
        <v>1798.16524747848</v>
      </c>
      <c r="J60" s="12">
        <f t="shared" si="33"/>
        <v>3389.19668963258</v>
      </c>
      <c r="K60" s="12">
        <f t="shared" si="33"/>
        <v>1701.57360385136</v>
      </c>
      <c r="L60" s="12">
        <f t="shared" si="33"/>
        <v>3286.8513620935</v>
      </c>
      <c r="M60" s="12">
        <f t="shared" si="33"/>
        <v>4618.43408753638</v>
      </c>
      <c r="N60" s="12">
        <f t="shared" si="33"/>
        <v>4267.21504458282</v>
      </c>
      <c r="O60" s="12">
        <f t="shared" si="22"/>
        <v>20124.9059910074</v>
      </c>
      <c r="P60" s="43">
        <f>O60/$O$16</f>
        <v>0.06580269636208</v>
      </c>
      <c r="Q60" s="32"/>
      <c r="R60" s="49"/>
      <c r="S60" s="6"/>
      <c r="T60" s="6"/>
    </row>
    <row r="61" spans="1:20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>
      <c r="A62" s="6"/>
      <c r="B62" s="61" t="s">
        <v>117</v>
      </c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35"/>
      <c r="P62" s="6"/>
      <c r="Q62" s="6"/>
      <c r="R62" s="6"/>
      <c r="S62" s="6"/>
      <c r="T62" s="6"/>
    </row>
    <row r="63" ht="16.8" spans="1:20">
      <c r="A63" s="6"/>
      <c r="B63" s="63" t="s">
        <v>118</v>
      </c>
      <c r="C63" s="63">
        <v>366.6</v>
      </c>
      <c r="D63" s="63">
        <v>362.6</v>
      </c>
      <c r="E63" s="63">
        <v>362.8</v>
      </c>
      <c r="F63" s="63">
        <v>357</v>
      </c>
      <c r="G63" s="63">
        <v>376.4</v>
      </c>
      <c r="H63" s="63">
        <v>376.1</v>
      </c>
      <c r="I63" s="63">
        <v>401.9</v>
      </c>
      <c r="J63" s="63">
        <v>400.9</v>
      </c>
      <c r="K63" s="63">
        <v>401.8</v>
      </c>
      <c r="L63" s="63">
        <v>398.6</v>
      </c>
      <c r="M63" s="63">
        <v>397.7</v>
      </c>
      <c r="N63" s="63">
        <v>392.4</v>
      </c>
      <c r="O63" s="6"/>
      <c r="P63" s="6"/>
      <c r="Q63" s="6"/>
      <c r="R63" s="6"/>
      <c r="S63" s="6"/>
      <c r="T63" s="6"/>
    </row>
    <row r="64" ht="16.8" spans="1:20">
      <c r="A64" s="6"/>
      <c r="B64" s="63" t="s">
        <v>119</v>
      </c>
      <c r="C64" s="63">
        <v>158.8</v>
      </c>
      <c r="D64" s="63">
        <v>156.4</v>
      </c>
      <c r="E64" s="63">
        <v>165.1</v>
      </c>
      <c r="F64" s="63">
        <v>162.9</v>
      </c>
      <c r="G64" s="63">
        <v>153</v>
      </c>
      <c r="H64" s="63">
        <v>155.3</v>
      </c>
      <c r="I64" s="63">
        <v>153.3</v>
      </c>
      <c r="J64" s="63">
        <v>152.5</v>
      </c>
      <c r="K64" s="63">
        <v>150.2</v>
      </c>
      <c r="L64" s="63">
        <v>146.6</v>
      </c>
      <c r="M64" s="63">
        <v>142.9</v>
      </c>
      <c r="N64" s="63">
        <v>139.6</v>
      </c>
      <c r="O64" s="6"/>
      <c r="P64" s="6"/>
      <c r="Q64" s="6"/>
      <c r="R64" s="6"/>
      <c r="S64" s="6"/>
      <c r="T64" s="6"/>
    </row>
    <row r="65" spans="1:20">
      <c r="A65" s="6"/>
      <c r="B65" s="61" t="s">
        <v>16</v>
      </c>
      <c r="C65" s="64">
        <f t="shared" ref="C65:N65" si="34">C8/C63</f>
        <v>75.4164595323129</v>
      </c>
      <c r="D65" s="64">
        <f t="shared" si="34"/>
        <v>85.779463107044</v>
      </c>
      <c r="E65" s="64">
        <f t="shared" si="34"/>
        <v>57.1547837607757</v>
      </c>
      <c r="F65" s="64">
        <f t="shared" si="34"/>
        <v>48.4027907292471</v>
      </c>
      <c r="G65" s="64">
        <f t="shared" si="34"/>
        <v>100.997746649178</v>
      </c>
      <c r="H65" s="64">
        <f t="shared" si="34"/>
        <v>91.889371392402</v>
      </c>
      <c r="I65" s="64">
        <f t="shared" si="34"/>
        <v>51.5943158706381</v>
      </c>
      <c r="J65" s="64">
        <f t="shared" si="34"/>
        <v>77.5845181407188</v>
      </c>
      <c r="K65" s="64">
        <f t="shared" si="34"/>
        <v>51.6071566660265</v>
      </c>
      <c r="L65" s="64">
        <f t="shared" si="34"/>
        <v>95.3726839908445</v>
      </c>
      <c r="M65" s="64">
        <f t="shared" si="34"/>
        <v>86.8986486816253</v>
      </c>
      <c r="N65" s="64">
        <f t="shared" si="34"/>
        <v>79.2651205978954</v>
      </c>
      <c r="O65" s="6"/>
      <c r="P65" s="6"/>
      <c r="Q65" s="6"/>
      <c r="R65" s="6"/>
      <c r="S65" s="6"/>
      <c r="T65" s="6"/>
    </row>
    <row r="66" spans="1:20">
      <c r="A66" s="6"/>
      <c r="B66" s="73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6"/>
      <c r="P66" s="6"/>
      <c r="Q66" s="6"/>
      <c r="R66" s="6"/>
      <c r="S66" s="6"/>
      <c r="T66" s="6"/>
    </row>
    <row r="67" spans="1:20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>
      <c r="A82" s="6"/>
      <c r="B82" s="6"/>
      <c r="C82" s="35">
        <f t="shared" ref="C82:O82" si="35">C16-C18-C20-C26-C37-C44-C47-C58-C60</f>
        <v>-9.09494701772928e-13</v>
      </c>
      <c r="D82" s="35">
        <f t="shared" si="35"/>
        <v>0</v>
      </c>
      <c r="E82" s="35">
        <f t="shared" si="35"/>
        <v>0</v>
      </c>
      <c r="F82" s="35">
        <f t="shared" si="35"/>
        <v>0</v>
      </c>
      <c r="G82" s="35">
        <f t="shared" si="35"/>
        <v>2.27373675443232e-12</v>
      </c>
      <c r="H82" s="35">
        <f t="shared" si="35"/>
        <v>0</v>
      </c>
      <c r="I82" s="35">
        <f t="shared" si="35"/>
        <v>0</v>
      </c>
      <c r="J82" s="35">
        <f t="shared" si="35"/>
        <v>0</v>
      </c>
      <c r="K82" s="35">
        <f t="shared" si="35"/>
        <v>0</v>
      </c>
      <c r="L82" s="35">
        <f t="shared" si="35"/>
        <v>0</v>
      </c>
      <c r="M82" s="35">
        <f t="shared" si="35"/>
        <v>0</v>
      </c>
      <c r="N82" s="35">
        <f t="shared" si="35"/>
        <v>0</v>
      </c>
      <c r="O82" s="35">
        <f t="shared" si="35"/>
        <v>0</v>
      </c>
      <c r="P82" s="6"/>
      <c r="Q82" s="6"/>
      <c r="R82" s="6"/>
      <c r="S82" s="6"/>
      <c r="T82" s="6"/>
    </row>
    <row r="83" spans="1:20">
      <c r="A83" s="6"/>
      <c r="B83" s="6"/>
      <c r="C83" s="53">
        <f t="shared" ref="C83:O83" si="36">C10-C11-C12-C13-C15</f>
        <v>0</v>
      </c>
      <c r="D83" s="53">
        <f t="shared" si="36"/>
        <v>0</v>
      </c>
      <c r="E83" s="53">
        <f t="shared" si="36"/>
        <v>0</v>
      </c>
      <c r="F83" s="53">
        <f t="shared" si="36"/>
        <v>0</v>
      </c>
      <c r="G83" s="53">
        <f t="shared" si="36"/>
        <v>0</v>
      </c>
      <c r="H83" s="53">
        <f t="shared" si="36"/>
        <v>0</v>
      </c>
      <c r="I83" s="53">
        <f t="shared" si="36"/>
        <v>0</v>
      </c>
      <c r="J83" s="53">
        <f t="shared" si="36"/>
        <v>0</v>
      </c>
      <c r="K83" s="53">
        <f t="shared" si="36"/>
        <v>0</v>
      </c>
      <c r="L83" s="53">
        <f t="shared" si="36"/>
        <v>0</v>
      </c>
      <c r="M83" s="53">
        <f t="shared" si="36"/>
        <v>0</v>
      </c>
      <c r="N83" s="53">
        <f t="shared" si="36"/>
        <v>0</v>
      </c>
      <c r="O83" s="53">
        <f t="shared" si="36"/>
        <v>0</v>
      </c>
      <c r="P83" s="6"/>
      <c r="Q83" s="6"/>
      <c r="R83" s="6"/>
      <c r="S83" s="6"/>
      <c r="T83" s="6"/>
    </row>
    <row r="84" spans="1:20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>
      <c r="A93" s="6"/>
      <c r="B93" s="6" t="s">
        <v>120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ht="16.8" spans="1:20">
      <c r="A94" s="6"/>
      <c r="B94" s="17" t="s">
        <v>39</v>
      </c>
      <c r="C94" s="37">
        <f t="shared" ref="C94:N94" si="37">SUM(C95:C99)</f>
        <v>0</v>
      </c>
      <c r="D94" s="37">
        <f t="shared" si="37"/>
        <v>0</v>
      </c>
      <c r="E94" s="37">
        <f t="shared" si="37"/>
        <v>0</v>
      </c>
      <c r="F94" s="37">
        <f t="shared" si="37"/>
        <v>0</v>
      </c>
      <c r="G94" s="37">
        <f t="shared" si="37"/>
        <v>0</v>
      </c>
      <c r="H94" s="37">
        <f t="shared" si="37"/>
        <v>0</v>
      </c>
      <c r="I94" s="37">
        <f t="shared" si="37"/>
        <v>0</v>
      </c>
      <c r="J94" s="37">
        <f t="shared" si="37"/>
        <v>0</v>
      </c>
      <c r="K94" s="37">
        <f t="shared" si="37"/>
        <v>0</v>
      </c>
      <c r="L94" s="37">
        <f t="shared" si="37"/>
        <v>0</v>
      </c>
      <c r="M94" s="37">
        <f t="shared" si="37"/>
        <v>0</v>
      </c>
      <c r="N94" s="37">
        <f t="shared" si="37"/>
        <v>0</v>
      </c>
      <c r="O94" s="6"/>
      <c r="P94" s="6"/>
      <c r="Q94" s="6"/>
      <c r="R94" s="6"/>
      <c r="S94" s="6"/>
      <c r="T94" s="6"/>
    </row>
    <row r="95" ht="16.8" spans="1:20">
      <c r="A95" s="6"/>
      <c r="B95" s="4" t="s">
        <v>40</v>
      </c>
      <c r="C95" s="45">
        <f>'线下门店-小计'!C27*(C15/('26年全渠道汇总'!C15-'线下门店-小计'!C15))</f>
        <v>0</v>
      </c>
      <c r="D95" s="45">
        <f>'线下门店-小计'!D27*(D15/('26年全渠道汇总'!D15-'线下门店-小计'!D15))</f>
        <v>0</v>
      </c>
      <c r="E95" s="45">
        <f>'线下门店-小计'!E27*(E15/('26年全渠道汇总'!E15-'线下门店-小计'!E15))</f>
        <v>0</v>
      </c>
      <c r="F95" s="45">
        <f>'线下门店-小计'!F27*(F15/('26年全渠道汇总'!F15-'线下门店-小计'!F15))</f>
        <v>0</v>
      </c>
      <c r="G95" s="45">
        <f>'线下门店-小计'!G27*(G15/('26年全渠道汇总'!G15-'线下门店-小计'!G15))</f>
        <v>0</v>
      </c>
      <c r="H95" s="45">
        <f>'线下门店-小计'!H27*(H15/('26年全渠道汇总'!H15-'线下门店-小计'!H15))</f>
        <v>0</v>
      </c>
      <c r="I95" s="45">
        <f>'线下门店-小计'!I27*(I15/('26年全渠道汇总'!I15-'线下门店-小计'!I15))</f>
        <v>0</v>
      </c>
      <c r="J95" s="45">
        <f>'线下门店-小计'!J27*(J15/('26年全渠道汇总'!J15-'线下门店-小计'!J15))</f>
        <v>0</v>
      </c>
      <c r="K95" s="45">
        <f>'线下门店-小计'!K27*(K15/('26年全渠道汇总'!K15-'线下门店-小计'!K15))</f>
        <v>0</v>
      </c>
      <c r="L95" s="45">
        <f>'线下门店-小计'!L27*(L15/('26年全渠道汇总'!L15-'线下门店-小计'!L15))</f>
        <v>0</v>
      </c>
      <c r="M95" s="45">
        <f>'线下门店-小计'!M27*(M15/('26年全渠道汇总'!M15-'线下门店-小计'!M15))</f>
        <v>0</v>
      </c>
      <c r="N95" s="45">
        <f>'线下门店-小计'!N27*(N15/('26年全渠道汇总'!N15-'线下门店-小计'!N15))</f>
        <v>0</v>
      </c>
      <c r="O95" s="6"/>
      <c r="P95" s="6"/>
      <c r="Q95" s="6"/>
      <c r="R95" s="6"/>
      <c r="S95" s="6"/>
      <c r="T95" s="6"/>
    </row>
    <row r="96" ht="16.8" spans="1:20">
      <c r="A96" s="6"/>
      <c r="B96" s="4" t="s">
        <v>41</v>
      </c>
      <c r="C96" s="45">
        <f>'线下门店-小计'!C28*(C15/('26年全渠道汇总'!C15-'线下门店-小计'!C15))</f>
        <v>0</v>
      </c>
      <c r="D96" s="45">
        <f>'线下门店-小计'!D28*(D15/('26年全渠道汇总'!D15-'线下门店-小计'!D15))</f>
        <v>0</v>
      </c>
      <c r="E96" s="45">
        <f>'线下门店-小计'!E28*(E15/('26年全渠道汇总'!E15-'线下门店-小计'!E15))</f>
        <v>0</v>
      </c>
      <c r="F96" s="45">
        <f>'线下门店-小计'!F28*(F15/('26年全渠道汇总'!F15-'线下门店-小计'!F15))</f>
        <v>0</v>
      </c>
      <c r="G96" s="45">
        <f>'线下门店-小计'!G28*(G15/('26年全渠道汇总'!G15-'线下门店-小计'!G15))</f>
        <v>0</v>
      </c>
      <c r="H96" s="45">
        <f>'线下门店-小计'!H28*(H15/('26年全渠道汇总'!H15-'线下门店-小计'!H15))</f>
        <v>0</v>
      </c>
      <c r="I96" s="45">
        <f>'线下门店-小计'!I28*(I15/('26年全渠道汇总'!I15-'线下门店-小计'!I15))</f>
        <v>0</v>
      </c>
      <c r="J96" s="45">
        <f>'线下门店-小计'!J28*(J15/('26年全渠道汇总'!J15-'线下门店-小计'!J15))</f>
        <v>0</v>
      </c>
      <c r="K96" s="45">
        <f>'线下门店-小计'!K28*(K15/('26年全渠道汇总'!K15-'线下门店-小计'!K15))</f>
        <v>0</v>
      </c>
      <c r="L96" s="45">
        <f>'线下门店-小计'!L28*(L15/('26年全渠道汇总'!L15-'线下门店-小计'!L15))</f>
        <v>0</v>
      </c>
      <c r="M96" s="45">
        <f>'线下门店-小计'!M28*(M15/('26年全渠道汇总'!M15-'线下门店-小计'!M15))</f>
        <v>0</v>
      </c>
      <c r="N96" s="45">
        <f>'线下门店-小计'!N28*(N15/('26年全渠道汇总'!N15-'线下门店-小计'!N15))</f>
        <v>0</v>
      </c>
      <c r="O96" s="6"/>
      <c r="P96" s="6"/>
      <c r="Q96" s="6"/>
      <c r="R96" s="6"/>
      <c r="S96" s="6"/>
      <c r="T96" s="6"/>
    </row>
    <row r="97" ht="16.8" spans="1:20">
      <c r="A97" s="6"/>
      <c r="B97" s="4" t="s">
        <v>42</v>
      </c>
      <c r="C97" s="45">
        <f>'线下门店-小计'!C29*(C15/('26年全渠道汇总'!C15-'线下门店-小计'!C15))</f>
        <v>0</v>
      </c>
      <c r="D97" s="45">
        <f>'线下门店-小计'!D29*(D15/('26年全渠道汇总'!D15-'线下门店-小计'!D15))</f>
        <v>0</v>
      </c>
      <c r="E97" s="45">
        <f>'线下门店-小计'!E29*(E15/('26年全渠道汇总'!E15-'线下门店-小计'!E15))</f>
        <v>0</v>
      </c>
      <c r="F97" s="45">
        <f>'线下门店-小计'!F29*(F15/('26年全渠道汇总'!F15-'线下门店-小计'!F15))</f>
        <v>0</v>
      </c>
      <c r="G97" s="45">
        <f>'线下门店-小计'!G29*(G15/('26年全渠道汇总'!G15-'线下门店-小计'!G15))</f>
        <v>0</v>
      </c>
      <c r="H97" s="45">
        <f>'线下门店-小计'!H29*(H15/('26年全渠道汇总'!H15-'线下门店-小计'!H15))</f>
        <v>0</v>
      </c>
      <c r="I97" s="45">
        <f>'线下门店-小计'!I29*(I15/('26年全渠道汇总'!I15-'线下门店-小计'!I15))</f>
        <v>0</v>
      </c>
      <c r="J97" s="45">
        <f>'线下门店-小计'!J29*(J15/('26年全渠道汇总'!J15-'线下门店-小计'!J15))</f>
        <v>0</v>
      </c>
      <c r="K97" s="45">
        <f>'线下门店-小计'!K29*(K15/('26年全渠道汇总'!K15-'线下门店-小计'!K15))</f>
        <v>0</v>
      </c>
      <c r="L97" s="45">
        <f>'线下门店-小计'!L29*(L15/('26年全渠道汇总'!L15-'线下门店-小计'!L15))</f>
        <v>0</v>
      </c>
      <c r="M97" s="45">
        <f>'线下门店-小计'!M29*(M15/('26年全渠道汇总'!M15-'线下门店-小计'!M15))</f>
        <v>0</v>
      </c>
      <c r="N97" s="45">
        <f>'线下门店-小计'!N29*(N15/('26年全渠道汇总'!N15-'线下门店-小计'!N15))</f>
        <v>0</v>
      </c>
      <c r="O97" s="6"/>
      <c r="P97" s="6"/>
      <c r="Q97" s="6"/>
      <c r="R97" s="6"/>
      <c r="S97" s="6"/>
      <c r="T97" s="6"/>
    </row>
    <row r="98" ht="16.8" spans="1:20">
      <c r="A98" s="6"/>
      <c r="B98" s="4" t="s">
        <v>43</v>
      </c>
      <c r="C98" s="45">
        <f>'线下门店-小计'!C30*(C15/('26年全渠道汇总'!C15-'线下门店-小计'!C15))</f>
        <v>0</v>
      </c>
      <c r="D98" s="45">
        <f>'线下门店-小计'!D30*(D15/('26年全渠道汇总'!D15-'线下门店-小计'!D15))</f>
        <v>0</v>
      </c>
      <c r="E98" s="45">
        <f>'线下门店-小计'!E30*(E15/('26年全渠道汇总'!E15-'线下门店-小计'!E15))</f>
        <v>0</v>
      </c>
      <c r="F98" s="45">
        <f>'线下门店-小计'!F30*(F15/('26年全渠道汇总'!F15-'线下门店-小计'!F15))</f>
        <v>0</v>
      </c>
      <c r="G98" s="45">
        <f>'线下门店-小计'!G30*(G15/('26年全渠道汇总'!G15-'线下门店-小计'!G15))</f>
        <v>0</v>
      </c>
      <c r="H98" s="45">
        <f>'线下门店-小计'!H30*(H15/('26年全渠道汇总'!H15-'线下门店-小计'!H15))</f>
        <v>0</v>
      </c>
      <c r="I98" s="45">
        <f>'线下门店-小计'!I30*(I15/('26年全渠道汇总'!I15-'线下门店-小计'!I15))</f>
        <v>0</v>
      </c>
      <c r="J98" s="45">
        <f>'线下门店-小计'!J30*(J15/('26年全渠道汇总'!J15-'线下门店-小计'!J15))</f>
        <v>0</v>
      </c>
      <c r="K98" s="45">
        <f>'线下门店-小计'!K30*(K15/('26年全渠道汇总'!K15-'线下门店-小计'!K15))</f>
        <v>0</v>
      </c>
      <c r="L98" s="45">
        <f>'线下门店-小计'!L30*(L15/('26年全渠道汇总'!L15-'线下门店-小计'!L15))</f>
        <v>0</v>
      </c>
      <c r="M98" s="45">
        <f>'线下门店-小计'!M30*(M15/('26年全渠道汇总'!M15-'线下门店-小计'!M15))</f>
        <v>0</v>
      </c>
      <c r="N98" s="45">
        <f>'线下门店-小计'!N30*(N15/('26年全渠道汇总'!N15-'线下门店-小计'!N15))</f>
        <v>0</v>
      </c>
      <c r="O98" s="6"/>
      <c r="P98" s="6"/>
      <c r="Q98" s="6"/>
      <c r="R98" s="6"/>
      <c r="S98" s="6"/>
      <c r="T98" s="6"/>
    </row>
    <row r="99" ht="16.8" spans="1:20">
      <c r="A99" s="6"/>
      <c r="B99" s="4" t="s">
        <v>44</v>
      </c>
      <c r="C99" s="45">
        <f>'线下门店-小计'!C31*(C15/('26年全渠道汇总'!C15-'线下门店-小计'!C15))</f>
        <v>0</v>
      </c>
      <c r="D99" s="45">
        <f>'线下门店-小计'!D31*(D15/('26年全渠道汇总'!D15-'线下门店-小计'!D15))</f>
        <v>0</v>
      </c>
      <c r="E99" s="45">
        <f>'线下门店-小计'!E31*(E15/('26年全渠道汇总'!E15-'线下门店-小计'!E15))</f>
        <v>0</v>
      </c>
      <c r="F99" s="45">
        <f>'线下门店-小计'!F31*(F15/('26年全渠道汇总'!F15-'线下门店-小计'!F15))</f>
        <v>0</v>
      </c>
      <c r="G99" s="45">
        <f>'线下门店-小计'!G31*(G15/('26年全渠道汇总'!G15-'线下门店-小计'!G15))</f>
        <v>0</v>
      </c>
      <c r="H99" s="45">
        <f>'线下门店-小计'!H31*(H15/('26年全渠道汇总'!H15-'线下门店-小计'!H15))</f>
        <v>0</v>
      </c>
      <c r="I99" s="45">
        <f>'线下门店-小计'!I31*(I15/('26年全渠道汇总'!I15-'线下门店-小计'!I15))</f>
        <v>0</v>
      </c>
      <c r="J99" s="45">
        <f>'线下门店-小计'!J31*(J15/('26年全渠道汇总'!J15-'线下门店-小计'!J15))</f>
        <v>0</v>
      </c>
      <c r="K99" s="45">
        <f>'线下门店-小计'!K31*(K15/('26年全渠道汇总'!K15-'线下门店-小计'!K15))</f>
        <v>0</v>
      </c>
      <c r="L99" s="45">
        <f>'线下门店-小计'!L31*(L15/('26年全渠道汇总'!L15-'线下门店-小计'!L15))</f>
        <v>0</v>
      </c>
      <c r="M99" s="45">
        <f>'线下门店-小计'!M31*(M15/('26年全渠道汇总'!M15-'线下门店-小计'!M15))</f>
        <v>0</v>
      </c>
      <c r="N99" s="45">
        <f>'线下门店-小计'!N31*(N15/('26年全渠道汇总'!N15-'线下门店-小计'!N15))</f>
        <v>0</v>
      </c>
      <c r="O99" s="6"/>
      <c r="P99" s="6"/>
      <c r="Q99" s="6"/>
      <c r="R99" s="6"/>
      <c r="S99" s="6"/>
      <c r="T99" s="6"/>
    </row>
    <row r="100" spans="1:2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>
      <c r="A101" s="6"/>
      <c r="B101" s="6" t="s">
        <v>121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ht="16.8" spans="1:20">
      <c r="A102" s="6"/>
      <c r="B102" s="17" t="s">
        <v>39</v>
      </c>
      <c r="C102" s="37">
        <f t="shared" ref="C102:N102" si="38">SUM(C103:C107)</f>
        <v>302.704992532564</v>
      </c>
      <c r="D102" s="37">
        <f t="shared" si="38"/>
        <v>1072.31167363316</v>
      </c>
      <c r="E102" s="37">
        <f t="shared" si="38"/>
        <v>1876.24339970071</v>
      </c>
      <c r="F102" s="37">
        <f t="shared" si="38"/>
        <v>1052.72105263871</v>
      </c>
      <c r="G102" s="37">
        <f t="shared" si="38"/>
        <v>4588.28740583525</v>
      </c>
      <c r="H102" s="37">
        <f t="shared" si="38"/>
        <v>2656.49744923708</v>
      </c>
      <c r="I102" s="37">
        <f t="shared" si="38"/>
        <v>485.715469304381</v>
      </c>
      <c r="J102" s="37">
        <f t="shared" si="38"/>
        <v>843.681817752406</v>
      </c>
      <c r="K102" s="37">
        <f t="shared" si="38"/>
        <v>669.890210648331</v>
      </c>
      <c r="L102" s="37">
        <f t="shared" si="38"/>
        <v>2400.24978471244</v>
      </c>
      <c r="M102" s="37">
        <f t="shared" si="38"/>
        <v>943.950258294321</v>
      </c>
      <c r="N102" s="37">
        <f t="shared" si="38"/>
        <v>559.957018890595</v>
      </c>
      <c r="O102" s="6"/>
      <c r="P102" s="6"/>
      <c r="Q102" s="6"/>
      <c r="R102" s="6"/>
      <c r="S102" s="6"/>
      <c r="T102" s="6"/>
    </row>
    <row r="103" ht="16.8" spans="1:20">
      <c r="A103" s="6"/>
      <c r="B103" s="4" t="s">
        <v>40</v>
      </c>
      <c r="C103" s="45">
        <f t="shared" ref="C103:N103" si="39">C95+C27</f>
        <v>0</v>
      </c>
      <c r="D103" s="45">
        <f t="shared" si="39"/>
        <v>0</v>
      </c>
      <c r="E103" s="45">
        <f t="shared" si="39"/>
        <v>51.2634808661395</v>
      </c>
      <c r="F103" s="45">
        <f t="shared" si="39"/>
        <v>42.7935387251507</v>
      </c>
      <c r="G103" s="45">
        <f t="shared" si="39"/>
        <v>91.4001475265985</v>
      </c>
      <c r="H103" s="45">
        <f t="shared" si="39"/>
        <v>80.4999227041538</v>
      </c>
      <c r="I103" s="45">
        <f t="shared" si="39"/>
        <v>51.6718584366363</v>
      </c>
      <c r="J103" s="45">
        <f t="shared" si="39"/>
        <v>71.4984591315599</v>
      </c>
      <c r="K103" s="45">
        <f t="shared" si="39"/>
        <v>56.7703568346044</v>
      </c>
      <c r="L103" s="45">
        <f t="shared" si="39"/>
        <v>96.0099913884977</v>
      </c>
      <c r="M103" s="45">
        <f t="shared" si="39"/>
        <v>72.6115583303323</v>
      </c>
      <c r="N103" s="45">
        <f t="shared" si="39"/>
        <v>0</v>
      </c>
      <c r="O103" s="6"/>
      <c r="P103" s="6"/>
      <c r="Q103" s="6"/>
      <c r="R103" s="6"/>
      <c r="S103" s="6"/>
      <c r="T103" s="6"/>
    </row>
    <row r="104" ht="16.8" spans="1:20">
      <c r="A104" s="6"/>
      <c r="B104" s="4" t="s">
        <v>41</v>
      </c>
      <c r="C104" s="45">
        <f t="shared" ref="C104:N104" si="40">C96+C28</f>
        <v>0</v>
      </c>
      <c r="D104" s="45">
        <f t="shared" si="40"/>
        <v>0</v>
      </c>
      <c r="E104" s="45">
        <f t="shared" si="40"/>
        <v>0</v>
      </c>
      <c r="F104" s="45">
        <f t="shared" si="40"/>
        <v>51.3522464701808</v>
      </c>
      <c r="G104" s="45">
        <f t="shared" si="40"/>
        <v>548.400885159591</v>
      </c>
      <c r="H104" s="45">
        <f t="shared" si="40"/>
        <v>257.599752653292</v>
      </c>
      <c r="I104" s="45">
        <f t="shared" si="40"/>
        <v>0</v>
      </c>
      <c r="J104" s="45">
        <f t="shared" si="40"/>
        <v>85.7981509578718</v>
      </c>
      <c r="K104" s="45">
        <f t="shared" si="40"/>
        <v>181.665141870734</v>
      </c>
      <c r="L104" s="45">
        <f t="shared" si="40"/>
        <v>115.211989666197</v>
      </c>
      <c r="M104" s="45">
        <f t="shared" si="40"/>
        <v>87.1338699963988</v>
      </c>
      <c r="N104" s="45">
        <f t="shared" si="40"/>
        <v>0</v>
      </c>
      <c r="O104" s="6"/>
      <c r="P104" s="6"/>
      <c r="Q104" s="6"/>
      <c r="R104" s="6"/>
      <c r="S104" s="6"/>
      <c r="T104" s="6"/>
    </row>
    <row r="105" ht="16.8" spans="1:20">
      <c r="A105" s="6"/>
      <c r="B105" s="4" t="s">
        <v>42</v>
      </c>
      <c r="C105" s="45">
        <f t="shared" ref="C105:N105" si="41">C97+C29</f>
        <v>25.2254160443803</v>
      </c>
      <c r="D105" s="45">
        <f t="shared" si="41"/>
        <v>20.6213783390993</v>
      </c>
      <c r="E105" s="45">
        <f t="shared" si="41"/>
        <v>20.5053923464558</v>
      </c>
      <c r="F105" s="45">
        <f t="shared" si="41"/>
        <v>85.5870774503014</v>
      </c>
      <c r="G105" s="45">
        <f t="shared" si="41"/>
        <v>548.400885159591</v>
      </c>
      <c r="H105" s="45">
        <f t="shared" si="41"/>
        <v>354.199659898277</v>
      </c>
      <c r="I105" s="45">
        <f t="shared" si="41"/>
        <v>0</v>
      </c>
      <c r="J105" s="45">
        <f t="shared" si="41"/>
        <v>85.7981509578718</v>
      </c>
      <c r="K105" s="45">
        <f t="shared" si="41"/>
        <v>181.665141870734</v>
      </c>
      <c r="L105" s="45">
        <f t="shared" si="41"/>
        <v>192.019982776995</v>
      </c>
      <c r="M105" s="45">
        <f t="shared" si="41"/>
        <v>145.223116660665</v>
      </c>
      <c r="N105" s="45">
        <f t="shared" si="41"/>
        <v>25.4525917677543</v>
      </c>
      <c r="O105" s="6"/>
      <c r="P105" s="6"/>
      <c r="Q105" s="6"/>
      <c r="R105" s="6"/>
      <c r="S105" s="6"/>
      <c r="T105" s="6"/>
    </row>
    <row r="106" ht="16.8" spans="1:20">
      <c r="A106" s="6"/>
      <c r="B106" s="4" t="s">
        <v>43</v>
      </c>
      <c r="C106" s="45">
        <f t="shared" ref="C106:N106" si="42">C98+C30</f>
        <v>25.2254160443803</v>
      </c>
      <c r="D106" s="45">
        <f t="shared" si="42"/>
        <v>20.6213783390993</v>
      </c>
      <c r="E106" s="45">
        <f t="shared" si="42"/>
        <v>164.043138771646</v>
      </c>
      <c r="F106" s="45">
        <f t="shared" si="42"/>
        <v>17.1174154900603</v>
      </c>
      <c r="G106" s="45">
        <f t="shared" si="42"/>
        <v>109.680177031918</v>
      </c>
      <c r="H106" s="45">
        <f t="shared" si="42"/>
        <v>32.1999690816615</v>
      </c>
      <c r="I106" s="45">
        <f t="shared" si="42"/>
        <v>20.6687433746545</v>
      </c>
      <c r="J106" s="45">
        <f t="shared" si="42"/>
        <v>28.599383652624</v>
      </c>
      <c r="K106" s="45">
        <f t="shared" si="42"/>
        <v>22.7081427338417</v>
      </c>
      <c r="L106" s="45">
        <f t="shared" si="42"/>
        <v>76.8079931107982</v>
      </c>
      <c r="M106" s="45">
        <f t="shared" si="42"/>
        <v>58.0892466642659</v>
      </c>
      <c r="N106" s="45">
        <f t="shared" si="42"/>
        <v>25.4525917677543</v>
      </c>
      <c r="O106" s="6"/>
      <c r="P106" s="6"/>
      <c r="Q106" s="6"/>
      <c r="R106" s="6"/>
      <c r="S106" s="6"/>
      <c r="T106" s="6"/>
    </row>
    <row r="107" ht="16.8" spans="1:20">
      <c r="A107" s="6"/>
      <c r="B107" s="4" t="s">
        <v>44</v>
      </c>
      <c r="C107" s="45">
        <f t="shared" ref="C107:N107" si="43">C99+C31</f>
        <v>252.254160443803</v>
      </c>
      <c r="D107" s="45">
        <f t="shared" si="43"/>
        <v>1031.06891695496</v>
      </c>
      <c r="E107" s="45">
        <f t="shared" si="43"/>
        <v>1640.43138771646</v>
      </c>
      <c r="F107" s="45">
        <f t="shared" si="43"/>
        <v>855.870774503014</v>
      </c>
      <c r="G107" s="45">
        <f t="shared" si="43"/>
        <v>3290.40531095755</v>
      </c>
      <c r="H107" s="45">
        <f t="shared" si="43"/>
        <v>1931.99814489969</v>
      </c>
      <c r="I107" s="45">
        <f t="shared" si="43"/>
        <v>413.37486749309</v>
      </c>
      <c r="J107" s="45">
        <f t="shared" si="43"/>
        <v>571.987673052479</v>
      </c>
      <c r="K107" s="45">
        <f t="shared" si="43"/>
        <v>227.081427338417</v>
      </c>
      <c r="L107" s="45">
        <f t="shared" si="43"/>
        <v>1920.19982776995</v>
      </c>
      <c r="M107" s="45">
        <f t="shared" si="43"/>
        <v>580.892466642659</v>
      </c>
      <c r="N107" s="45">
        <f t="shared" si="43"/>
        <v>509.051835355086</v>
      </c>
      <c r="O107" s="6"/>
      <c r="P107" s="6"/>
      <c r="Q107" s="6"/>
      <c r="R107" s="6"/>
      <c r="S107" s="6"/>
      <c r="T107" s="6"/>
    </row>
    <row r="108" spans="1:20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</sheetData>
  <pageMargins left="0.75" right="0.75" top="1" bottom="1" header="0.5" footer="0.5"/>
  <headerFooter/>
  <picture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4C724"/>
    <outlinePr summaryBelow="0" summaryRight="0"/>
  </sheetPr>
  <dimension ref="A1:R201"/>
  <sheetViews>
    <sheetView workbookViewId="0">
      <selection activeCell="A1" sqref="A1"/>
    </sheetView>
  </sheetViews>
  <sheetFormatPr defaultColWidth="14" defaultRowHeight="14.4"/>
  <cols>
    <col min="1" max="1" width="7" customWidth="1"/>
    <col min="2" max="2" width="30" customWidth="1"/>
    <col min="3" max="15" width="19" customWidth="1"/>
    <col min="16" max="17" width="14" customWidth="1"/>
    <col min="18" max="18" width="11" customWidth="1"/>
    <col min="19" max="20" width="14" customWidth="1"/>
  </cols>
  <sheetData>
    <row r="1" ht="17" spans="1:18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</row>
    <row r="2" ht="16.8" spans="1:18">
      <c r="B2" s="4" t="s">
        <v>16</v>
      </c>
      <c r="C2" s="5">
        <f>京东POP财经口径!C2+京东自营财经口径!C2</f>
        <v>23719.7948082736</v>
      </c>
      <c r="D2" s="5">
        <f>京东POP财经口径!D2+京东自营财经口径!D2</f>
        <v>21634.5381218319</v>
      </c>
      <c r="E2" s="5">
        <f>京东POP财经口径!E2+京东自营财经口径!E2</f>
        <v>25283.7373231048</v>
      </c>
      <c r="F2" s="5">
        <f>京东POP财经口径!F2+京东自营财经口径!F2</f>
        <v>20982.8954073189</v>
      </c>
      <c r="G2" s="5">
        <f>京东POP财经口径!G2+京东自营财经口径!G2</f>
        <v>36622.3205556312</v>
      </c>
      <c r="H2" s="5">
        <f>京东POP财经口径!H2+京东自营财经口径!H2</f>
        <v>31669.8359253323</v>
      </c>
      <c r="I2" s="5">
        <f>京东POP财经口径!I2+京东自营财经口径!I2</f>
        <v>20591.9097786111</v>
      </c>
      <c r="J2" s="5">
        <f>京东POP财经口径!J2+京东自营财经口径!J2</f>
        <v>25883.2486204568</v>
      </c>
      <c r="K2" s="5">
        <f>京东POP财经口径!K2+京东自营财经口径!K2</f>
        <v>28541.9508956698</v>
      </c>
      <c r="L2" s="5">
        <f>京东POP财经口径!L2+京东自营财经口径!L2</f>
        <v>37821.3431503351</v>
      </c>
      <c r="M2" s="5">
        <f>京东POP财经口径!M2+京东自营财经口径!M2</f>
        <v>29402.119278827</v>
      </c>
      <c r="N2" s="5">
        <f>京东POP财经口径!N2+京东自营财经口径!N2</f>
        <v>26274.2342491646</v>
      </c>
      <c r="O2" s="5">
        <f>SUM(C2:N2)</f>
        <v>328427.928114557</v>
      </c>
      <c r="P2" s="5"/>
      <c r="Q2" s="6"/>
    </row>
    <row r="3" ht="16.8" spans="1:18">
      <c r="A3" s="7"/>
      <c r="B3" s="8" t="s">
        <v>17</v>
      </c>
      <c r="C3" s="9">
        <f>京东POP财经口径!C3+京东自营财经口径!C3</f>
        <v>9517374.55117647</v>
      </c>
      <c r="D3" s="9">
        <f>京东POP财经口径!D3+京东自营财经口径!D3</f>
        <v>10613312.6147059</v>
      </c>
      <c r="E3" s="9">
        <f>京东POP财经口径!E3+京东自营财经口径!E3</f>
        <v>8366528.78176471</v>
      </c>
      <c r="F3" s="9">
        <f>京东POP财经口径!F3+京东自营财经口径!F3</f>
        <v>7456816.72058823</v>
      </c>
      <c r="G3" s="9">
        <f>京东POP财经口径!G3+京东自营财经口径!G3</f>
        <v>13877665.7994118</v>
      </c>
      <c r="H3" s="9">
        <f>京东POP财经口径!H3+京东自营财经口径!H3</f>
        <v>12730408.8323529</v>
      </c>
      <c r="I3" s="9">
        <f>京东POP财经口径!I3+京东自营财经口径!I3</f>
        <v>9704279.04</v>
      </c>
      <c r="J3" s="9">
        <f>京东POP财经口径!J3+京东自营财经口径!J3</f>
        <v>12524325.7376471</v>
      </c>
      <c r="K3" s="9">
        <f>京东POP财经口径!K3+京东自营财经口径!K3</f>
        <v>9579865.38058824</v>
      </c>
      <c r="L3" s="9">
        <f>京东POP财经口径!L3+京东自营财经口径!L3</f>
        <v>14114056.0529412</v>
      </c>
      <c r="M3" s="9">
        <f>京东POP财经口径!M3+京东自营财经口径!M3</f>
        <v>15994089.4523529</v>
      </c>
      <c r="N3" s="9">
        <f>京东POP财经口径!N3+京东自营财经口径!N3</f>
        <v>13340203.9576471</v>
      </c>
      <c r="O3" s="9">
        <f>SUM(C3:N3)</f>
        <v>137818926.921176</v>
      </c>
      <c r="P3" s="9"/>
      <c r="Q3" s="10" t="s">
        <v>83</v>
      </c>
    </row>
    <row r="4" ht="16.8" spans="1:18">
      <c r="A4" s="7"/>
      <c r="B4" s="8" t="s">
        <v>84</v>
      </c>
      <c r="C4" s="9">
        <f>京东POP财经口径!C4+京东自营财经口径!C4</f>
        <v>9721392</v>
      </c>
      <c r="D4" s="9">
        <f>京东POP财经口径!D4+京东自营财经口径!D4</f>
        <v>10513303</v>
      </c>
      <c r="E4" s="9">
        <f>京东POP财经口径!E4+京东自营财经口径!E4</f>
        <v>8287691</v>
      </c>
      <c r="F4" s="9">
        <f>京东POP财经口径!F4+京东自营财经口径!F4</f>
        <v>7386551</v>
      </c>
      <c r="G4" s="9">
        <f>京东POP财经口径!G4+京东自营财经口径!G4</f>
        <v>13706884</v>
      </c>
      <c r="H4" s="9">
        <f>京东POP财经口径!H4+京东自营财经口径!H4</f>
        <v>12573746</v>
      </c>
      <c r="I4" s="9">
        <f>京东POP财经口径!I4+京东自营财经口径!I4</f>
        <v>9584856</v>
      </c>
      <c r="J4" s="9">
        <f>京东POP财经口径!J4+京东自营财经口径!J4</f>
        <v>12370198</v>
      </c>
      <c r="K4" s="9">
        <f>京东POP财经口径!K4+京东自营财经口径!K4</f>
        <v>9461972</v>
      </c>
      <c r="L4" s="9">
        <f>京东POP财经口径!L4+京东自营财经口径!L4</f>
        <v>13940367</v>
      </c>
      <c r="M4" s="9">
        <f>京东POP财经口径!M4+京东自营财经口径!M4</f>
        <v>15797263</v>
      </c>
      <c r="N4" s="9">
        <f>京东POP财经口径!N4+京东自营财经口径!N4</f>
        <v>13176037</v>
      </c>
      <c r="O4" s="9">
        <f>SUM(C4:N4)</f>
        <v>136520260</v>
      </c>
      <c r="P4" s="9"/>
      <c r="Q4" s="10" t="s">
        <v>83</v>
      </c>
    </row>
    <row r="5" ht="16.8" spans="1:18">
      <c r="A5" s="7"/>
      <c r="B5" s="8" t="s">
        <v>18</v>
      </c>
      <c r="C5" s="9">
        <f>京东POP财经口径!C5+京东自营财经口径!C5</f>
        <v>1427606.18267647</v>
      </c>
      <c r="D5" s="9">
        <f>京东POP财经口径!D5+京东自营财经口径!D5</f>
        <v>1591996.89220588</v>
      </c>
      <c r="E5" s="9">
        <f>京东POP财经口径!E5+京东自营财经口径!E5</f>
        <v>1254979.31726471</v>
      </c>
      <c r="F5" s="9">
        <f>京东POP财经口径!F5+京东自营财经口径!F5</f>
        <v>1118522.50808824</v>
      </c>
      <c r="G5" s="9">
        <f>京东POP财经口径!G5+京东自营财经口径!G5</f>
        <v>2081649.86991176</v>
      </c>
      <c r="H5" s="9">
        <f>京东POP财经口径!H5+京东自营财经口径!H5</f>
        <v>1909561.32485294</v>
      </c>
      <c r="I5" s="9">
        <f>京东POP财经口径!I5+京东自营财经口径!I5</f>
        <v>1455641.856</v>
      </c>
      <c r="J5" s="9">
        <f>京东POP财经口径!J5+京东自营财经口径!J5</f>
        <v>1878648.86064706</v>
      </c>
      <c r="K5" s="9">
        <f>京东POP财经口径!K5+京东自营财经口径!K5</f>
        <v>1436979.80708824</v>
      </c>
      <c r="L5" s="9">
        <f>京东POP财经口径!L5+京东自营财经口径!L5</f>
        <v>2117108.40794118</v>
      </c>
      <c r="M5" s="9">
        <f>京东POP财经口径!M5+京东自营财经口径!M5</f>
        <v>2399113.41785294</v>
      </c>
      <c r="N5" s="9">
        <f>京东POP财经口径!N5+京东自营财经口径!N5</f>
        <v>2001030.59364706</v>
      </c>
      <c r="O5" s="9">
        <f>SUM(C5:N5)</f>
        <v>20672839.0381765</v>
      </c>
      <c r="P5" s="9"/>
      <c r="Q5" s="11" t="s">
        <v>83</v>
      </c>
    </row>
    <row r="6" ht="16.8" spans="1:18">
      <c r="A6" s="7"/>
      <c r="B6" s="12" t="s">
        <v>85</v>
      </c>
      <c r="C6" s="13">
        <f>京东POP财经口径!C6+京东自营财经口径!C6</f>
        <v>9345502.61</v>
      </c>
      <c r="D6" s="13">
        <f>京东POP财经口径!D6+京东自营财经口径!D6</f>
        <v>10427439.85</v>
      </c>
      <c r="E6" s="13">
        <f>京东POP财经口径!E6+京东自营财经口径!E6</f>
        <v>8220004.37</v>
      </c>
      <c r="F6" s="13">
        <f>京东POP财经口径!F6+京东自营财经口径!F6</f>
        <v>7326224.25</v>
      </c>
      <c r="G6" s="13">
        <f>京东POP财经口径!G6+京东自营财经口径!G6</f>
        <v>13635331.27</v>
      </c>
      <c r="H6" s="13">
        <f>京东POP财经口径!H6+京东自营财经口径!H6</f>
        <v>12508107.95</v>
      </c>
      <c r="I6" s="13">
        <f>京东POP财经口径!I6+京东自营财经口径!I6</f>
        <v>9534821.04</v>
      </c>
      <c r="J6" s="13">
        <f>京东POP财经口径!J6+京东自营财经口径!J6</f>
        <v>12305623.62</v>
      </c>
      <c r="K6" s="13">
        <f>京东POP财经口径!K6+京东自营财经口径!K6</f>
        <v>9412579.91</v>
      </c>
      <c r="L6" s="13">
        <f>京东POP财经口径!L6+京东自营财经口径!L6</f>
        <v>13867593.7</v>
      </c>
      <c r="M6" s="13">
        <f>京东POP财经口径!M6+京东自营财经口径!M6</f>
        <v>15714797.57</v>
      </c>
      <c r="N6" s="13">
        <f>京东POP财经口径!N6+京东自营财经口径!N6</f>
        <v>13107254.84</v>
      </c>
      <c r="O6" s="13">
        <f>SUM(C6:N6)</f>
        <v>135405280.98</v>
      </c>
      <c r="P6" s="13"/>
      <c r="Q6" s="11" t="s">
        <v>83</v>
      </c>
    </row>
    <row r="7" ht="16.8" spans="1:18">
      <c r="A7" s="7"/>
      <c r="B7" s="14" t="s">
        <v>20</v>
      </c>
      <c r="C7" s="15">
        <f t="shared" ref="C7:O7" si="0">1-C8/C6</f>
        <v>0.132585458743016</v>
      </c>
      <c r="D7" s="15">
        <f t="shared" si="0"/>
        <v>0.132696180907458</v>
      </c>
      <c r="E7" s="15">
        <f t="shared" si="0"/>
        <v>0.132696172667122</v>
      </c>
      <c r="F7" s="15">
        <f t="shared" si="0"/>
        <v>0.132696159108795</v>
      </c>
      <c r="G7" s="15">
        <f t="shared" si="0"/>
        <v>0.132706488357366</v>
      </c>
      <c r="H7" s="15">
        <f t="shared" si="0"/>
        <v>0.132706447833989</v>
      </c>
      <c r="I7" s="15">
        <f t="shared" si="0"/>
        <v>0.132706517828497</v>
      </c>
      <c r="J7" s="15">
        <f t="shared" si="0"/>
        <v>0.132706441323803</v>
      </c>
      <c r="K7" s="15">
        <f t="shared" si="0"/>
        <v>0.132706453130752</v>
      </c>
      <c r="L7" s="15">
        <f t="shared" si="0"/>
        <v>0.132706442579547</v>
      </c>
      <c r="M7" s="15">
        <f t="shared" si="0"/>
        <v>0.132706448607612</v>
      </c>
      <c r="N7" s="15">
        <f t="shared" si="0"/>
        <v>0.132706417961979</v>
      </c>
      <c r="O7" s="15">
        <f t="shared" si="0"/>
        <v>0.132696131666046</v>
      </c>
      <c r="P7" s="15"/>
      <c r="Q7" s="6" t="s">
        <v>83</v>
      </c>
    </row>
    <row r="8" ht="16.8" spans="1:18">
      <c r="A8" s="7"/>
      <c r="B8" s="12" t="s">
        <v>86</v>
      </c>
      <c r="C8" s="13">
        <f>京东POP财经口径!C8+京东自营财经口径!C8</f>
        <v>8106424.85926909</v>
      </c>
      <c r="D8" s="13">
        <f>京东POP财经口径!D8+京东自营财经口径!D8</f>
        <v>9043758.40526276</v>
      </c>
      <c r="E8" s="13">
        <f>京东POP财经口径!E8+京东自营财经口径!E8</f>
        <v>7129241.25079398</v>
      </c>
      <c r="F8" s="13">
        <f>京东POP财经口径!F8+京东自营财经口径!F8</f>
        <v>6354062.43125529</v>
      </c>
      <c r="G8" s="13">
        <f>京东POP财经口径!G8+京东自营财经口径!G8</f>
        <v>11825834.3395689</v>
      </c>
      <c r="H8" s="13">
        <f>京东POP财经口径!H8+京东自营财经口径!H8</f>
        <v>10848201.3748314</v>
      </c>
      <c r="I8" s="13">
        <f>京东POP财经口径!I8+京东自营财经口径!I8</f>
        <v>8269488.14166371</v>
      </c>
      <c r="J8" s="13">
        <f>京东POP财经口径!J8+京东自营财经口径!J8</f>
        <v>10672588.1011197</v>
      </c>
      <c r="K8" s="13">
        <f>京东POP财经口径!K8+京东自营财经口径!K8</f>
        <v>8163469.81533413</v>
      </c>
      <c r="L8" s="13">
        <f>京东POP财经口径!L8+京东自营财经口径!L8</f>
        <v>12027274.6729345</v>
      </c>
      <c r="M8" s="13">
        <f>京东POP财经口径!M8+京东自营财经口径!M8</f>
        <v>13629342.5938978</v>
      </c>
      <c r="N8" s="13">
        <f>京东POP财经口径!N8+京东自营财经口径!N8</f>
        <v>11367838.0008688</v>
      </c>
      <c r="O8" s="13">
        <f>SUM(C8:N8)</f>
        <v>117437523.9868</v>
      </c>
      <c r="P8" s="13"/>
      <c r="Q8" s="6" t="s">
        <v>83</v>
      </c>
    </row>
    <row r="9" ht="16.8" spans="1:18">
      <c r="B9" s="4"/>
      <c r="C9" s="5">
        <f>京东POP财经口径!C9+京东自营财经口径!C9</f>
        <v>0.0687727127277228</v>
      </c>
      <c r="D9" s="5">
        <f>京东POP财经口径!D9+京东自营财经口径!D9</f>
        <v>0.0770091054971661</v>
      </c>
      <c r="E9" s="5">
        <f>京东POP财经口径!E9+京东自营财经口径!E9</f>
        <v>0.0607066752408747</v>
      </c>
      <c r="F9" s="5">
        <f>京东POP财经口径!F9+京东自营财经口径!F9</f>
        <v>0.05410589790314</v>
      </c>
      <c r="G9" s="5">
        <f>京东POP财经口径!G9+京东自营财经口径!G9</f>
        <v>0.100733659517638</v>
      </c>
      <c r="H9" s="5">
        <f>京东POP财经口径!H9+京东自营财经口径!H9</f>
        <v>0.0924060791480001</v>
      </c>
      <c r="I9" s="5">
        <f>京东POP财经口径!I9+京东自营财经口径!I9</f>
        <v>0.0704403447166195</v>
      </c>
      <c r="J9" s="5">
        <f>京东POP财经口径!J9+京东自营财经口径!J9</f>
        <v>0.0909101916049472</v>
      </c>
      <c r="K9" s="5">
        <f>京东POP财经口径!K9+京东自营财经口径!K9</f>
        <v>0.0695372643114559</v>
      </c>
      <c r="L9" s="5">
        <f>京东POP财经口径!L9+京东自营财经口径!L9</f>
        <v>0.102449546650961</v>
      </c>
      <c r="M9" s="5">
        <f>京东POP财经口径!M9+京东自营财经口径!M9</f>
        <v>0.116096123428822</v>
      </c>
      <c r="N9" s="5">
        <f>京东POP财经口径!N9+京东自营财经口径!N9</f>
        <v>0.0968323992526536</v>
      </c>
      <c r="O9" s="5">
        <f>O8+O14-O10</f>
        <v>0</v>
      </c>
      <c r="P9" s="5"/>
      <c r="Q9" s="6"/>
    </row>
    <row r="10" ht="16.8" spans="1:18">
      <c r="A10" s="7"/>
      <c r="B10" s="12" t="s">
        <v>22</v>
      </c>
      <c r="C10" s="13">
        <f>京东POP财经口径!C10+京东自营财经口径!C10</f>
        <v>12375743.5770588</v>
      </c>
      <c r="D10" s="13">
        <f>京东POP财经口径!D10+京东自营财经口径!D10</f>
        <v>13383879.4882353</v>
      </c>
      <c r="E10" s="13">
        <f>京东POP财经口径!E10+京东自营财经口径!E10</f>
        <v>10550581.1005882</v>
      </c>
      <c r="F10" s="13">
        <f>京东POP财经口径!F10+京东自营财经口径!F10</f>
        <v>9403392.07352941</v>
      </c>
      <c r="G10" s="13">
        <f>京东POP财经口径!G10+京东自营财经口径!G10</f>
        <v>17134686.4431373</v>
      </c>
      <c r="H10" s="13">
        <f>京东POP财经口径!H10+京东自营财经口径!H10</f>
        <v>15718174.5441176</v>
      </c>
      <c r="I10" s="13">
        <f>京东POP财经口径!I10+京东自营财经口径!I10</f>
        <v>12238741.66</v>
      </c>
      <c r="J10" s="13">
        <f>京东POP财经口径!J10+京东自营财经口径!J10</f>
        <v>15795299.9858824</v>
      </c>
      <c r="K10" s="13">
        <f>京东POP财经口径!K10+京东自营财经口径!K10</f>
        <v>12081835.4135294</v>
      </c>
      <c r="L10" s="13">
        <f>京东POP财经口径!L10+京东自营财经口径!L10</f>
        <v>17800219.4676471</v>
      </c>
      <c r="M10" s="13">
        <f>京东POP财经口径!M10+京东自营财经口径!M10</f>
        <v>19747825.2607843</v>
      </c>
      <c r="N10" s="13">
        <f>京东POP财经口径!N10+京东自营财经口径!N10</f>
        <v>16824261.2658824</v>
      </c>
      <c r="O10" s="13">
        <f t="shared" ref="O10:O16" si="1">SUM(C10:N10)</f>
        <v>173054640.280392</v>
      </c>
      <c r="P10" s="13"/>
      <c r="Q10" s="6"/>
    </row>
    <row r="11" ht="16.8" spans="1:18">
      <c r="B11" s="17" t="s">
        <v>23</v>
      </c>
      <c r="C11" s="18">
        <f>京东POP财经口径!C11+京东自营财经口径!C11</f>
        <v>0</v>
      </c>
      <c r="D11" s="18">
        <f>京东POP财经口径!D11+京东自营财经口径!D11</f>
        <v>0</v>
      </c>
      <c r="E11" s="18">
        <f>京东POP财经口径!E11+京东自营财经口径!E11</f>
        <v>0</v>
      </c>
      <c r="F11" s="18">
        <f>京东POP财经口径!F11+京东自营财经口径!F11</f>
        <v>0</v>
      </c>
      <c r="G11" s="18">
        <f>京东POP财经口径!G11+京东自营财经口径!G11</f>
        <v>0</v>
      </c>
      <c r="H11" s="18">
        <f>京东POP财经口径!H11+京东自营财经口径!H11</f>
        <v>0</v>
      </c>
      <c r="I11" s="18">
        <f>京东POP财经口径!I11+京东自营财经口径!I11</f>
        <v>0</v>
      </c>
      <c r="J11" s="18">
        <f>京东POP财经口径!J11+京东自营财经口径!J11</f>
        <v>0</v>
      </c>
      <c r="K11" s="18">
        <f>京东POP财经口径!K11+京东自营财经口径!K11</f>
        <v>0</v>
      </c>
      <c r="L11" s="18">
        <f>京东POP财经口径!L11+京东自营财经口径!L11</f>
        <v>0</v>
      </c>
      <c r="M11" s="18">
        <f>京东POP财经口径!M11+京东自营财经口径!M11</f>
        <v>0</v>
      </c>
      <c r="N11" s="18">
        <f>京东POP财经口径!N11+京东自营财经口径!N11</f>
        <v>0</v>
      </c>
      <c r="O11" s="18">
        <f t="shared" si="1"/>
        <v>0</v>
      </c>
      <c r="P11" s="18"/>
      <c r="Q11" s="6" t="s">
        <v>88</v>
      </c>
    </row>
    <row r="12" ht="16.8" spans="1:18">
      <c r="B12" s="17" t="s">
        <v>25</v>
      </c>
      <c r="C12" s="18">
        <f>京东POP财经口径!C12+京东自营财经口径!C12</f>
        <v>145820.85</v>
      </c>
      <c r="D12" s="18">
        <f>京东POP财经口径!D12+京东自营财经口径!D12</f>
        <v>157699.5</v>
      </c>
      <c r="E12" s="18">
        <f>京东POP财经口径!E12+京东自营财经口径!E12</f>
        <v>124315.35</v>
      </c>
      <c r="F12" s="18">
        <f>京东POP财经口径!F12+京东自营财经口径!F12</f>
        <v>110798.25</v>
      </c>
      <c r="G12" s="18">
        <f>京东POP财经口径!G12+京东自营财经口径!G12</f>
        <v>205603.2</v>
      </c>
      <c r="H12" s="18">
        <f>京东POP财经口径!H12+京东自营财经口径!H12</f>
        <v>188606.25</v>
      </c>
      <c r="I12" s="18">
        <f>京东POP财经口径!I12+京东自营财经口径!I12</f>
        <v>143772.9</v>
      </c>
      <c r="J12" s="18">
        <f>京东POP财经口径!J12+京东自营财经口径!J12</f>
        <v>185553</v>
      </c>
      <c r="K12" s="18">
        <f>京东POP财经口径!K12+京东自营财经口径!K12</f>
        <v>141929.55</v>
      </c>
      <c r="L12" s="18">
        <f>京东POP财经口径!L12+京东自营财经口径!L12</f>
        <v>209105.55</v>
      </c>
      <c r="M12" s="18">
        <f>京东POP财经口径!M12+京东自营财经口径!M12</f>
        <v>236958.9</v>
      </c>
      <c r="N12" s="18">
        <f>京东POP财经口径!N12+京东自营财经口径!N12</f>
        <v>197640.6</v>
      </c>
      <c r="O12" s="18">
        <f t="shared" si="1"/>
        <v>2047803.9</v>
      </c>
      <c r="P12" s="19">
        <v>0.15</v>
      </c>
      <c r="Q12" s="6" t="s">
        <v>83</v>
      </c>
      <c r="R12" s="20">
        <f>O12/$O$10</f>
        <v>0.0118332793427674</v>
      </c>
    </row>
    <row r="13" ht="16.8" spans="1:18">
      <c r="B13" s="17" t="s">
        <v>27</v>
      </c>
      <c r="C13" s="18">
        <f>京东POP财经口径!C13+京东自营财经口径!C13</f>
        <v>4123497.86778973</v>
      </c>
      <c r="D13" s="18">
        <f>京东POP财经口径!D13+京东自营财经口径!D13</f>
        <v>4182421.58297253</v>
      </c>
      <c r="E13" s="18">
        <f>京东POP财经口径!E13+京东自营财经口径!E13</f>
        <v>3297024.49979425</v>
      </c>
      <c r="F13" s="18">
        <f>京东POP财经口径!F13+京东自营财经口径!F13</f>
        <v>2938531.39227412</v>
      </c>
      <c r="G13" s="18">
        <f>京东POP财经口径!G13+京东自营财经口径!G13</f>
        <v>5103248.90356834</v>
      </c>
      <c r="H13" s="18">
        <f>京东POP财经口径!H13+京东自营财经口径!H13</f>
        <v>4681366.91928623</v>
      </c>
      <c r="I13" s="18">
        <f>京东POP财经口径!I13+京东自营财经口径!I13</f>
        <v>3825480.61833629</v>
      </c>
      <c r="J13" s="18">
        <f>京东POP财经口径!J13+京东自营财经口径!J13</f>
        <v>4937158.88476269</v>
      </c>
      <c r="K13" s="18">
        <f>京东POP财经口径!K13+京东自营财经口径!K13</f>
        <v>3776436.04819528</v>
      </c>
      <c r="L13" s="18">
        <f>京东POP财经口径!L13+京东自营财经口径!L13</f>
        <v>5563839.2447126</v>
      </c>
      <c r="M13" s="18">
        <f>京东POP财经口径!M13+京东自营财经口径!M13</f>
        <v>5881523.76688655</v>
      </c>
      <c r="N13" s="18">
        <f>京东POP财经口径!N13+京东自营财经口径!N13</f>
        <v>5258782.66501357</v>
      </c>
      <c r="O13" s="18">
        <f t="shared" si="1"/>
        <v>53569312.3935922</v>
      </c>
      <c r="P13" s="18"/>
      <c r="Q13" s="6" t="s">
        <v>83</v>
      </c>
      <c r="R13" s="20">
        <f>O13/$O$10</f>
        <v>0.309551435932584</v>
      </c>
    </row>
    <row r="14" ht="16.8" spans="1:18">
      <c r="B14" s="21" t="s">
        <v>28</v>
      </c>
      <c r="C14" s="22">
        <f>京东POP财经口径!C14+京东自营财经口径!C14</f>
        <v>4269318.71778973</v>
      </c>
      <c r="D14" s="22">
        <f>京东POP财经口径!D14+京东自营财经口径!D14</f>
        <v>4340121.08297253</v>
      </c>
      <c r="E14" s="22">
        <f>京东POP财经口径!E14+京东自营财经口径!E14</f>
        <v>3421339.84979425</v>
      </c>
      <c r="F14" s="22">
        <f>京东POP财经口径!F14+京东自营财经口径!F14</f>
        <v>3049329.64227412</v>
      </c>
      <c r="G14" s="22">
        <f>京东POP财经口径!G14+京东自营财经口径!G14</f>
        <v>5308852.10356834</v>
      </c>
      <c r="H14" s="22">
        <f>京东POP财经口径!H14+京东自营财经口径!H14</f>
        <v>4869973.16928623</v>
      </c>
      <c r="I14" s="22">
        <f>京东POP财经口径!I14+京东自营财经口径!I14</f>
        <v>3969253.51833629</v>
      </c>
      <c r="J14" s="22">
        <f>京东POP财经口径!J14+京东自营财经口径!J14</f>
        <v>5122711.88476269</v>
      </c>
      <c r="K14" s="22">
        <f>京东POP财经口径!K14+京东自营财经口径!K14</f>
        <v>3918365.59819528</v>
      </c>
      <c r="L14" s="22">
        <f>京东POP财经口径!L14+京东自营财经口径!L14</f>
        <v>5772944.7947126</v>
      </c>
      <c r="M14" s="22">
        <f>京东POP财经口径!M14+京东自营财经口径!M14</f>
        <v>6118482.66688655</v>
      </c>
      <c r="N14" s="22">
        <f>京东POP财经口径!N14+京东自营财经口径!N14</f>
        <v>5456423.26501357</v>
      </c>
      <c r="O14" s="22">
        <f t="shared" si="1"/>
        <v>55617116.2935922</v>
      </c>
      <c r="P14" s="22"/>
      <c r="Q14" s="6"/>
    </row>
    <row r="15" ht="16.8" spans="1:18">
      <c r="A15" s="7"/>
      <c r="B15" s="12" t="s">
        <v>29</v>
      </c>
      <c r="C15" s="13">
        <f>京东POP财经口径!C15+京东自营财经口径!C15</f>
        <v>8106424.85926909</v>
      </c>
      <c r="D15" s="13">
        <f>京东POP财经口径!D15+京东自营财经口径!D15</f>
        <v>9043758.40526276</v>
      </c>
      <c r="E15" s="13">
        <f>京东POP财经口径!E15+京东自营财经口径!E15</f>
        <v>7129241.25079398</v>
      </c>
      <c r="F15" s="13">
        <f>京东POP财经口径!F15+京东自营财经口径!F15</f>
        <v>6354062.43125529</v>
      </c>
      <c r="G15" s="13">
        <f>京东POP财经口径!G15+京东自营财经口径!G15</f>
        <v>11825834.3395689</v>
      </c>
      <c r="H15" s="13">
        <f>京东POP财经口径!H15+京东自营财经口径!H15</f>
        <v>10848201.3748314</v>
      </c>
      <c r="I15" s="13">
        <f>京东POP财经口径!I15+京东自营财经口径!I15</f>
        <v>8269488.14166371</v>
      </c>
      <c r="J15" s="13">
        <f>京东POP财经口径!J15+京东自营财经口径!J15</f>
        <v>10672588.1011197</v>
      </c>
      <c r="K15" s="13">
        <f>京东POP财经口径!K15+京东自营财经口径!K15</f>
        <v>8163469.81533413</v>
      </c>
      <c r="L15" s="13">
        <f>京东POP财经口径!L15+京东自营财经口径!L15</f>
        <v>12027274.6729345</v>
      </c>
      <c r="M15" s="13">
        <f>京东POP财经口径!M15+京东自营财经口径!M15</f>
        <v>13629342.5938978</v>
      </c>
      <c r="N15" s="13">
        <f>京东POP财经口径!N15+京东自营财经口径!N15</f>
        <v>11367838.0008688</v>
      </c>
      <c r="O15" s="13">
        <f t="shared" si="1"/>
        <v>117437523.9868</v>
      </c>
      <c r="P15" s="13"/>
      <c r="Q15" s="6"/>
    </row>
    <row r="16" ht="16.8" spans="1:18">
      <c r="A16" s="7"/>
      <c r="B16" s="12" t="s">
        <v>30</v>
      </c>
      <c r="C16" s="13">
        <f>京东POP财经口径!C16+京东自营财经口径!C16</f>
        <v>7173827.30908769</v>
      </c>
      <c r="D16" s="13">
        <f>京东POP财经口径!D16+京东自营财经口径!D16</f>
        <v>8003326.02235643</v>
      </c>
      <c r="E16" s="13">
        <f>京东POP财经口径!E16+京东自营财经口径!E16</f>
        <v>6309063.05379998</v>
      </c>
      <c r="F16" s="13">
        <f>京东POP财经口径!F16+京东自营财经口径!F16</f>
        <v>5623064.09845601</v>
      </c>
      <c r="G16" s="13">
        <f>京东POP财经口径!G16+京东自营财经口径!G16</f>
        <v>10465340.1235123</v>
      </c>
      <c r="H16" s="13">
        <f>京东POP财经口径!H16+京东自营财经口径!H16</f>
        <v>9600178.20781541</v>
      </c>
      <c r="I16" s="13">
        <f>京东POP财经口径!I16+京东自营财经口径!I16</f>
        <v>7318131.09881745</v>
      </c>
      <c r="J16" s="13">
        <f>京东POP财经口径!J16+京东自营财经口径!J16</f>
        <v>9444768.23107935</v>
      </c>
      <c r="K16" s="13">
        <f>京东POP财经口径!K16+京东自营财经口径!K16</f>
        <v>7224309.57109215</v>
      </c>
      <c r="L16" s="13">
        <f>京东POP财经口径!L16+京东自营财经口径!L16</f>
        <v>10643605.9052517</v>
      </c>
      <c r="M16" s="13">
        <f>京东POP财经口径!M16+京东自营财经口径!M16</f>
        <v>12061365.1273432</v>
      </c>
      <c r="N16" s="13">
        <f>京东POP财经口径!N16+京东自营财经口径!N16</f>
        <v>10060033.6290874</v>
      </c>
      <c r="O16" s="13">
        <f t="shared" si="1"/>
        <v>103927012.377699</v>
      </c>
      <c r="P16" s="13"/>
      <c r="Q16" s="6"/>
    </row>
    <row r="17" spans="1:17">
      <c r="C17">
        <f>京东POP财经口径!C17+京东自营财经口径!C17</f>
        <v>0</v>
      </c>
      <c r="D17">
        <f>京东POP财经口径!D17+京东自营财经口径!D17</f>
        <v>0</v>
      </c>
      <c r="E17">
        <f>京东POP财经口径!E17+京东自营财经口径!E17</f>
        <v>0</v>
      </c>
      <c r="F17">
        <f>京东POP财经口径!F17+京东自营财经口径!F17</f>
        <v>0</v>
      </c>
      <c r="G17">
        <f>京东POP财经口径!G17+京东自营财经口径!G17</f>
        <v>0</v>
      </c>
      <c r="H17">
        <f>京东POP财经口径!H17+京东自营财经口径!H17</f>
        <v>0</v>
      </c>
      <c r="I17">
        <f>京东POP财经口径!I17+京东自营财经口径!I17</f>
        <v>0</v>
      </c>
      <c r="J17">
        <f>京东POP财经口径!J17+京东自营财经口径!J17</f>
        <v>0</v>
      </c>
      <c r="K17">
        <f>京东POP财经口径!K17+京东自营财经口径!K17</f>
        <v>0</v>
      </c>
      <c r="L17">
        <f>京东POP财经口径!L17+京东自营财经口径!L17</f>
        <v>0</v>
      </c>
      <c r="M17">
        <f>京东POP财经口径!M17+京东自营财经口径!M17</f>
        <v>0</v>
      </c>
      <c r="N17">
        <f>京东POP财经口径!N17+京东自营财经口径!N17</f>
        <v>0</v>
      </c>
      <c r="Q17" s="6"/>
    </row>
    <row r="18" ht="16.8" spans="1:17">
      <c r="B18" s="17" t="s">
        <v>31</v>
      </c>
      <c r="C18" s="18">
        <f>京东POP财经口径!C18+京东自营财经口径!C18</f>
        <v>3511457.35857046</v>
      </c>
      <c r="D18" s="18">
        <f>京东POP财经口径!D18+京东自营财经口径!D18</f>
        <v>3900837.87805597</v>
      </c>
      <c r="E18" s="18">
        <f>京东POP财经口径!E18+京东自营财经口径!E18</f>
        <v>3244315.68496716</v>
      </c>
      <c r="F18" s="18">
        <f>京东POP财经口径!F18+京东自营财经口径!F18</f>
        <v>2899374.70602657</v>
      </c>
      <c r="G18" s="18">
        <f>京东POP财经口径!G18+京东自营财经口径!G18</f>
        <v>4806994.2984964</v>
      </c>
      <c r="H18" s="18">
        <f>京东POP财经口径!H18+京东自营财经口径!H18</f>
        <v>4479462.04071076</v>
      </c>
      <c r="I18" s="18">
        <f>京东POP财经口径!I18+京东自营财经口径!I18</f>
        <v>3154298.41283167</v>
      </c>
      <c r="J18" s="18">
        <f>京东POP财经口径!J18+京东自营财经口径!J18</f>
        <v>4059789.68675667</v>
      </c>
      <c r="K18" s="18">
        <f>京东POP财经口径!K18+京东自营财经口径!K18</f>
        <v>3051650.4884599</v>
      </c>
      <c r="L18" s="18">
        <f>京东POP财经口径!L18+京东自营财经口径!L18</f>
        <v>4423478.34182687</v>
      </c>
      <c r="M18" s="18">
        <f>京东POP财经口径!M18+京东自营财经口径!M18</f>
        <v>4897241.781916</v>
      </c>
      <c r="N18" s="18">
        <f>京东POP财经口径!N18+京东自营财经口径!N18</f>
        <v>4044215.55790337</v>
      </c>
      <c r="O18" s="18">
        <f>SUM(C18:N18)</f>
        <v>46473116.2365218</v>
      </c>
      <c r="P18" s="23">
        <f>O18/O16</f>
        <v>0.44717071311187</v>
      </c>
      <c r="Q18" s="6"/>
    </row>
    <row r="19" ht="16.8" spans="1:17">
      <c r="B19" s="21" t="s">
        <v>32</v>
      </c>
      <c r="C19" s="22">
        <f>京东POP财经口径!C19+京东自营财经口径!C19</f>
        <v>3662369.95051723</v>
      </c>
      <c r="D19" s="22">
        <f>京东POP财经口径!D19+京东自营财经口径!D19</f>
        <v>4102488.14430045</v>
      </c>
      <c r="E19" s="22">
        <f>京东POP财经口径!E19+京东自营财经口径!E19</f>
        <v>3064747.36883282</v>
      </c>
      <c r="F19" s="22">
        <f>京东POP财经口径!F19+京东自营财经口径!F19</f>
        <v>2723689.39242944</v>
      </c>
      <c r="G19" s="22">
        <f>京东POP财经口径!G19+京东自营财经口径!G19</f>
        <v>5658345.82501592</v>
      </c>
      <c r="H19" s="22">
        <f>京东POP财经口径!H19+京东自营财经口径!H19</f>
        <v>5120716.16710465</v>
      </c>
      <c r="I19" s="22">
        <f>京东POP财经口径!I19+京东自营财经口径!I19</f>
        <v>4163832.68598578</v>
      </c>
      <c r="J19" s="22">
        <f>京东POP财经口径!J19+京东自营财经口径!J19</f>
        <v>5384978.54432268</v>
      </c>
      <c r="K19" s="22">
        <f>京东POP财经口径!K19+京东自营财经口径!K19</f>
        <v>4172659.08263225</v>
      </c>
      <c r="L19" s="22">
        <f>京东POP财经口径!L19+京东自营财经口径!L19</f>
        <v>6220127.56342486</v>
      </c>
      <c r="M19" s="22">
        <f>京东POP财经口径!M19+京东自营财经口径!M19</f>
        <v>7164123.34542716</v>
      </c>
      <c r="N19" s="22">
        <f>京东POP财经口径!N19+京东自营财经口径!N19</f>
        <v>6015818.07118405</v>
      </c>
      <c r="O19" s="22">
        <f>SUM(C19:N19)</f>
        <v>57453896.1411773</v>
      </c>
      <c r="P19" s="24">
        <f>O19/$O$16</f>
        <v>0.55282928688813</v>
      </c>
      <c r="Q19" s="6"/>
    </row>
    <row r="20" ht="16.8" spans="1:17">
      <c r="A20" s="5"/>
      <c r="B20" s="4" t="s">
        <v>33</v>
      </c>
      <c r="C20" s="25">
        <f>京东POP财经口径!C20+京东自营财经口径!C20</f>
        <v>179345.682727192</v>
      </c>
      <c r="D20" s="25">
        <f>京东POP财经口径!D20+京东自营财经口径!D20</f>
        <v>200083.150558911</v>
      </c>
      <c r="E20" s="25">
        <f>京东POP财经口径!E20+京东自营财经口径!E20</f>
        <v>157726.576345</v>
      </c>
      <c r="F20" s="25">
        <f>京东POP财经口径!F20+京东自营财经口径!F20</f>
        <v>140576.6024614</v>
      </c>
      <c r="G20" s="25">
        <f>京东POP财经口径!G20+京东自营财经口径!G20</f>
        <v>261633.503087808</v>
      </c>
      <c r="H20" s="25">
        <f>京东POP财经口径!H20+京东自营财经口径!H20</f>
        <v>240004.455195385</v>
      </c>
      <c r="I20" s="25">
        <f>京东POP财经口径!I20+京东自营财经口径!I20</f>
        <v>182953.277470436</v>
      </c>
      <c r="J20" s="25">
        <f>京东POP财经口径!J20+京东自营财经口径!J20</f>
        <v>236119.205776984</v>
      </c>
      <c r="K20" s="25">
        <f>京东POP财经口径!K20+京东自营财经口径!K20</f>
        <v>180607.739277304</v>
      </c>
      <c r="L20" s="25">
        <f>京东POP财经口径!L20+京东自营财经口径!L20</f>
        <v>266090.147631293</v>
      </c>
      <c r="M20" s="25">
        <f>京东POP财经口径!M20+京东自营财经口径!M20</f>
        <v>301534.128183579</v>
      </c>
      <c r="N20" s="25">
        <f>京东POP财经口径!N20+京东自营财经口径!N20</f>
        <v>251500.840727186</v>
      </c>
      <c r="O20" s="25">
        <f>SUM(C20:N20)</f>
        <v>2598175.30944248</v>
      </c>
      <c r="P20" s="26">
        <v>0.025</v>
      </c>
      <c r="Q20" s="6"/>
    </row>
    <row r="21" ht="16.8" spans="1:17">
      <c r="B21" s="21" t="s">
        <v>35</v>
      </c>
      <c r="C21" s="22">
        <f>京东POP财经口径!C21+京东自营财经口径!C21</f>
        <v>3690803.04129766</v>
      </c>
      <c r="D21" s="22">
        <f>京东POP财经口径!D21+京东自营财经口径!D21</f>
        <v>4100921.02861488</v>
      </c>
      <c r="E21" s="22">
        <f>京东POP财经口径!E21+京东自营财经口径!E21</f>
        <v>3402042.26131216</v>
      </c>
      <c r="F21" s="22">
        <f>京东POP财经口径!F21+京东自营财经口径!F21</f>
        <v>3039951.30848797</v>
      </c>
      <c r="G21" s="22">
        <f>京东POP财经口径!G21+京东自营财经口径!G21</f>
        <v>5068627.80158421</v>
      </c>
      <c r="H21" s="22">
        <f>京东POP财经口径!H21+京东自营财经口径!H21</f>
        <v>4719466.49590615</v>
      </c>
      <c r="I21" s="22">
        <f>京东POP财经口径!I21+京东自营财经口径!I21</f>
        <v>3337251.6903021</v>
      </c>
      <c r="J21" s="22">
        <f>京东POP财经口径!J21+京东自营财经口径!J21</f>
        <v>4295908.89253365</v>
      </c>
      <c r="K21" s="22">
        <f>京东POP财经口径!K21+京东自营财经口径!K21</f>
        <v>3232258.2277372</v>
      </c>
      <c r="L21" s="22">
        <f>京东POP财经口径!L21+京东自营财经口径!L21</f>
        <v>4689568.48945817</v>
      </c>
      <c r="M21" s="22">
        <f>京东POP财经口径!M21+京东自营财经口径!M21</f>
        <v>5198775.91009957</v>
      </c>
      <c r="N21" s="22">
        <f>京东POP财经口径!N21+京东自营财经口径!N21</f>
        <v>4295716.39863055</v>
      </c>
      <c r="O21" s="22">
        <f>SUM(C21:N21)</f>
        <v>49071291.5459643</v>
      </c>
      <c r="P21" s="24">
        <f>O21/$O$16</f>
        <v>0.472170713111869</v>
      </c>
      <c r="Q21" s="6"/>
    </row>
    <row r="22" ht="16.8" spans="1:17">
      <c r="A22" s="7"/>
      <c r="B22" s="12" t="s">
        <v>36</v>
      </c>
      <c r="C22" s="13">
        <f>京东POP财经口径!C22+京东自营财经口径!C22</f>
        <v>3483024.26779004</v>
      </c>
      <c r="D22" s="13">
        <f>京东POP财经口径!D22+京东自营财经口径!D22</f>
        <v>3902404.99374154</v>
      </c>
      <c r="E22" s="13">
        <f>京东POP财经口径!E22+京东自营财经口径!E22</f>
        <v>2907020.79248782</v>
      </c>
      <c r="F22" s="13">
        <f>京东POP财经口径!F22+京东自营财经口径!F22</f>
        <v>2583112.78996804</v>
      </c>
      <c r="G22" s="13">
        <f>京东POP财经口径!G22+京东自营财经口径!G22</f>
        <v>5396712.32192811</v>
      </c>
      <c r="H22" s="13">
        <f>京东POP财经口径!H22+京东自营财经口径!H22</f>
        <v>4880711.71190926</v>
      </c>
      <c r="I22" s="13">
        <f>京东POP财经口径!I22+京东自营财经口径!I22</f>
        <v>3980879.40851534</v>
      </c>
      <c r="J22" s="13">
        <f>京东POP财经口径!J22+京东自营财经口径!J22</f>
        <v>5148859.3385457</v>
      </c>
      <c r="K22" s="13">
        <f>京东POP财经口径!K22+京东自营财经口径!K22</f>
        <v>3992051.34335495</v>
      </c>
      <c r="L22" s="13">
        <f>京东POP财经口径!L22+京东自营财经口径!L22</f>
        <v>5954037.41579357</v>
      </c>
      <c r="M22" s="13">
        <f>京东POP财经口径!M22+京东自营财经口径!M22</f>
        <v>6862589.21724358</v>
      </c>
      <c r="N22" s="13">
        <f>京东POP财经口径!N22+京东自营财经口径!N22</f>
        <v>5764317.23045686</v>
      </c>
      <c r="O22" s="13">
        <f>SUM(C22:N22)</f>
        <v>54855720.8317348</v>
      </c>
      <c r="P22" s="27">
        <f>O22/$O$16</f>
        <v>0.52782928688813</v>
      </c>
      <c r="Q22" s="6"/>
    </row>
    <row r="23" ht="16.8" spans="1:17">
      <c r="B23" s="14" t="s">
        <v>37</v>
      </c>
      <c r="C23" s="44">
        <f t="shared" ref="C23:O23" si="2">C19/C16</f>
        <v>0.510518276050191</v>
      </c>
      <c r="D23" s="44">
        <f t="shared" si="2"/>
        <v>0.512597904026476</v>
      </c>
      <c r="E23" s="44">
        <f t="shared" si="2"/>
        <v>0.485769018743109</v>
      </c>
      <c r="F23" s="44">
        <f t="shared" si="2"/>
        <v>0.484378151260504</v>
      </c>
      <c r="G23" s="44">
        <f t="shared" si="2"/>
        <v>0.54067481402763</v>
      </c>
      <c r="H23" s="44">
        <f t="shared" si="2"/>
        <v>0.533398032438182</v>
      </c>
      <c r="I23" s="44">
        <f t="shared" si="2"/>
        <v>0.56897486937049</v>
      </c>
      <c r="J23" s="44">
        <f t="shared" si="2"/>
        <v>0.570154652032926</v>
      </c>
      <c r="K23" s="44">
        <f t="shared" si="2"/>
        <v>0.577585863613738</v>
      </c>
      <c r="L23" s="44">
        <f t="shared" si="2"/>
        <v>0.584400401404917</v>
      </c>
      <c r="M23" s="44">
        <f t="shared" si="2"/>
        <v>0.59397284385215</v>
      </c>
      <c r="N23" s="44">
        <f t="shared" si="2"/>
        <v>0.597991845056065</v>
      </c>
      <c r="O23" s="44">
        <f t="shared" si="2"/>
        <v>0.55282928688813</v>
      </c>
      <c r="P23" s="29"/>
      <c r="Q23" s="6"/>
    </row>
    <row r="24" ht="16.8" spans="1:17">
      <c r="B24" s="14" t="s">
        <v>38</v>
      </c>
      <c r="C24" s="28">
        <f t="shared" ref="C24:O24" si="3">IFERROR(1-C21/C16,0)</f>
        <v>0.485518276050191</v>
      </c>
      <c r="D24" s="28">
        <f t="shared" si="3"/>
        <v>0.487597904026476</v>
      </c>
      <c r="E24" s="28">
        <f t="shared" si="3"/>
        <v>0.460769018743109</v>
      </c>
      <c r="F24" s="28">
        <f t="shared" si="3"/>
        <v>0.459378151260504</v>
      </c>
      <c r="G24" s="28">
        <f t="shared" si="3"/>
        <v>0.51567481402763</v>
      </c>
      <c r="H24" s="28">
        <f t="shared" si="3"/>
        <v>0.508398032438181</v>
      </c>
      <c r="I24" s="28">
        <f t="shared" si="3"/>
        <v>0.54397486937049</v>
      </c>
      <c r="J24" s="28">
        <f t="shared" si="3"/>
        <v>0.545154652032926</v>
      </c>
      <c r="K24" s="28">
        <f t="shared" si="3"/>
        <v>0.552585863613738</v>
      </c>
      <c r="L24" s="28">
        <f t="shared" si="3"/>
        <v>0.559400401404917</v>
      </c>
      <c r="M24" s="28">
        <f t="shared" si="3"/>
        <v>0.56897284385215</v>
      </c>
      <c r="N24" s="28">
        <f t="shared" si="3"/>
        <v>0.572991845056065</v>
      </c>
      <c r="O24" s="28">
        <f t="shared" si="3"/>
        <v>0.52782928688813</v>
      </c>
      <c r="P24" s="29"/>
      <c r="Q24" s="6"/>
    </row>
    <row r="25" ht="16.8" spans="1:17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29"/>
      <c r="Q25" s="6"/>
    </row>
    <row r="26" ht="16.8" spans="1:17">
      <c r="B26" s="17" t="s">
        <v>39</v>
      </c>
      <c r="C26" s="18">
        <f>京东POP财经口径!C26+京东自营财经口径!C26</f>
        <v>179293.203075639</v>
      </c>
      <c r="D26" s="18">
        <f>京东POP财经口径!D26+京东自营财经口径!D26</f>
        <v>570367.855078976</v>
      </c>
      <c r="E26" s="18">
        <f>京东POP财经口径!E26+京东自营财经口径!E26</f>
        <v>949856.416879113</v>
      </c>
      <c r="F26" s="18">
        <f>京东POP财经口径!F26+京东自营财经口径!F26</f>
        <v>538158.365448059</v>
      </c>
      <c r="G26" s="18">
        <f>京东POP财经口径!G26+京东自营财经口径!G26</f>
        <v>2144613.47863862</v>
      </c>
      <c r="H26" s="18">
        <f>京东POP财经口径!H26+京东自营财经口径!H26</f>
        <v>1260995.5843056</v>
      </c>
      <c r="I26" s="18">
        <f>京东POP财经口径!I26+京东自营财经口径!I26</f>
        <v>270537.423337212</v>
      </c>
      <c r="J26" s="18">
        <f>京东POP财经口径!J26+京东自营财经口径!J26</f>
        <v>418000.058799739</v>
      </c>
      <c r="K26" s="18">
        <f>京东POP财经口径!K26+京东自营财经口径!K26</f>
        <v>301589.871109781</v>
      </c>
      <c r="L26" s="18">
        <f>京东POP财经口径!L26+京东自营财经口径!L26</f>
        <v>1172573.34058142</v>
      </c>
      <c r="M26" s="18">
        <f>京东POP财经口径!M26+京东自营财经口径!M26</f>
        <v>455369.221847468</v>
      </c>
      <c r="N26" s="18">
        <f>京东POP财经口径!N26+京东自营财经口径!N26</f>
        <v>311453.311358481</v>
      </c>
      <c r="O26" s="18">
        <f t="shared" ref="O26:O31" si="4">SUM(C26:N26)</f>
        <v>8572808.13046011</v>
      </c>
      <c r="P26" s="23">
        <f t="shared" ref="P26:P31" si="5">O26/$O$16</f>
        <v>0.0824887383397897</v>
      </c>
      <c r="Q26" s="6"/>
    </row>
    <row r="27" ht="16.8" spans="1:17">
      <c r="A27" s="5"/>
      <c r="B27" s="4" t="s">
        <v>40</v>
      </c>
      <c r="C27" s="30">
        <f>京东POP财经口径!C27+京东自营财经口径!C27</f>
        <v>0</v>
      </c>
      <c r="D27" s="30">
        <f>京东POP财经口径!D27+京东自营财经口径!D27</f>
        <v>0</v>
      </c>
      <c r="E27" s="30">
        <f>京东POP财经口径!E27+京东自营财经口径!E27</f>
        <v>17426.1311150027</v>
      </c>
      <c r="F27" s="30">
        <f>京东POP财经口径!F27+京东自营财经口径!F27</f>
        <v>14576.7820473352</v>
      </c>
      <c r="G27" s="30">
        <f>京东POP财经口径!G27+京东自营财经口径!G27</f>
        <v>30975.6416251772</v>
      </c>
      <c r="H27" s="30">
        <f>京东POP财经口径!H27+京东自营财经口径!H27</f>
        <v>27287.8878913992</v>
      </c>
      <c r="I27" s="30">
        <f>京东POP财经口径!I27+京东自营财经口径!I27</f>
        <v>17643.1762482057</v>
      </c>
      <c r="J27" s="30">
        <f>京东POP财经口径!J27+京东自营财经口径!J27</f>
        <v>24303.3559934851</v>
      </c>
      <c r="K27" s="30">
        <f>京东POP财经口径!K27+京东自营财经口径!K27</f>
        <v>19372.2808480341</v>
      </c>
      <c r="L27" s="30">
        <f>京东POP财经口径!L27+京东自营财经口径!L27</f>
        <v>32557.8580333606</v>
      </c>
      <c r="M27" s="30">
        <f>京东POP财经口径!M27+京东自营财经口径!M27</f>
        <v>24786.4851612126</v>
      </c>
      <c r="N27" s="30">
        <f>京东POP财经口径!N27+京东自营财经口径!N27</f>
        <v>0</v>
      </c>
      <c r="O27" s="5">
        <f t="shared" si="4"/>
        <v>208929.598963213</v>
      </c>
      <c r="P27" s="29">
        <f t="shared" si="5"/>
        <v>0.00201034932288735</v>
      </c>
      <c r="Q27" s="4"/>
    </row>
    <row r="28" ht="16.8" spans="1:17">
      <c r="A28" s="5"/>
      <c r="B28" s="4" t="s">
        <v>41</v>
      </c>
      <c r="C28" s="30">
        <f>京东POP财经口径!C28+京东自营财经口径!C28</f>
        <v>34415</v>
      </c>
      <c r="D28" s="30">
        <f>京东POP财经口径!D28+京东自营财经口径!D28</f>
        <v>34415</v>
      </c>
      <c r="E28" s="30">
        <f>京东POP财经口径!E28+京东自营财经口径!E28</f>
        <v>34415</v>
      </c>
      <c r="F28" s="30">
        <f>京东POP财经口径!F28+京东自营财经口径!F28</f>
        <v>51907.1384568023</v>
      </c>
      <c r="G28" s="30">
        <f>京东POP财经口径!G28+京东自营财经口径!G28</f>
        <v>220268.849751063</v>
      </c>
      <c r="H28" s="30">
        <f>京东POP财经口径!H28+京东自营财经口径!H28</f>
        <v>121736.241252477</v>
      </c>
      <c r="I28" s="30">
        <f>京东POP财经口径!I28+京东自营财经口径!I28</f>
        <v>34415</v>
      </c>
      <c r="J28" s="30">
        <f>京东POP财经口径!J28+京东自营财经口径!J28</f>
        <v>63579.0271921822</v>
      </c>
      <c r="K28" s="30">
        <f>京东POP财经口径!K28+京东自营财经口径!K28</f>
        <v>96406.298713709</v>
      </c>
      <c r="L28" s="30">
        <f>京东POP财经口径!L28+京东自营财经口径!L28</f>
        <v>73484.4296400328</v>
      </c>
      <c r="M28" s="30">
        <f>京东POP财经口径!M28+京东自营财经口径!M28</f>
        <v>64158.7821934552</v>
      </c>
      <c r="N28" s="30">
        <f>京东POP财经口径!N28+京东自营财经口径!N28</f>
        <v>34415</v>
      </c>
      <c r="O28" s="5">
        <f t="shared" si="4"/>
        <v>863615.767199722</v>
      </c>
      <c r="P28" s="29">
        <f t="shared" si="5"/>
        <v>0.00830982963371551</v>
      </c>
      <c r="Q28" s="4"/>
    </row>
    <row r="29" ht="16.8" spans="1:17">
      <c r="A29" s="5"/>
      <c r="B29" s="4" t="s">
        <v>42</v>
      </c>
      <c r="C29" s="30">
        <f>京东POP财经口径!C29+京东自营财经口径!C29</f>
        <v>8533.07055525511</v>
      </c>
      <c r="D29" s="30">
        <f>京东POP财经口径!D29+京东自营财经口径!D29</f>
        <v>6969.94775282884</v>
      </c>
      <c r="E29" s="30">
        <f>京东POP财经口径!E29+京东自营财经口径!E29</f>
        <v>6970.45244600107</v>
      </c>
      <c r="F29" s="30">
        <f>京东POP财经口径!F29+京东自营财经口径!F29</f>
        <v>29153.5640946704</v>
      </c>
      <c r="G29" s="30">
        <f>京东POP财经口径!G29+京东自营财经口径!G29</f>
        <v>185853.849751063</v>
      </c>
      <c r="H29" s="30">
        <f>京东POP财经口径!H29+京东自营财经口径!H29</f>
        <v>120066.706722157</v>
      </c>
      <c r="I29" s="30">
        <f>京东POP财经口径!I29+京东自营财经口径!I29</f>
        <v>0</v>
      </c>
      <c r="J29" s="30">
        <f>京东POP财经口径!J29+京东自营财经口径!J29</f>
        <v>29164.0271921822</v>
      </c>
      <c r="K29" s="30">
        <f>京东POP财经口径!K29+京东自营财经口径!K29</f>
        <v>61991.298713709</v>
      </c>
      <c r="L29" s="30">
        <f>京东POP财经口径!L29+京东自营财经口径!L29</f>
        <v>65115.7160667212</v>
      </c>
      <c r="M29" s="30">
        <f>京东POP财经口径!M29+京东自营财经口径!M29</f>
        <v>49572.9703224253</v>
      </c>
      <c r="N29" s="30">
        <f>京东POP财经口径!N29+京东自营财经口径!N29</f>
        <v>8668.81477854776</v>
      </c>
      <c r="O29" s="5">
        <f t="shared" si="4"/>
        <v>572060.41839556</v>
      </c>
      <c r="P29" s="29">
        <f t="shared" si="5"/>
        <v>0.00550444398725268</v>
      </c>
      <c r="Q29" s="6"/>
    </row>
    <row r="30" ht="16.8" spans="1:17">
      <c r="A30" s="5"/>
      <c r="B30" s="4" t="s">
        <v>43</v>
      </c>
      <c r="C30" s="30">
        <f>京东POP财经口径!C30+京东自营财经口径!C30</f>
        <v>8533.07055525511</v>
      </c>
      <c r="D30" s="30">
        <f>京东POP财经口径!D30+京东自营财经口径!D30</f>
        <v>6969.94775282884</v>
      </c>
      <c r="E30" s="30">
        <f>京东POP财经口径!E30+京东自营财经口径!E30</f>
        <v>55763.6195680086</v>
      </c>
      <c r="F30" s="30">
        <f>京东POP财经口径!F30+京东自营财经口径!F30</f>
        <v>5830.71281893408</v>
      </c>
      <c r="G30" s="30">
        <f>京东POP财经口径!G30+京东自营财经口径!G30</f>
        <v>37170.7699502126</v>
      </c>
      <c r="H30" s="30">
        <f>京东POP财经口径!H30+京东自营财经口径!H30</f>
        <v>10915.1551565597</v>
      </c>
      <c r="I30" s="30">
        <f>京东POP财经口径!I30+京东自营财经口径!I30</f>
        <v>7057.2704992823</v>
      </c>
      <c r="J30" s="30">
        <f>京东POP财经口径!J30+京东自营财经口径!J30</f>
        <v>9721.34239739405</v>
      </c>
      <c r="K30" s="30">
        <f>京东POP财经口径!K30+京东自营财经口径!K30</f>
        <v>7748.91233921363</v>
      </c>
      <c r="L30" s="30">
        <f>京东POP财经口径!L30+京东自营财经口径!L30</f>
        <v>26046.2864266885</v>
      </c>
      <c r="M30" s="30">
        <f>京东POP财经口径!M30+京东自营财经口径!M30</f>
        <v>19829.1881289701</v>
      </c>
      <c r="N30" s="30">
        <f>京东POP财经口径!N30+京东自营财经口径!N30</f>
        <v>8668.81477854776</v>
      </c>
      <c r="O30" s="5">
        <f t="shared" si="4"/>
        <v>204255.090371895</v>
      </c>
      <c r="P30" s="29">
        <f t="shared" si="5"/>
        <v>0.00196537055861451</v>
      </c>
      <c r="Q30" s="6"/>
    </row>
    <row r="31" ht="16.8" collapsed="1" spans="1:17">
      <c r="A31" s="5"/>
      <c r="B31" s="4" t="s">
        <v>44</v>
      </c>
      <c r="C31" s="30">
        <f>京东POP财经口径!C31+京东自营财经口径!C31</f>
        <v>127812.061965129</v>
      </c>
      <c r="D31" s="30">
        <f>京东POP财经口径!D31+京东自营财经口径!D31</f>
        <v>522012.959573318</v>
      </c>
      <c r="E31" s="30">
        <f>京东POP财经口径!E31+京东自营财经口径!E31</f>
        <v>835281.2137501</v>
      </c>
      <c r="F31" s="30">
        <f>京东POP财经口径!F31+京东自营财经口径!F31</f>
        <v>436690.168030317</v>
      </c>
      <c r="G31" s="30">
        <f>京东POP财经口径!G31+京东自营财经口径!G31</f>
        <v>1670344.3675611</v>
      </c>
      <c r="H31" s="30">
        <f>京东POP财经口径!H31+京东自营财经口径!H31</f>
        <v>980989.593283009</v>
      </c>
      <c r="I31" s="30">
        <f>京东POP财经口径!I31+京东自营财经口径!I31</f>
        <v>211421.976589724</v>
      </c>
      <c r="J31" s="30">
        <f>京东POP财经口径!J31+京东自营财经口径!J31</f>
        <v>291232.306024495</v>
      </c>
      <c r="K31" s="30">
        <f>京东POP财经口径!K31+京东自营财经口径!K31</f>
        <v>116071.080495115</v>
      </c>
      <c r="L31" s="30">
        <f>京东POP财经口径!L31+京东自营财经口径!L31</f>
        <v>975369.05041462</v>
      </c>
      <c r="M31" s="30">
        <f>京东POP财经口径!M31+京东自营财经口径!M31</f>
        <v>297021.796041405</v>
      </c>
      <c r="N31" s="30">
        <f>京东POP财经口径!N31+京东自营财经口径!N31</f>
        <v>259700.681801385</v>
      </c>
      <c r="O31" s="5">
        <f t="shared" si="4"/>
        <v>6723947.25552972</v>
      </c>
      <c r="P31" s="29">
        <f t="shared" si="5"/>
        <v>0.0646987448373197</v>
      </c>
      <c r="Q31" s="6"/>
    </row>
    <row r="32" ht="16.8" hidden="1" outlineLevel="1" spans="1:17">
      <c r="A32" s="5"/>
      <c r="B32" s="4" t="s">
        <v>45</v>
      </c>
      <c r="C32" s="5">
        <f>京东POP财经口径!C32+京东自营财经口径!C32</f>
        <v>0</v>
      </c>
      <c r="D32" s="5">
        <f>京东POP财经口径!D32+京东自营财经口径!D32</f>
        <v>0</v>
      </c>
      <c r="E32" s="5">
        <f>京东POP财经口径!E32+京东自营财经口径!E32</f>
        <v>0</v>
      </c>
      <c r="F32" s="5">
        <f>京东POP财经口径!F32+京东自营财经口径!F32</f>
        <v>0</v>
      </c>
      <c r="G32" s="5">
        <f>京东POP财经口径!G32+京东自营财经口径!G32</f>
        <v>0</v>
      </c>
      <c r="H32" s="5">
        <f>京东POP财经口径!H32+京东自营财经口径!H32</f>
        <v>0</v>
      </c>
      <c r="I32" s="5">
        <f>京东POP财经口径!I32+京东自营财经口径!I32</f>
        <v>0</v>
      </c>
      <c r="J32" s="5">
        <f>京东POP财经口径!J32+京东自营财经口径!J32</f>
        <v>0</v>
      </c>
      <c r="K32" s="5">
        <f>京东POP财经口径!K32+京东自营财经口径!K32</f>
        <v>0</v>
      </c>
      <c r="L32" s="5">
        <f>京东POP财经口径!L32+京东自营财经口径!L32</f>
        <v>0</v>
      </c>
      <c r="M32" s="5">
        <f>京东POP财经口径!M32+京东自营财经口径!M32</f>
        <v>0</v>
      </c>
      <c r="N32" s="5">
        <f>京东POP财经口径!N32+京东自营财经口径!N32</f>
        <v>0</v>
      </c>
      <c r="O32" s="5"/>
      <c r="P32" s="29"/>
      <c r="Q32" s="6"/>
    </row>
    <row r="33" ht="16.8" hidden="1" outlineLevel="1" spans="1:17">
      <c r="A33" s="5"/>
      <c r="B33" s="4" t="s">
        <v>46</v>
      </c>
      <c r="C33" s="5">
        <f>京东POP财经口径!C33+京东自营财经口径!C33</f>
        <v>0</v>
      </c>
      <c r="D33" s="5">
        <f>京东POP财经口径!D33+京东自营财经口径!D33</f>
        <v>0</v>
      </c>
      <c r="E33" s="5">
        <f>京东POP财经口径!E33+京东自营财经口径!E33</f>
        <v>0</v>
      </c>
      <c r="F33" s="5">
        <f>京东POP财经口径!F33+京东自营财经口径!F33</f>
        <v>0</v>
      </c>
      <c r="G33" s="5">
        <f>京东POP财经口径!G33+京东自营财经口径!G33</f>
        <v>0</v>
      </c>
      <c r="H33" s="5">
        <f>京东POP财经口径!H33+京东自营财经口径!H33</f>
        <v>0</v>
      </c>
      <c r="I33" s="5">
        <f>京东POP财经口径!I33+京东自营财经口径!I33</f>
        <v>0</v>
      </c>
      <c r="J33" s="5">
        <f>京东POP财经口径!J33+京东自营财经口径!J33</f>
        <v>0</v>
      </c>
      <c r="K33" s="5">
        <f>京东POP财经口径!K33+京东自营财经口径!K33</f>
        <v>0</v>
      </c>
      <c r="L33" s="5">
        <f>京东POP财经口径!L33+京东自营财经口径!L33</f>
        <v>0</v>
      </c>
      <c r="M33" s="5">
        <f>京东POP财经口径!M33+京东自营财经口径!M33</f>
        <v>0</v>
      </c>
      <c r="N33" s="5">
        <f>京东POP财经口径!N33+京东自营财经口径!N33</f>
        <v>0</v>
      </c>
      <c r="O33" s="5"/>
      <c r="P33" s="29"/>
      <c r="Q33" s="6"/>
    </row>
    <row r="34" ht="16.8" hidden="1" outlineLevel="1" spans="1:17">
      <c r="A34" s="5"/>
      <c r="B34" s="4" t="s">
        <v>47</v>
      </c>
      <c r="C34" s="5">
        <f>京东POP财经口径!C34+京东自营财经口径!C34</f>
        <v>0</v>
      </c>
      <c r="D34" s="5">
        <f>京东POP财经口径!D34+京东自营财经口径!D34</f>
        <v>0</v>
      </c>
      <c r="E34" s="5">
        <f>京东POP财经口径!E34+京东自营财经口径!E34</f>
        <v>0</v>
      </c>
      <c r="F34" s="5">
        <f>京东POP财经口径!F34+京东自营财经口径!F34</f>
        <v>0</v>
      </c>
      <c r="G34" s="5">
        <f>京东POP财经口径!G34+京东自营财经口径!G34</f>
        <v>0</v>
      </c>
      <c r="H34" s="5">
        <f>京东POP财经口径!H34+京东自营财经口径!H34</f>
        <v>0</v>
      </c>
      <c r="I34" s="5">
        <f>京东POP财经口径!I34+京东自营财经口径!I34</f>
        <v>0</v>
      </c>
      <c r="J34" s="5">
        <f>京东POP财经口径!J34+京东自营财经口径!J34</f>
        <v>0</v>
      </c>
      <c r="K34" s="5">
        <f>京东POP财经口径!K34+京东自营财经口径!K34</f>
        <v>0</v>
      </c>
      <c r="L34" s="5">
        <f>京东POP财经口径!L34+京东自营财经口径!L34</f>
        <v>0</v>
      </c>
      <c r="M34" s="5">
        <f>京东POP财经口径!M34+京东自营财经口径!M34</f>
        <v>0</v>
      </c>
      <c r="N34" s="5">
        <f>京东POP财经口径!N34+京东自营财经口径!N34</f>
        <v>0</v>
      </c>
      <c r="O34" s="5"/>
      <c r="P34" s="29"/>
      <c r="Q34" s="6"/>
    </row>
    <row r="35" ht="16.8" hidden="1" outlineLevel="1" spans="1:17">
      <c r="A35" s="5"/>
      <c r="B35" s="4" t="s">
        <v>48</v>
      </c>
      <c r="C35" s="5">
        <f>京东POP财经口径!C35+京东自营财经口径!C35</f>
        <v>0</v>
      </c>
      <c r="D35" s="5">
        <f>京东POP财经口径!D35+京东自营财经口径!D35</f>
        <v>0</v>
      </c>
      <c r="E35" s="5">
        <f>京东POP财经口径!E35+京东自营财经口径!E35</f>
        <v>0</v>
      </c>
      <c r="F35" s="5">
        <f>京东POP财经口径!F35+京东自营财经口径!F35</f>
        <v>0</v>
      </c>
      <c r="G35" s="5">
        <f>京东POP财经口径!G35+京东自营财经口径!G35</f>
        <v>0</v>
      </c>
      <c r="H35" s="5">
        <f>京东POP财经口径!H35+京东自营财经口径!H35</f>
        <v>0</v>
      </c>
      <c r="I35" s="5">
        <f>京东POP财经口径!I35+京东自营财经口径!I35</f>
        <v>0</v>
      </c>
      <c r="J35" s="5">
        <f>京东POP财经口径!J35+京东自营财经口径!J35</f>
        <v>0</v>
      </c>
      <c r="K35" s="5">
        <f>京东POP财经口径!K35+京东自营财经口径!K35</f>
        <v>0</v>
      </c>
      <c r="L35" s="5">
        <f>京东POP财经口径!L35+京东自营财经口径!L35</f>
        <v>0</v>
      </c>
      <c r="M35" s="5">
        <f>京东POP财经口径!M35+京东自营财经口径!M35</f>
        <v>0</v>
      </c>
      <c r="N35" s="5">
        <f>京东POP财经口径!N35+京东自营财经口径!N35</f>
        <v>0</v>
      </c>
      <c r="O35" s="5"/>
      <c r="P35" s="29"/>
      <c r="Q35" s="6"/>
    </row>
    <row r="36" ht="16.8" hidden="1" outlineLevel="1" spans="1:17">
      <c r="A36" s="5"/>
      <c r="B36" s="4" t="s">
        <v>49</v>
      </c>
      <c r="C36" s="16">
        <f>京东POP财经口径!C36+京东自营财经口径!C36</f>
        <v>0</v>
      </c>
      <c r="D36" s="16">
        <f>京东POP财经口径!D36+京东自营财经口径!D36</f>
        <v>0</v>
      </c>
      <c r="E36" s="16">
        <f>京东POP财经口径!E36+京东自营财经口径!E36</f>
        <v>0</v>
      </c>
      <c r="F36" s="16">
        <f>京东POP财经口径!F36+京东自营财经口径!F36</f>
        <v>0</v>
      </c>
      <c r="G36" s="16">
        <f>京东POP财经口径!G36+京东自营财经口径!G36</f>
        <v>0</v>
      </c>
      <c r="H36" s="16">
        <f>京东POP财经口径!H36+京东自营财经口径!H36</f>
        <v>0</v>
      </c>
      <c r="I36" s="16">
        <f>京东POP财经口径!I36+京东自营财经口径!I36</f>
        <v>0</v>
      </c>
      <c r="J36" s="16">
        <f>京东POP财经口径!J36+京东自营财经口径!J36</f>
        <v>0</v>
      </c>
      <c r="K36" s="16">
        <f>京东POP财经口径!K36+京东自营财经口径!K36</f>
        <v>0</v>
      </c>
      <c r="L36" s="16">
        <f>京东POP财经口径!L36+京东自营财经口径!L36</f>
        <v>0</v>
      </c>
      <c r="M36" s="16">
        <f>京东POP财经口径!M36+京东自营财经口径!M36</f>
        <v>0</v>
      </c>
      <c r="N36" s="16">
        <f>京东POP财经口径!N36+京东自营财经口径!N36</f>
        <v>0</v>
      </c>
      <c r="O36" s="5"/>
      <c r="P36" s="29"/>
      <c r="Q36" s="6"/>
    </row>
    <row r="37" ht="16.8" spans="1:17">
      <c r="B37" s="17" t="s">
        <v>50</v>
      </c>
      <c r="C37" s="18">
        <f>京东POP财经口径!C37+京东自营财经口径!C37</f>
        <v>1333336.65292453</v>
      </c>
      <c r="D37" s="18">
        <f>京东POP财经口径!D37+京东自营财经口径!D37</f>
        <v>1899806.27300885</v>
      </c>
      <c r="E37" s="18">
        <f>京东POP财经口径!E37+京东自营财经口径!E37</f>
        <v>1229286.4119469</v>
      </c>
      <c r="F37" s="18">
        <f>京东POP财经口径!F37+京东自营财经口径!F37</f>
        <v>1117533.10176991</v>
      </c>
      <c r="G37" s="18">
        <f>京东POP财经口径!G37+京东自营财经口径!G37</f>
        <v>2413871.49982301</v>
      </c>
      <c r="H37" s="18">
        <f>京东POP财经口径!H37+京东自营财经口径!H37</f>
        <v>2480923.4859292</v>
      </c>
      <c r="I37" s="18">
        <f>京东POP财经口径!I37+京东自营财经口径!I37</f>
        <v>1385741.04619469</v>
      </c>
      <c r="J37" s="18">
        <f>京东POP财经口径!J37+京东自营财经口径!J37</f>
        <v>2578029.20964184</v>
      </c>
      <c r="K37" s="18">
        <f>京东POP财经口径!K37+京东自营财经口径!K37</f>
        <v>1341039.72212389</v>
      </c>
      <c r="L37" s="18">
        <f>京东POP财经口径!L37+京东自营财经口径!L37</f>
        <v>2413871.49982301</v>
      </c>
      <c r="M37" s="18">
        <f>京东POP财经口径!M37+京东自营财经口径!M37</f>
        <v>2480923.4859292</v>
      </c>
      <c r="N37" s="18">
        <f>京东POP财经口径!N37+京东自营财经口径!N37</f>
        <v>1676299.65265487</v>
      </c>
      <c r="O37" s="18">
        <f>SUM(C37:N37)</f>
        <v>22350662.0417699</v>
      </c>
      <c r="P37" s="23">
        <f>O37/$O$16</f>
        <v>0.215061142723333</v>
      </c>
      <c r="Q37" s="6"/>
    </row>
    <row r="38" ht="16.8" spans="1:17">
      <c r="A38" s="5"/>
      <c r="B38" s="4" t="s">
        <v>51</v>
      </c>
      <c r="C38" s="31">
        <f>京东POP财经口径!C38+京东自营财经口径!C38</f>
        <v>1093336.05539811</v>
      </c>
      <c r="D38" s="31">
        <f>京东POP财经口径!D38+京东自营财经口径!D38</f>
        <v>1557841.14386726</v>
      </c>
      <c r="E38" s="31">
        <f>京东POP财经口径!E38+京东自营财经口径!E38</f>
        <v>1008014.85779646</v>
      </c>
      <c r="F38" s="31">
        <f>京东POP财经口径!F38+京东自营财经口径!F38</f>
        <v>916377.143451328</v>
      </c>
      <c r="G38" s="31">
        <f>京东POP财经口径!G38+京东自营财经口径!G38</f>
        <v>1979374.62985487</v>
      </c>
      <c r="H38" s="31">
        <f>京东POP财经口径!H38+京东自营财经口径!H38</f>
        <v>2034357.25846195</v>
      </c>
      <c r="I38" s="31">
        <f>京东POP财经口径!I38+京东自营财经口径!I38</f>
        <v>1136307.65787965</v>
      </c>
      <c r="J38" s="31">
        <f>京东POP财经口径!J38+京东自营财经口径!J38</f>
        <v>2113983.95190631</v>
      </c>
      <c r="K38" s="31">
        <f>京东POP财经口径!K38+京东自营财经口径!K38</f>
        <v>1099652.57214159</v>
      </c>
      <c r="L38" s="31">
        <f>京东POP财经口径!L38+京东自营财经口径!L38</f>
        <v>1979374.62985487</v>
      </c>
      <c r="M38" s="31">
        <f>京东POP财经口径!M38+京东自营财经口径!M38</f>
        <v>2034357.25846195</v>
      </c>
      <c r="N38" s="31">
        <f>京东POP财经口径!N38+京东自营财经口径!N38</f>
        <v>1374565.71517699</v>
      </c>
      <c r="O38" s="5">
        <f>SUM(C38:N38)</f>
        <v>18327542.8742513</v>
      </c>
      <c r="P38" s="29">
        <f>O38/$O$16</f>
        <v>0.176350137033133</v>
      </c>
      <c r="Q38" s="6" t="s">
        <v>91</v>
      </c>
    </row>
    <row r="39" ht="16.8" spans="1:17">
      <c r="A39" s="5"/>
      <c r="B39" s="4" t="s">
        <v>53</v>
      </c>
      <c r="C39" s="31">
        <f>京东POP财经口径!C39+京东自营财经口径!C39</f>
        <v>0</v>
      </c>
      <c r="D39" s="31">
        <f>京东POP财经口径!D39+京东自营财经口径!D39</f>
        <v>0</v>
      </c>
      <c r="E39" s="31">
        <f>京东POP财经口径!E39+京东自营财经口径!E39</f>
        <v>0</v>
      </c>
      <c r="F39" s="31">
        <f>京东POP财经口径!F39+京东自营财经口径!F39</f>
        <v>0</v>
      </c>
      <c r="G39" s="31">
        <f>京东POP财经口径!G39+京东自营财经口径!G39</f>
        <v>0</v>
      </c>
      <c r="H39" s="31">
        <f>京东POP财经口径!H39+京东自营财经口径!H39</f>
        <v>0</v>
      </c>
      <c r="I39" s="31">
        <f>京东POP财经口径!I39+京东自营财经口径!I39</f>
        <v>0</v>
      </c>
      <c r="J39" s="31">
        <f>京东POP财经口径!J39+京东自营财经口径!J39</f>
        <v>0</v>
      </c>
      <c r="K39" s="31">
        <f>京东POP财经口径!K39+京东自营财经口径!K39</f>
        <v>0</v>
      </c>
      <c r="L39" s="31">
        <f>京东POP财经口径!L39+京东自营财经口径!L39</f>
        <v>0</v>
      </c>
      <c r="M39" s="31">
        <f>京东POP财经口径!M39+京东自营财经口径!M39</f>
        <v>0</v>
      </c>
      <c r="N39" s="31">
        <f>京东POP财经口径!N39+京东自营财经口径!N39</f>
        <v>0</v>
      </c>
      <c r="O39" s="5">
        <f>SUM(C39:N39)</f>
        <v>0</v>
      </c>
      <c r="P39" s="29">
        <f>O39/$O$16</f>
        <v>0</v>
      </c>
      <c r="Q39" s="6" t="s">
        <v>91</v>
      </c>
    </row>
    <row r="40" ht="16.8" collapsed="1" spans="1:17">
      <c r="A40" s="5"/>
      <c r="B40" s="4" t="s">
        <v>55</v>
      </c>
      <c r="C40" s="31">
        <f>京东POP财经口径!C40+京东自营财经口径!C40</f>
        <v>240000.597526415</v>
      </c>
      <c r="D40" s="31">
        <f>京东POP财经口径!D40+京东自营财经口径!D40</f>
        <v>341965.129141593</v>
      </c>
      <c r="E40" s="31">
        <f>京东POP财经口径!E40+京东自营财经口径!E40</f>
        <v>221271.554150443</v>
      </c>
      <c r="F40" s="31">
        <f>京东POP财经口径!F40+京东自营财经口径!F40</f>
        <v>201155.958318584</v>
      </c>
      <c r="G40" s="31">
        <f>京东POP财经口径!G40+京东自营财经口径!G40</f>
        <v>434496.869968142</v>
      </c>
      <c r="H40" s="31">
        <f>京东POP财经口径!H40+京东自营财经口径!H40</f>
        <v>446566.227467257</v>
      </c>
      <c r="I40" s="31">
        <f>京东POP财经口径!I40+京东自营财经口径!I40</f>
        <v>249433.388315044</v>
      </c>
      <c r="J40" s="31">
        <f>京东POP财经口径!J40+京东自营财经口径!J40</f>
        <v>464045.257735532</v>
      </c>
      <c r="K40" s="31">
        <f>京东POP财经口径!K40+京东自营财经口径!K40</f>
        <v>241387.149982301</v>
      </c>
      <c r="L40" s="31">
        <f>京东POP财经口径!L40+京东自营财经口径!L40</f>
        <v>434496.869968142</v>
      </c>
      <c r="M40" s="31">
        <f>京东POP财经口径!M40+京东自营财经口径!M40</f>
        <v>446566.227467257</v>
      </c>
      <c r="N40" s="31">
        <f>京东POP财经口径!N40+京东自营财经口径!N40</f>
        <v>301733.937477876</v>
      </c>
      <c r="O40" s="5">
        <f>SUM(C40:N40)</f>
        <v>4023119.16751858</v>
      </c>
      <c r="P40" s="29">
        <f>O40/$O$16</f>
        <v>0.0387110056901999</v>
      </c>
      <c r="Q40" s="6" t="s">
        <v>91</v>
      </c>
    </row>
    <row r="41" ht="16.8" hidden="1" outlineLevel="1" spans="1:17">
      <c r="A41" s="5"/>
      <c r="B41" s="4" t="s">
        <v>57</v>
      </c>
      <c r="C41" s="16">
        <f>京东POP财经口径!C41+京东自营财经口径!C41</f>
        <v>0</v>
      </c>
      <c r="D41" s="16">
        <f>京东POP财经口径!D41+京东自营财经口径!D41</f>
        <v>0</v>
      </c>
      <c r="E41" s="16">
        <f>京东POP财经口径!E41+京东自营财经口径!E41</f>
        <v>0</v>
      </c>
      <c r="F41" s="16">
        <f>京东POP财经口径!F41+京东自营财经口径!F41</f>
        <v>0</v>
      </c>
      <c r="G41" s="16">
        <f>京东POP财经口径!G41+京东自营财经口径!G41</f>
        <v>0</v>
      </c>
      <c r="H41" s="16">
        <f>京东POP财经口径!H41+京东自营财经口径!H41</f>
        <v>0</v>
      </c>
      <c r="I41" s="16">
        <f>京东POP财经口径!I41+京东自营财经口径!I41</f>
        <v>0</v>
      </c>
      <c r="J41" s="16">
        <f>京东POP财经口径!J41+京东自营财经口径!J41</f>
        <v>0</v>
      </c>
      <c r="K41" s="16">
        <f>京东POP财经口径!K41+京东自营财经口径!K41</f>
        <v>0</v>
      </c>
      <c r="L41" s="16">
        <f>京东POP财经口径!L41+京东自营财经口径!L41</f>
        <v>0</v>
      </c>
      <c r="M41" s="16">
        <f>京东POP财经口径!M41+京东自营财经口径!M41</f>
        <v>0</v>
      </c>
      <c r="N41" s="16">
        <f>京东POP财经口径!N41+京东自营财经口径!N41</f>
        <v>0</v>
      </c>
      <c r="O41" s="29">
        <f>O38/$O$16</f>
        <v>0.176350137033133</v>
      </c>
      <c r="Q41" s="6" t="s">
        <v>91</v>
      </c>
    </row>
    <row r="42" ht="16.8" hidden="1" outlineLevel="1" spans="1:17">
      <c r="A42" s="5"/>
      <c r="B42" s="4" t="s">
        <v>58</v>
      </c>
      <c r="C42" s="16">
        <f>京东POP财经口径!C42+京东自营财经口径!C42</f>
        <v>0</v>
      </c>
      <c r="D42" s="16">
        <f>京东POP财经口径!D42+京东自营财经口径!D42</f>
        <v>0</v>
      </c>
      <c r="E42" s="16">
        <f>京东POP财经口径!E42+京东自营财经口径!E42</f>
        <v>0</v>
      </c>
      <c r="F42" s="16">
        <f>京东POP财经口径!F42+京东自营财经口径!F42</f>
        <v>0</v>
      </c>
      <c r="G42" s="16">
        <f>京东POP财经口径!G42+京东自营财经口径!G42</f>
        <v>0</v>
      </c>
      <c r="H42" s="16">
        <f>京东POP财经口径!H42+京东自营财经口径!H42</f>
        <v>0</v>
      </c>
      <c r="I42" s="16">
        <f>京东POP财经口径!I42+京东自营财经口径!I42</f>
        <v>0</v>
      </c>
      <c r="J42" s="16">
        <f>京东POP财经口径!J42+京东自营财经口径!J42</f>
        <v>0</v>
      </c>
      <c r="K42" s="16">
        <f>京东POP财经口径!K42+京东自营财经口径!K42</f>
        <v>0</v>
      </c>
      <c r="L42" s="16">
        <f>京东POP财经口径!L42+京东自营财经口径!L42</f>
        <v>0</v>
      </c>
      <c r="M42" s="16">
        <f>京东POP财经口径!M42+京东自营财经口径!M42</f>
        <v>0</v>
      </c>
      <c r="N42" s="16">
        <f>京东POP财经口径!N42+京东自营财经口径!N42</f>
        <v>0</v>
      </c>
      <c r="O42" s="29">
        <f>O39/$O$16</f>
        <v>0</v>
      </c>
      <c r="Q42" s="6" t="s">
        <v>91</v>
      </c>
    </row>
    <row r="43" ht="16.8" hidden="1" outlineLevel="1" spans="1:17">
      <c r="A43" s="5"/>
      <c r="B43" s="4" t="s">
        <v>59</v>
      </c>
      <c r="C43" s="16">
        <f>京东POP财经口径!C43+京东自营财经口径!C43</f>
        <v>0</v>
      </c>
      <c r="D43" s="16">
        <f>京东POP财经口径!D43+京东自营财经口径!D43</f>
        <v>0</v>
      </c>
      <c r="E43" s="16">
        <f>京东POP财经口径!E43+京东自营财经口径!E43</f>
        <v>0</v>
      </c>
      <c r="F43" s="16">
        <f>京东POP财经口径!F43+京东自营财经口径!F43</f>
        <v>0</v>
      </c>
      <c r="G43" s="16">
        <f>京东POP财经口径!G43+京东自营财经口径!G43</f>
        <v>0</v>
      </c>
      <c r="H43" s="16">
        <f>京东POP财经口径!H43+京东自营财经口径!H43</f>
        <v>0</v>
      </c>
      <c r="I43" s="16">
        <f>京东POP财经口径!I43+京东自营财经口径!I43</f>
        <v>0</v>
      </c>
      <c r="J43" s="16">
        <f>京东POP财经口径!J43+京东自营财经口径!J43</f>
        <v>0</v>
      </c>
      <c r="K43" s="16">
        <f>京东POP财经口径!K43+京东自营财经口径!K43</f>
        <v>0</v>
      </c>
      <c r="L43" s="16">
        <f>京东POP财经口径!L43+京东自营财经口径!L43</f>
        <v>0</v>
      </c>
      <c r="M43" s="16">
        <f>京东POP财经口径!M43+京东自营财经口径!M43</f>
        <v>0</v>
      </c>
      <c r="N43" s="16">
        <f>京东POP财经口径!N43+京东自营财经口径!N43</f>
        <v>0</v>
      </c>
      <c r="O43" s="29">
        <f>O40/$O$16</f>
        <v>0.0387110056901999</v>
      </c>
      <c r="Q43" s="6" t="s">
        <v>91</v>
      </c>
    </row>
    <row r="44" ht="16.8" spans="1:17">
      <c r="B44" s="17" t="s">
        <v>60</v>
      </c>
      <c r="C44" s="18">
        <f>京东POP财经口径!C44+京东自营财经口径!C44</f>
        <v>143476.546181754</v>
      </c>
      <c r="D44" s="18">
        <f>京东POP财经口径!D44+京东自营财经口径!D44</f>
        <v>160066.520447129</v>
      </c>
      <c r="E44" s="18">
        <f>京东POP财经口径!E44+京东自营财经口径!E44</f>
        <v>126181.261076</v>
      </c>
      <c r="F44" s="18">
        <f>京东POP财经口径!F44+京东自营财经口径!F44</f>
        <v>112461.28196912</v>
      </c>
      <c r="G44" s="18">
        <f>京东POP财经口径!G44+京东自营财经口径!G44</f>
        <v>209306.802470246</v>
      </c>
      <c r="H44" s="18">
        <f>京东POP财经口径!H44+京东自营财经口径!H44</f>
        <v>192003.564156308</v>
      </c>
      <c r="I44" s="18">
        <f>京东POP财经口径!I44+京东自营财经口径!I44</f>
        <v>146362.621976349</v>
      </c>
      <c r="J44" s="18">
        <f>京东POP财经口径!J44+京东自营财经口径!J44</f>
        <v>188895.364621587</v>
      </c>
      <c r="K44" s="18">
        <f>京东POP财经口径!K44+京东自营财经口径!K44</f>
        <v>144486.191421843</v>
      </c>
      <c r="L44" s="18">
        <f>京东POP财经口径!L44+京东自营财经口径!L44</f>
        <v>212872.118105035</v>
      </c>
      <c r="M44" s="18">
        <f>京东POP财经口径!M44+京东自营财经口径!M44</f>
        <v>241227.302546863</v>
      </c>
      <c r="N44" s="18">
        <f>京东POP财经口径!N44+京东自营财经口径!N44</f>
        <v>201200.672581748</v>
      </c>
      <c r="O44" s="18">
        <f>SUM(C44:N44)</f>
        <v>2078540.24755398</v>
      </c>
      <c r="P44" s="23">
        <f>O44/$O$16</f>
        <v>0.02</v>
      </c>
      <c r="Q44" s="6"/>
    </row>
    <row r="45" ht="16.8" spans="1:17">
      <c r="A45" s="5"/>
      <c r="B45" s="4" t="s">
        <v>61</v>
      </c>
      <c r="C45" s="30">
        <f>京东POP财经口径!C45+京东自营财经口径!C45</f>
        <v>0</v>
      </c>
      <c r="D45" s="30">
        <f>京东POP财经口径!D45+京东自营财经口径!D45</f>
        <v>0</v>
      </c>
      <c r="E45" s="30">
        <f>京东POP财经口径!E45+京东自营财经口径!E45</f>
        <v>0</v>
      </c>
      <c r="F45" s="30">
        <f>京东POP财经口径!F45+京东自营财经口径!F45</f>
        <v>0</v>
      </c>
      <c r="G45" s="30">
        <f>京东POP财经口径!G45+京东自营财经口径!G45</f>
        <v>0</v>
      </c>
      <c r="H45" s="30">
        <f>京东POP财经口径!H45+京东自营财经口径!H45</f>
        <v>0</v>
      </c>
      <c r="I45" s="30">
        <f>京东POP财经口径!I45+京东自营财经口径!I45</f>
        <v>0</v>
      </c>
      <c r="J45" s="30">
        <f>京东POP财经口径!J45+京东自营财经口径!J45</f>
        <v>0</v>
      </c>
      <c r="K45" s="30">
        <f>京东POP财经口径!K45+京东自营财经口径!K45</f>
        <v>0</v>
      </c>
      <c r="L45" s="30">
        <f>京东POP财经口径!L45+京东自营财经口径!L45</f>
        <v>0</v>
      </c>
      <c r="M45" s="30">
        <f>京东POP财经口径!M45+京东自营财经口径!M45</f>
        <v>0</v>
      </c>
      <c r="N45" s="30">
        <f>京东POP财经口径!N45+京东自营财经口径!N45</f>
        <v>0</v>
      </c>
      <c r="O45" s="5"/>
      <c r="P45" s="29">
        <v>0.01</v>
      </c>
      <c r="Q45" s="6" t="s">
        <v>92</v>
      </c>
    </row>
    <row r="46" ht="16.8" spans="1:17">
      <c r="A46" s="5"/>
      <c r="B46" s="4" t="s">
        <v>63</v>
      </c>
      <c r="C46" s="30">
        <f>京东POP财经口径!C46+京东自营财经口径!C46</f>
        <v>143476.546181754</v>
      </c>
      <c r="D46" s="30">
        <f>京东POP财经口径!D46+京东自营财经口径!D46</f>
        <v>160066.520447129</v>
      </c>
      <c r="E46" s="30">
        <f>京东POP财经口径!E46+京东自营财经口径!E46</f>
        <v>126181.261076</v>
      </c>
      <c r="F46" s="30">
        <f>京东POP财经口径!F46+京东自营财经口径!F46</f>
        <v>112461.28196912</v>
      </c>
      <c r="G46" s="30">
        <f>京东POP财经口径!G46+京东自营财经口径!G46</f>
        <v>209306.802470246</v>
      </c>
      <c r="H46" s="30">
        <f>京东POP财经口径!H46+京东自营财经口径!H46</f>
        <v>192003.564156308</v>
      </c>
      <c r="I46" s="30">
        <f>京东POP财经口径!I46+京东自营财经口径!I46</f>
        <v>146362.621976349</v>
      </c>
      <c r="J46" s="30">
        <f>京东POP财经口径!J46+京东自营财经口径!J46</f>
        <v>188895.364621587</v>
      </c>
      <c r="K46" s="30">
        <f>京东POP财经口径!K46+京东自营财经口径!K46</f>
        <v>144486.191421843</v>
      </c>
      <c r="L46" s="30">
        <f>京东POP财经口径!L46+京东自营财经口径!L46</f>
        <v>212872.118105035</v>
      </c>
      <c r="M46" s="30">
        <f>京东POP财经口径!M46+京东自营财经口径!M46</f>
        <v>241227.302546863</v>
      </c>
      <c r="N46" s="30">
        <f>京东POP财经口径!N46+京东自营财经口径!N46</f>
        <v>201200.672581748</v>
      </c>
      <c r="O46" s="5">
        <f t="shared" ref="O46:O60" si="6">SUM(C46:N46)</f>
        <v>2078540.24755398</v>
      </c>
      <c r="P46" s="29">
        <v>0.02</v>
      </c>
      <c r="Q46" s="4" t="s">
        <v>83</v>
      </c>
    </row>
    <row r="47" ht="16.8" spans="1:17">
      <c r="B47" s="17" t="s">
        <v>65</v>
      </c>
      <c r="C47" s="18">
        <f>京东POP财经口径!C47+京东自营财经口径!C47</f>
        <v>0</v>
      </c>
      <c r="D47" s="18">
        <f>京东POP财经口径!D47+京东自营财经口径!D47</f>
        <v>0</v>
      </c>
      <c r="E47" s="18">
        <f>京东POP财经口径!E47+京东自营财经口径!E47</f>
        <v>0</v>
      </c>
      <c r="F47" s="18">
        <f>京东POP财经口径!F47+京东自营财经口径!F47</f>
        <v>0</v>
      </c>
      <c r="G47" s="18">
        <f>京东POP财经口径!G47+京东自营财经口径!G47</f>
        <v>0</v>
      </c>
      <c r="H47" s="18">
        <f>京东POP财经口径!H47+京东自营财经口径!H47</f>
        <v>0</v>
      </c>
      <c r="I47" s="18">
        <f>京东POP财经口径!I47+京东自营财经口径!I47</f>
        <v>0</v>
      </c>
      <c r="J47" s="18">
        <f>京东POP财经口径!J47+京东自营财经口径!J47</f>
        <v>0</v>
      </c>
      <c r="K47" s="18">
        <f>京东POP财经口径!K47+京东自营财经口径!K47</f>
        <v>0</v>
      </c>
      <c r="L47" s="18">
        <f>京东POP财经口径!L47+京东自营财经口径!L47</f>
        <v>0</v>
      </c>
      <c r="M47" s="18">
        <f>京东POP财经口径!M47+京东自营财经口径!M47</f>
        <v>0</v>
      </c>
      <c r="N47" s="18">
        <f>京东POP财经口径!N47+京东自营财经口径!N47</f>
        <v>0</v>
      </c>
      <c r="O47" s="18">
        <f t="shared" si="6"/>
        <v>0</v>
      </c>
      <c r="P47" s="23">
        <f t="shared" ref="P47:P52" si="7">O47/$O$16</f>
        <v>0</v>
      </c>
      <c r="Q47" s="6"/>
    </row>
    <row r="48" ht="16.8" spans="1:17">
      <c r="A48" s="5"/>
      <c r="B48" s="4" t="s">
        <v>66</v>
      </c>
      <c r="C48" s="30">
        <f>京东POP财经口径!C48+京东自营财经口径!C48</f>
        <v>0</v>
      </c>
      <c r="D48" s="30">
        <f>京东POP财经口径!D48+京东自营财经口径!D48</f>
        <v>0</v>
      </c>
      <c r="E48" s="30">
        <f>京东POP财经口径!E48+京东自营财经口径!E48</f>
        <v>0</v>
      </c>
      <c r="F48" s="30">
        <f>京东POP财经口径!F48+京东自营财经口径!F48</f>
        <v>0</v>
      </c>
      <c r="G48" s="30">
        <f>京东POP财经口径!G48+京东自营财经口径!G48</f>
        <v>0</v>
      </c>
      <c r="H48" s="30">
        <f>京东POP财经口径!H48+京东自营财经口径!H48</f>
        <v>0</v>
      </c>
      <c r="I48" s="30">
        <f>京东POP财经口径!I48+京东自营财经口径!I48</f>
        <v>0</v>
      </c>
      <c r="J48" s="30">
        <f>京东POP财经口径!J48+京东自营财经口径!J48</f>
        <v>0</v>
      </c>
      <c r="K48" s="30">
        <f>京东POP财经口径!K48+京东自营财经口径!K48</f>
        <v>0</v>
      </c>
      <c r="L48" s="30">
        <f>京东POP财经口径!L48+京东自营财经口径!L48</f>
        <v>0</v>
      </c>
      <c r="M48" s="30">
        <f>京东POP财经口径!M48+京东自营财经口径!M48</f>
        <v>0</v>
      </c>
      <c r="N48" s="30">
        <f>京东POP财经口径!N48+京东自营财经口径!N48</f>
        <v>0</v>
      </c>
      <c r="O48" s="5">
        <f t="shared" si="6"/>
        <v>0</v>
      </c>
      <c r="P48" s="29">
        <f t="shared" si="7"/>
        <v>0</v>
      </c>
      <c r="Q48" s="4" t="s">
        <v>95</v>
      </c>
    </row>
    <row r="49" ht="16.8" spans="1:18">
      <c r="A49" s="5"/>
      <c r="B49" s="4" t="s">
        <v>67</v>
      </c>
      <c r="C49" s="30">
        <f>京东POP财经口径!C49+京东自营财经口径!C49</f>
        <v>0</v>
      </c>
      <c r="D49" s="30">
        <f>京东POP财经口径!D49+京东自营财经口径!D49</f>
        <v>0</v>
      </c>
      <c r="E49" s="30">
        <f>京东POP财经口径!E49+京东自营财经口径!E49</f>
        <v>0</v>
      </c>
      <c r="F49" s="30">
        <f>京东POP财经口径!F49+京东自营财经口径!F49</f>
        <v>0</v>
      </c>
      <c r="G49" s="30">
        <f>京东POP财经口径!G49+京东自营财经口径!G49</f>
        <v>0</v>
      </c>
      <c r="H49" s="30">
        <f>京东POP财经口径!H49+京东自营财经口径!H49</f>
        <v>0</v>
      </c>
      <c r="I49" s="30">
        <f>京东POP财经口径!I49+京东自营财经口径!I49</f>
        <v>0</v>
      </c>
      <c r="J49" s="30">
        <f>京东POP财经口径!J49+京东自营财经口径!J49</f>
        <v>0</v>
      </c>
      <c r="K49" s="30">
        <f>京东POP财经口径!K49+京东自营财经口径!K49</f>
        <v>0</v>
      </c>
      <c r="L49" s="30">
        <f>京东POP财经口径!L49+京东自营财经口径!L49</f>
        <v>0</v>
      </c>
      <c r="M49" s="30">
        <f>京东POP财经口径!M49+京东自营财经口径!M49</f>
        <v>0</v>
      </c>
      <c r="N49" s="30">
        <f>京东POP财经口径!N49+京东自营财经口径!N49</f>
        <v>0</v>
      </c>
      <c r="O49" s="5">
        <f t="shared" si="6"/>
        <v>0</v>
      </c>
      <c r="P49" s="29">
        <f t="shared" si="7"/>
        <v>0</v>
      </c>
      <c r="Q49" s="4" t="s">
        <v>95</v>
      </c>
    </row>
    <row r="50" ht="16.8" spans="1:18">
      <c r="A50" s="5"/>
      <c r="B50" s="4" t="s">
        <v>68</v>
      </c>
      <c r="C50" s="30">
        <f>京东POP财经口径!C50+京东自营财经口径!C50</f>
        <v>0</v>
      </c>
      <c r="D50" s="30">
        <f>京东POP财经口径!D50+京东自营财经口径!D50</f>
        <v>0</v>
      </c>
      <c r="E50" s="30">
        <f>京东POP财经口径!E50+京东自营财经口径!E50</f>
        <v>0</v>
      </c>
      <c r="F50" s="30">
        <f>京东POP财经口径!F50+京东自营财经口径!F50</f>
        <v>0</v>
      </c>
      <c r="G50" s="30">
        <f>京东POP财经口径!G50+京东自营财经口径!G50</f>
        <v>0</v>
      </c>
      <c r="H50" s="30">
        <f>京东POP财经口径!H50+京东自营财经口径!H50</f>
        <v>0</v>
      </c>
      <c r="I50" s="30">
        <f>京东POP财经口径!I50+京东自营财经口径!I50</f>
        <v>0</v>
      </c>
      <c r="J50" s="30">
        <f>京东POP财经口径!J50+京东自营财经口径!J50</f>
        <v>0</v>
      </c>
      <c r="K50" s="30">
        <f>京东POP财经口径!K50+京东自营财经口径!K50</f>
        <v>0</v>
      </c>
      <c r="L50" s="30">
        <f>京东POP财经口径!L50+京东自营财经口径!L50</f>
        <v>0</v>
      </c>
      <c r="M50" s="30">
        <f>京东POP财经口径!M50+京东自营财经口径!M50</f>
        <v>0</v>
      </c>
      <c r="N50" s="30">
        <f>京东POP财经口径!N50+京东自营财经口径!N50</f>
        <v>0</v>
      </c>
      <c r="O50" s="5">
        <f t="shared" si="6"/>
        <v>0</v>
      </c>
      <c r="P50" s="29">
        <f t="shared" si="7"/>
        <v>0</v>
      </c>
      <c r="Q50" s="4" t="s">
        <v>95</v>
      </c>
    </row>
    <row r="51" ht="16.8" spans="1:18">
      <c r="B51" s="4" t="s">
        <v>69</v>
      </c>
      <c r="C51" s="30">
        <f>京东POP财经口径!C51+京东自营财经口径!C51</f>
        <v>0</v>
      </c>
      <c r="D51" s="30">
        <f>京东POP财经口径!D51+京东自营财经口径!D51</f>
        <v>0</v>
      </c>
      <c r="E51" s="30">
        <f>京东POP财经口径!E51+京东自营财经口径!E51</f>
        <v>0</v>
      </c>
      <c r="F51" s="30">
        <f>京东POP财经口径!F51+京东自营财经口径!F51</f>
        <v>0</v>
      </c>
      <c r="G51" s="30">
        <f>京东POP财经口径!G51+京东自营财经口径!G51</f>
        <v>0</v>
      </c>
      <c r="H51" s="30">
        <f>京东POP财经口径!H51+京东自营财经口径!H51</f>
        <v>0</v>
      </c>
      <c r="I51" s="30">
        <f>京东POP财经口径!I51+京东自营财经口径!I51</f>
        <v>0</v>
      </c>
      <c r="J51" s="30">
        <f>京东POP财经口径!J51+京东自营财经口径!J51</f>
        <v>0</v>
      </c>
      <c r="K51" s="30">
        <f>京东POP财经口径!K51+京东自营财经口径!K51</f>
        <v>0</v>
      </c>
      <c r="L51" s="30">
        <f>京东POP财经口径!L51+京东自营财经口径!L51</f>
        <v>0</v>
      </c>
      <c r="M51" s="30">
        <f>京东POP财经口径!M51+京东自营财经口径!M51</f>
        <v>0</v>
      </c>
      <c r="N51" s="30">
        <f>京东POP财经口径!N51+京东自营财经口径!N51</f>
        <v>0</v>
      </c>
      <c r="O51" s="5">
        <f t="shared" si="6"/>
        <v>0</v>
      </c>
      <c r="P51" s="29">
        <f t="shared" si="7"/>
        <v>0</v>
      </c>
      <c r="Q51" s="4" t="s">
        <v>95</v>
      </c>
    </row>
    <row r="52" ht="16.8" spans="1:18">
      <c r="B52" s="21" t="s">
        <v>70</v>
      </c>
      <c r="C52" s="22">
        <f>京东POP财经口径!C52+京东自营财经口径!C52</f>
        <v>1656106.40218192</v>
      </c>
      <c r="D52" s="22">
        <f>京东POP财经口径!D52+京东自营财经口径!D52</f>
        <v>2630240.64853495</v>
      </c>
      <c r="E52" s="22">
        <f>京东POP财经口径!E52+京东自营财经口径!E52</f>
        <v>2305324.08990202</v>
      </c>
      <c r="F52" s="22">
        <f>京东POP财经口径!F52+京东自营财经口径!F52</f>
        <v>1768152.74918709</v>
      </c>
      <c r="G52" s="22">
        <f>京东POP财经口径!G52+京东自营财经口径!G52</f>
        <v>4767791.78093188</v>
      </c>
      <c r="H52" s="22">
        <f>京东POP财经口径!H52+京东自营财经口径!H52</f>
        <v>3933922.63439111</v>
      </c>
      <c r="I52" s="22">
        <f>京东POP财经口径!I52+京东自营财经口径!I52</f>
        <v>1802641.09150825</v>
      </c>
      <c r="J52" s="22">
        <f>京东POP财经口径!J52+京东自营财经口径!J52</f>
        <v>3184924.63306317</v>
      </c>
      <c r="K52" s="22">
        <f>京东POP财经口径!K52+京东自营财经口径!K52</f>
        <v>1787115.78465552</v>
      </c>
      <c r="L52" s="22">
        <f>京东POP财经口径!L52+京东自营财经口径!L52</f>
        <v>3799316.95850947</v>
      </c>
      <c r="M52" s="22">
        <f>京东POP财经口径!M52+京东自营财经口径!M52</f>
        <v>3177520.01032354</v>
      </c>
      <c r="N52" s="22">
        <f>京东POP财经口径!N52+京东自营财经口径!N52</f>
        <v>2188953.6365951</v>
      </c>
      <c r="O52" s="22">
        <f t="shared" si="6"/>
        <v>33002010.419784</v>
      </c>
      <c r="P52" s="24">
        <f t="shared" si="7"/>
        <v>0.317549881063122</v>
      </c>
      <c r="Q52" s="6"/>
    </row>
    <row r="53" ht="16.8" spans="1:18">
      <c r="A53" s="5"/>
      <c r="B53" s="4" t="s">
        <v>71</v>
      </c>
      <c r="C53" s="30">
        <f>京东POP财经口径!C53+京东自营财经口径!C53</f>
        <v>23228.5486725664</v>
      </c>
      <c r="D53" s="30">
        <f>京东POP财经口径!D53+京东自营财经口径!D53</f>
        <v>25120.7522123894</v>
      </c>
      <c r="E53" s="30">
        <f>京东POP财经口径!E53+京东自营财经口径!E53</f>
        <v>19802.814159292</v>
      </c>
      <c r="F53" s="30">
        <f>京东POP财经口径!F53+京东自营财经口径!F53</f>
        <v>17649.610619469</v>
      </c>
      <c r="G53" s="30">
        <f>京东POP财经口径!G53+京东自营财经口径!G53</f>
        <v>32751.5840707965</v>
      </c>
      <c r="H53" s="30">
        <f>京东POP财经口径!H53+京东自营财经口径!H53</f>
        <v>30044.0442477876</v>
      </c>
      <c r="I53" s="30">
        <f>京东POP财经口径!I53+京东自营财经口径!I53</f>
        <v>22902.2920353982</v>
      </c>
      <c r="J53" s="30">
        <f>京东POP财经口径!J53+京东自营财经口径!J53</f>
        <v>29557.6725663717</v>
      </c>
      <c r="K53" s="30">
        <f>京东POP财经口径!K53+京东自营财经口径!K53</f>
        <v>22608.6902654867</v>
      </c>
      <c r="L53" s="30">
        <f>京东POP财经口径!L53+京东自营财经口径!L53</f>
        <v>33309.4778761062</v>
      </c>
      <c r="M53" s="30">
        <f>京东POP财经口径!M53+京东自营财经口径!M53</f>
        <v>37746.3982300885</v>
      </c>
      <c r="N53" s="30">
        <f>京东POP财经口径!N53+京东自营财经口径!N53</f>
        <v>31483.1681415929</v>
      </c>
      <c r="O53" s="5">
        <f t="shared" si="6"/>
        <v>326205.053097345</v>
      </c>
      <c r="P53" s="29">
        <v>0.03</v>
      </c>
      <c r="Q53" s="6"/>
    </row>
    <row r="54" ht="16.8" spans="1:18">
      <c r="A54" s="5"/>
      <c r="B54" s="4" t="s">
        <v>73</v>
      </c>
      <c r="C54" s="30">
        <f>京东POP财经口径!C54+京东自营财经口径!C54</f>
        <v>100433.582327228</v>
      </c>
      <c r="D54" s="30">
        <f>京东POP财经口径!D54+京东自营财经口径!D54</f>
        <v>112046.56431299</v>
      </c>
      <c r="E54" s="30">
        <f>京东POP财经口径!E54+京东自营财经口径!E54</f>
        <v>88326.8827531998</v>
      </c>
      <c r="F54" s="30">
        <f>京东POP财经口径!F54+京东自营财经口径!F54</f>
        <v>78722.8973783841</v>
      </c>
      <c r="G54" s="30">
        <f>京东POP财经口径!G54+京东自营财经口径!G54</f>
        <v>146514.761729172</v>
      </c>
      <c r="H54" s="30">
        <f>京东POP财经口径!H54+京东自营财经口径!H54</f>
        <v>134402.494909416</v>
      </c>
      <c r="I54" s="30">
        <f>京东POP财经口径!I54+京东自营财经口径!I54</f>
        <v>102453.835383444</v>
      </c>
      <c r="J54" s="30">
        <f>京东POP财经口径!J54+京东自营财经口径!J54</f>
        <v>132226.755235111</v>
      </c>
      <c r="K54" s="30">
        <f>京东POP财经口径!K54+京东自营财经口径!K54</f>
        <v>101140.33399529</v>
      </c>
      <c r="L54" s="30">
        <f>京东POP财经口径!L54+京东自营财经口径!L54</f>
        <v>149010.482673524</v>
      </c>
      <c r="M54" s="30">
        <f>京东POP财经口径!M54+京东自营财经口径!M54</f>
        <v>168859.111782804</v>
      </c>
      <c r="N54" s="30">
        <f>京东POP财经口径!N54+京东自营财经口径!N54</f>
        <v>140840.470807224</v>
      </c>
      <c r="O54" s="5">
        <f t="shared" si="6"/>
        <v>1454978.17328779</v>
      </c>
      <c r="P54" s="29">
        <v>0.014</v>
      </c>
      <c r="Q54" s="6"/>
    </row>
    <row r="55" ht="16.8" spans="1:18">
      <c r="A55" s="5"/>
      <c r="B55" s="4" t="s">
        <v>75</v>
      </c>
      <c r="C55" s="30">
        <f>京东POP财经口径!C55+京东自营财经口径!C55</f>
        <v>550746.245813614</v>
      </c>
      <c r="D55" s="30">
        <f>京东POP财经口径!D55+京东自营财经口径!D55</f>
        <v>360139.182838294</v>
      </c>
      <c r="E55" s="30">
        <f>京东POP财经口径!E55+京东自营财经口径!E55</f>
        <v>280905.7581123</v>
      </c>
      <c r="F55" s="30">
        <f>京东POP财经口径!F55+京东自营财经口径!F55</f>
        <v>432298.017778511</v>
      </c>
      <c r="G55" s="30">
        <f>京东POP财经口径!G55+京东自营财经口径!G55</f>
        <v>371256.320889827</v>
      </c>
      <c r="H55" s="30">
        <f>京东POP财经口径!H55+京东自营财经口径!H55</f>
        <v>260090.674485509</v>
      </c>
      <c r="I55" s="30">
        <f>京东POP财经口径!I55+京东自营财经口径!I55</f>
        <v>362378.353189752</v>
      </c>
      <c r="J55" s="30">
        <f>京东POP财经口径!J55+京东自营财经口径!J55</f>
        <v>280355.022813426</v>
      </c>
      <c r="K55" s="30">
        <f>京东POP财经口径!K55+京东自营财经口径!K55</f>
        <v>386311.490001793</v>
      </c>
      <c r="L55" s="30">
        <f>京东POP财经口径!L55+京东自营财经口径!L55</f>
        <v>304925.949155209</v>
      </c>
      <c r="M55" s="30">
        <f>京东POP财经口径!M55+京东自营财经口径!M55</f>
        <v>267079.513247468</v>
      </c>
      <c r="N55" s="30">
        <f>京东POP财经口径!N55+京东自营财经口径!N55</f>
        <v>260583.286750002</v>
      </c>
      <c r="O55" s="5">
        <f t="shared" si="6"/>
        <v>4117069.81507571</v>
      </c>
      <c r="P55" s="29">
        <v>0.03</v>
      </c>
      <c r="Q55" s="6"/>
    </row>
    <row r="56" ht="16.8" spans="1:18">
      <c r="A56" s="5"/>
      <c r="B56" s="4" t="s">
        <v>77</v>
      </c>
      <c r="C56" s="30">
        <f>京东POP财经口径!C56+京东自营财经口径!C56</f>
        <v>7173.82730908769</v>
      </c>
      <c r="D56" s="30">
        <f>京东POP财经口径!D56+京东自营财经口径!D56</f>
        <v>8003.32602235642</v>
      </c>
      <c r="E56" s="30">
        <f>京东POP财经口径!E56+京东自营财经口径!E56</f>
        <v>6309.06305379999</v>
      </c>
      <c r="F56" s="30">
        <f>京东POP财经口径!F56+京东自营财经口径!F56</f>
        <v>5623.06409845601</v>
      </c>
      <c r="G56" s="30">
        <f>京东POP财经口径!G56+京东自营财经口径!G56</f>
        <v>10465.3401235123</v>
      </c>
      <c r="H56" s="30">
        <f>京东POP财经口径!H56+京东自营财经口径!H56</f>
        <v>9600.17820781541</v>
      </c>
      <c r="I56" s="30">
        <f>京东POP财经口径!I56+京东自营财经口径!I56</f>
        <v>7318.13109881745</v>
      </c>
      <c r="J56" s="30">
        <f>京东POP财经口径!J56+京东自营财经口径!J56</f>
        <v>9444.76823107935</v>
      </c>
      <c r="K56" s="30">
        <f>京东POP财经口径!K56+京东自营财经口径!K56</f>
        <v>7224.30957109215</v>
      </c>
      <c r="L56" s="30">
        <f>京东POP财经口径!L56+京东自营财经口径!L56</f>
        <v>10643.6059052517</v>
      </c>
      <c r="M56" s="30">
        <f>京东POP财经口径!M56+京东自营财经口径!M56</f>
        <v>12061.3651273432</v>
      </c>
      <c r="N56" s="30">
        <f>京东POP财经口径!N56+京东自营财经口径!N56</f>
        <v>10060.0336290874</v>
      </c>
      <c r="O56" s="5">
        <f t="shared" si="6"/>
        <v>103927.012377699</v>
      </c>
      <c r="P56" s="29">
        <v>0.001</v>
      </c>
      <c r="Q56" s="6"/>
    </row>
    <row r="57" ht="16.8" spans="1:18">
      <c r="A57" s="5"/>
      <c r="B57" s="4" t="s">
        <v>79</v>
      </c>
      <c r="C57" s="30">
        <f>京东POP财经口径!C57+京东自营财经口径!C57</f>
        <v>65164.271451301</v>
      </c>
      <c r="D57" s="30">
        <f>京东POP财经口径!N57+京东自营财经口径!N57</f>
        <v>78197.1257415612</v>
      </c>
      <c r="E57" s="30">
        <f>京东POP财经口径!E57+京东自营财经口径!E57</f>
        <v>0</v>
      </c>
      <c r="F57" s="30">
        <f>京东POP财经口径!F57+京东自营财经口径!F57</f>
        <v>0</v>
      </c>
      <c r="G57" s="30">
        <f>京东POP财经口径!G57+京东自营财经口径!G57</f>
        <v>26065.7085805204</v>
      </c>
      <c r="H57" s="30">
        <f>京东POP财经口径!H57+京东自营财经口径!H57</f>
        <v>0</v>
      </c>
      <c r="I57" s="30">
        <f>京东POP财经口径!I57+京东自营财经口径!I57</f>
        <v>0</v>
      </c>
      <c r="J57" s="30">
        <f>京东POP财经口径!J57+京东自营财经口径!J57</f>
        <v>0</v>
      </c>
      <c r="K57" s="30">
        <f>京东POP财经口径!K57+京东自营财经口径!K57</f>
        <v>0</v>
      </c>
      <c r="L57" s="30">
        <f>京东POP财经口径!L57+京东自营财经口径!L57</f>
        <v>26065.7085805204</v>
      </c>
      <c r="M57" s="30">
        <f>京东POP财经口径!M57+京东自营财经口径!M57</f>
        <v>0</v>
      </c>
      <c r="N57" s="30" t="e">
        <f>京东POP财经口径!N57+#REF!</f>
        <v>#REF!</v>
      </c>
      <c r="O57" s="5" t="e">
        <f t="shared" si="6"/>
        <v>#REF!</v>
      </c>
      <c r="P57" s="29" t="e">
        <f>O57/$O$16</f>
        <v>#REF!</v>
      </c>
      <c r="Q57" s="4"/>
    </row>
    <row r="58" ht="16.8" spans="1:18">
      <c r="B58" s="21" t="s">
        <v>80</v>
      </c>
      <c r="C58" s="22">
        <f>京东POP财经口径!C58+京东自营财经口径!C58</f>
        <v>746746.475573797</v>
      </c>
      <c r="D58" s="22">
        <f>京东POP财经口径!D58+京东自营财经口径!D58</f>
        <v>505309.82538603</v>
      </c>
      <c r="E58" s="22">
        <f>京东POP财经口径!E58+京东自营财经口径!E58</f>
        <v>395344.518078592</v>
      </c>
      <c r="F58" s="22">
        <f>京东POP财经口径!F58+京东自营财经口径!F58</f>
        <v>534293.58987482</v>
      </c>
      <c r="G58" s="22">
        <f>京东POP财经口径!G58+京东自营财经口径!G58</f>
        <v>587053.715393829</v>
      </c>
      <c r="H58" s="22">
        <f>京东POP财经口径!H58+京东自营财经口径!H58</f>
        <v>434137.391850528</v>
      </c>
      <c r="I58" s="22">
        <f>京东POP财经口径!I58+京东自营财经口径!I58</f>
        <v>495052.611707412</v>
      </c>
      <c r="J58" s="22">
        <f>京东POP财经口径!J58+京东自营财经口径!J58</f>
        <v>451584.218845988</v>
      </c>
      <c r="K58" s="22">
        <f>京东POP财经口径!K58+京东自营财经口径!K58</f>
        <v>517284.823833662</v>
      </c>
      <c r="L58" s="22">
        <f>京东POP财经口径!L58+京东自营财经口径!L58</f>
        <v>523955.224190612</v>
      </c>
      <c r="M58" s="22">
        <f>京东POP财经口径!M58+京东自营财经口径!M58</f>
        <v>485746.388387704</v>
      </c>
      <c r="N58" s="22">
        <f>京东POP财经口径!N58+京东自营财经口径!N58</f>
        <v>521164.085069467</v>
      </c>
      <c r="O58" s="22">
        <f t="shared" si="6"/>
        <v>6197672.86819244</v>
      </c>
      <c r="P58" s="24">
        <f>O58/$O$16</f>
        <v>0.0596348603351399</v>
      </c>
      <c r="Q58" s="6"/>
    </row>
    <row r="59" ht="16.8" spans="1:18">
      <c r="A59" s="7"/>
      <c r="B59" s="12" t="s">
        <v>81</v>
      </c>
      <c r="C59" s="13">
        <f>京东POP财经口径!C59+京东自营财经口径!C59</f>
        <v>2402852.87775572</v>
      </c>
      <c r="D59" s="13">
        <f>京东POP财经口径!D59+京东自营财经口径!D59</f>
        <v>3135550.47392098</v>
      </c>
      <c r="E59" s="13">
        <f>京东POP财经口径!E59+京东自营财经口径!E59</f>
        <v>2700668.60798061</v>
      </c>
      <c r="F59" s="13">
        <f>京东POP财经口径!F59+京东自营财经口径!F59</f>
        <v>2302446.33906191</v>
      </c>
      <c r="G59" s="13">
        <f>京东POP财经口径!G59+京东自营财经口径!G59</f>
        <v>5354845.4963257</v>
      </c>
      <c r="H59" s="13">
        <f>京东POP财经口径!H59+京东自营财经口径!H59</f>
        <v>4368060.02624164</v>
      </c>
      <c r="I59" s="13">
        <f>京东POP财经口径!I59+京东自营财经口径!I59</f>
        <v>2297693.70321566</v>
      </c>
      <c r="J59" s="13">
        <f>京东POP财经口径!J59+京东自营财经口径!J59</f>
        <v>3636508.85190916</v>
      </c>
      <c r="K59" s="13">
        <f>京东POP财经口径!K59+京东自营财经口径!K59</f>
        <v>2304400.60848918</v>
      </c>
      <c r="L59" s="13">
        <f>京东POP财经口径!L59+京东自营财经口径!L59</f>
        <v>4323272.18270008</v>
      </c>
      <c r="M59" s="13">
        <f>京东POP财经口径!M59+京东自营财经口径!M59</f>
        <v>3663266.39871124</v>
      </c>
      <c r="N59" s="13">
        <f>京东POP财经口径!N59+京东自营财经口径!N59</f>
        <v>2710117.72166456</v>
      </c>
      <c r="O59" s="13">
        <f t="shared" si="6"/>
        <v>39199683.2879764</v>
      </c>
      <c r="P59" s="27">
        <f>O59/$O$16</f>
        <v>0.377184741398262</v>
      </c>
      <c r="Q59" s="32"/>
      <c r="R59" s="33"/>
    </row>
    <row r="60" ht="16.8" spans="1:18">
      <c r="A60" s="7"/>
      <c r="B60" s="12" t="s">
        <v>82</v>
      </c>
      <c r="C60" s="13">
        <f>京东POP财经口径!C60+京东自营财经口径!C60</f>
        <v>1080171.39003432</v>
      </c>
      <c r="D60" s="13">
        <f>京东POP财经口径!D60+京东自营财经口径!D60</f>
        <v>766854.519820559</v>
      </c>
      <c r="E60" s="13">
        <f>京东POP财经口径!E60+京东自营财经口径!E60</f>
        <v>206352.184507216</v>
      </c>
      <c r="F60" s="13">
        <f>京东POP财经口径!F60+京东自营财经口径!F60</f>
        <v>280666.450906125</v>
      </c>
      <c r="G60" s="13">
        <f>京东POP财经口径!G60+京东自营财经口径!G60</f>
        <v>41866.8256024075</v>
      </c>
      <c r="H60" s="13">
        <f>京东POP财经口径!H60+京东自营财经口径!H60</f>
        <v>512651.68566762</v>
      </c>
      <c r="I60" s="13">
        <f>京东POP财经口径!I60+京东自营财经口径!I60</f>
        <v>1683185.70529968</v>
      </c>
      <c r="J60" s="13">
        <f>京东POP财经口径!J60+京东自营财经口径!J60</f>
        <v>1512350.48663654</v>
      </c>
      <c r="K60" s="13">
        <f>京东POP财经口径!K60+京东自营财经口径!K60</f>
        <v>1687650.73486577</v>
      </c>
      <c r="L60" s="13">
        <f>京东POP财经口径!L60+京东自营财经口径!L60</f>
        <v>1630765.23309349</v>
      </c>
      <c r="M60" s="13">
        <f>京东POP财经口径!M60+京东自营财经口径!M60</f>
        <v>3199322.81853235</v>
      </c>
      <c r="N60" s="13">
        <f>京东POP财经口径!N60+京东自营财经口径!N60</f>
        <v>3054199.5087923</v>
      </c>
      <c r="O60" s="13">
        <f t="shared" si="6"/>
        <v>15656037.5437584</v>
      </c>
      <c r="P60" s="27">
        <f>O60/$O$16</f>
        <v>0.150644545489868</v>
      </c>
      <c r="Q60" s="32"/>
      <c r="R60" s="34"/>
    </row>
    <row r="61" spans="1:18">
      <c r="O61" s="67">
        <f>O60-京东POP财经口径!O60-京东自营财经口径!O60</f>
        <v>0</v>
      </c>
      <c r="Q61" s="6"/>
    </row>
    <row r="62" spans="1:18"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Q62" s="6"/>
    </row>
    <row r="63" spans="1:18">
      <c r="Q63" s="6"/>
    </row>
    <row r="64" spans="1:18">
      <c r="Q64" s="6"/>
    </row>
    <row r="65" spans="17:17">
      <c r="Q65" s="6"/>
    </row>
    <row r="66" spans="17:17">
      <c r="Q66" s="6"/>
    </row>
    <row r="67" spans="17:17">
      <c r="Q67" s="6"/>
    </row>
    <row r="68" spans="17:17">
      <c r="Q68" s="6"/>
    </row>
    <row r="69" spans="17:17">
      <c r="Q69" s="6"/>
    </row>
    <row r="70" spans="17:17">
      <c r="Q70" s="6"/>
    </row>
    <row r="71" spans="17:17">
      <c r="Q71" s="6"/>
    </row>
    <row r="72" spans="17:17">
      <c r="Q72" s="6"/>
    </row>
    <row r="73" spans="17:17">
      <c r="Q73" s="6"/>
    </row>
    <row r="74" spans="17:17">
      <c r="Q74" s="6"/>
    </row>
    <row r="75" spans="17:17">
      <c r="Q75" s="6"/>
    </row>
    <row r="76" spans="17:17">
      <c r="Q76" s="6"/>
    </row>
    <row r="77" spans="17:17">
      <c r="Q77" s="6"/>
    </row>
    <row r="78" spans="17:17">
      <c r="Q78" s="6"/>
    </row>
    <row r="79" spans="17:17">
      <c r="Q79" s="6"/>
    </row>
    <row r="80" spans="17:17">
      <c r="Q80" s="6"/>
    </row>
    <row r="81" spans="3:17">
      <c r="Q81" s="6"/>
    </row>
    <row r="82" spans="3:17">
      <c r="C82" s="35">
        <f t="shared" ref="C82:O82" si="8">C16-C18-C20-C26-C37-C44-C47-C58-C60</f>
        <v>0</v>
      </c>
      <c r="D82" s="35">
        <f t="shared" si="8"/>
        <v>0</v>
      </c>
      <c r="E82" s="35">
        <f t="shared" si="8"/>
        <v>0</v>
      </c>
      <c r="F82" s="35">
        <f t="shared" si="8"/>
        <v>0</v>
      </c>
      <c r="G82" s="35">
        <f t="shared" si="8"/>
        <v>-1.33877620100975e-9</v>
      </c>
      <c r="H82" s="35">
        <f t="shared" si="8"/>
        <v>5.23868948221207e-10</v>
      </c>
      <c r="I82" s="35">
        <f t="shared" si="8"/>
        <v>0</v>
      </c>
      <c r="J82" s="35">
        <f t="shared" si="8"/>
        <v>0</v>
      </c>
      <c r="K82" s="35">
        <f t="shared" si="8"/>
        <v>0</v>
      </c>
      <c r="L82" s="35">
        <f t="shared" si="8"/>
        <v>0</v>
      </c>
      <c r="M82" s="35">
        <f t="shared" si="8"/>
        <v>0</v>
      </c>
      <c r="N82" s="35">
        <f t="shared" si="8"/>
        <v>0</v>
      </c>
      <c r="O82" s="35">
        <f t="shared" si="8"/>
        <v>0</v>
      </c>
      <c r="Q82" s="6"/>
    </row>
    <row r="83" spans="3:17">
      <c r="Q83" s="6"/>
    </row>
    <row r="84" spans="3:17">
      <c r="Q84" s="6"/>
    </row>
    <row r="85" spans="3:17">
      <c r="Q85" s="6"/>
    </row>
    <row r="86" spans="3:17">
      <c r="Q86" s="6"/>
    </row>
    <row r="87" spans="3:17">
      <c r="Q87" s="6"/>
    </row>
    <row r="88" spans="3:17">
      <c r="Q88" s="6"/>
    </row>
    <row r="89" spans="3:17">
      <c r="Q89" s="6"/>
    </row>
    <row r="90" spans="3:17">
      <c r="Q90" s="6"/>
    </row>
    <row r="91" spans="3:17">
      <c r="Q91" s="6"/>
    </row>
    <row r="92" spans="3:17">
      <c r="Q92" s="6"/>
    </row>
    <row r="93" spans="3:17">
      <c r="Q93" s="6"/>
    </row>
    <row r="94" spans="3:17">
      <c r="Q94" s="6"/>
    </row>
    <row r="95" spans="3:17">
      <c r="Q95" s="6"/>
    </row>
    <row r="96" spans="3:17">
      <c r="Q96" s="6"/>
    </row>
    <row r="97" spans="17:17">
      <c r="Q97" s="6"/>
    </row>
    <row r="98" spans="17:17">
      <c r="Q98" s="6"/>
    </row>
    <row r="99" spans="17:17">
      <c r="Q99" s="6"/>
    </row>
    <row r="100" spans="17:17">
      <c r="Q100" s="6"/>
    </row>
    <row r="101" spans="17:17">
      <c r="Q101" s="6"/>
    </row>
    <row r="102" spans="17:17">
      <c r="Q102" s="6"/>
    </row>
    <row r="103" spans="17:17">
      <c r="Q103" s="6"/>
    </row>
    <row r="104" spans="17:17">
      <c r="Q104" s="6"/>
    </row>
    <row r="105" spans="17:17">
      <c r="Q105" s="6"/>
    </row>
    <row r="106" spans="17:17">
      <c r="Q106" s="6"/>
    </row>
    <row r="107" spans="17:17">
      <c r="Q107" s="6"/>
    </row>
    <row r="108" spans="17:17">
      <c r="Q108" s="6"/>
    </row>
    <row r="109" spans="17:17">
      <c r="Q109" s="6"/>
    </row>
    <row r="110" spans="17:17">
      <c r="Q110" s="6"/>
    </row>
    <row r="111" spans="17:17">
      <c r="Q111" s="6"/>
    </row>
    <row r="112" spans="17:17">
      <c r="Q112" s="6"/>
    </row>
    <row r="113" spans="17:17">
      <c r="Q113" s="6"/>
    </row>
    <row r="114" spans="17:17">
      <c r="Q114" s="6"/>
    </row>
    <row r="115" spans="17:17">
      <c r="Q115" s="6"/>
    </row>
    <row r="116" spans="17:17">
      <c r="Q116" s="6"/>
    </row>
    <row r="117" spans="17:17">
      <c r="Q117" s="6"/>
    </row>
    <row r="118" spans="17:17">
      <c r="Q118" s="6"/>
    </row>
    <row r="119" spans="17:17">
      <c r="Q119" s="6"/>
    </row>
    <row r="120" spans="17:17">
      <c r="Q120" s="6"/>
    </row>
    <row r="121" spans="17:17">
      <c r="Q121" s="6"/>
    </row>
    <row r="122" spans="17:17">
      <c r="Q122" s="6"/>
    </row>
    <row r="123" spans="17:17">
      <c r="Q123" s="6"/>
    </row>
    <row r="124" spans="17:17">
      <c r="Q124" s="6"/>
    </row>
    <row r="125" spans="17:17">
      <c r="Q125" s="6"/>
    </row>
    <row r="126" spans="17:17">
      <c r="Q126" s="6"/>
    </row>
    <row r="127" spans="17:17">
      <c r="Q127" s="6"/>
    </row>
    <row r="128" spans="17:17">
      <c r="Q128" s="6"/>
    </row>
    <row r="129" spans="17:17">
      <c r="Q129" s="6"/>
    </row>
    <row r="130" spans="17:17">
      <c r="Q130" s="6"/>
    </row>
    <row r="131" spans="17:17">
      <c r="Q131" s="6"/>
    </row>
    <row r="132" spans="17:17">
      <c r="Q132" s="6"/>
    </row>
    <row r="133" spans="17:17">
      <c r="Q133" s="6"/>
    </row>
    <row r="134" spans="17:17">
      <c r="Q134" s="6"/>
    </row>
    <row r="135" spans="17:17">
      <c r="Q135" s="6"/>
    </row>
    <row r="136" spans="17:17">
      <c r="Q136" s="6"/>
    </row>
    <row r="137" spans="17:17">
      <c r="Q137" s="6"/>
    </row>
    <row r="138" spans="17:17">
      <c r="Q138" s="6"/>
    </row>
    <row r="139" spans="17:17">
      <c r="Q139" s="6"/>
    </row>
    <row r="140" spans="17:17">
      <c r="Q140" s="6"/>
    </row>
    <row r="141" spans="17:17">
      <c r="Q141" s="6"/>
    </row>
    <row r="142" spans="17:17">
      <c r="Q142" s="6"/>
    </row>
    <row r="143" spans="17:17">
      <c r="Q143" s="6"/>
    </row>
    <row r="144" spans="17:17">
      <c r="Q144" s="6"/>
    </row>
    <row r="145" spans="17:17">
      <c r="Q145" s="6"/>
    </row>
    <row r="146" spans="17:17">
      <c r="Q146" s="6"/>
    </row>
    <row r="147" spans="17:17">
      <c r="Q147" s="6"/>
    </row>
    <row r="148" spans="17:17">
      <c r="Q148" s="6"/>
    </row>
    <row r="149" spans="17:17">
      <c r="Q149" s="6"/>
    </row>
    <row r="150" spans="17:17">
      <c r="Q150" s="6"/>
    </row>
    <row r="151" spans="17:17">
      <c r="Q151" s="6"/>
    </row>
    <row r="152" spans="17:17">
      <c r="Q152" s="6"/>
    </row>
    <row r="153" spans="17:17">
      <c r="Q153" s="6"/>
    </row>
    <row r="154" spans="17:17">
      <c r="Q154" s="6"/>
    </row>
    <row r="155" spans="17:17">
      <c r="Q155" s="6"/>
    </row>
    <row r="156" spans="17:17">
      <c r="Q156" s="6"/>
    </row>
    <row r="157" spans="17:17">
      <c r="Q157" s="6"/>
    </row>
    <row r="158" spans="17:17">
      <c r="Q158" s="6"/>
    </row>
    <row r="159" spans="17:17">
      <c r="Q159" s="6"/>
    </row>
    <row r="160" spans="17:17">
      <c r="Q160" s="6"/>
    </row>
    <row r="161" spans="17:17">
      <c r="Q161" s="6"/>
    </row>
    <row r="162" spans="17:17">
      <c r="Q162" s="6"/>
    </row>
    <row r="163" spans="17:17">
      <c r="Q163" s="6"/>
    </row>
    <row r="164" spans="17:17">
      <c r="Q164" s="6"/>
    </row>
    <row r="165" spans="17:17">
      <c r="Q165" s="6"/>
    </row>
    <row r="166" spans="17:17">
      <c r="Q166" s="6"/>
    </row>
    <row r="167" spans="17:17">
      <c r="Q167" s="6"/>
    </row>
    <row r="168" spans="17:17">
      <c r="Q168" s="6"/>
    </row>
    <row r="169" spans="17:17">
      <c r="Q169" s="6"/>
    </row>
    <row r="170" spans="17:17">
      <c r="Q170" s="6"/>
    </row>
    <row r="171" spans="17:17">
      <c r="Q171" s="6"/>
    </row>
    <row r="172" spans="17:17">
      <c r="Q172" s="6"/>
    </row>
    <row r="173" spans="17:17">
      <c r="Q173" s="6"/>
    </row>
    <row r="174" spans="17:17">
      <c r="Q174" s="6"/>
    </row>
    <row r="175" spans="17:17">
      <c r="Q175" s="6"/>
    </row>
    <row r="176" spans="17:17">
      <c r="Q176" s="6"/>
    </row>
    <row r="177" spans="17:17">
      <c r="Q177" s="6"/>
    </row>
    <row r="178" spans="17:17">
      <c r="Q178" s="6"/>
    </row>
    <row r="179" spans="17:17">
      <c r="Q179" s="6"/>
    </row>
    <row r="180" spans="17:17">
      <c r="Q180" s="6"/>
    </row>
    <row r="181" spans="17:17">
      <c r="Q181" s="6"/>
    </row>
    <row r="182" spans="17:17">
      <c r="Q182" s="6"/>
    </row>
    <row r="183" spans="17:17">
      <c r="Q183" s="6"/>
    </row>
    <row r="184" spans="17:17">
      <c r="Q184" s="6"/>
    </row>
    <row r="185" spans="17:17">
      <c r="Q185" s="6"/>
    </row>
    <row r="186" spans="17:17">
      <c r="Q186" s="6"/>
    </row>
    <row r="187" spans="17:17">
      <c r="Q187" s="6"/>
    </row>
    <row r="188" spans="17:17">
      <c r="Q188" s="6"/>
    </row>
    <row r="189" spans="17:17">
      <c r="Q189" s="6"/>
    </row>
    <row r="190" spans="17:17">
      <c r="Q190" s="6"/>
    </row>
    <row r="191" spans="17:17">
      <c r="Q191" s="6"/>
    </row>
    <row r="192" spans="17:17">
      <c r="Q192" s="6"/>
    </row>
    <row r="193" spans="17:17">
      <c r="Q193" s="6"/>
    </row>
    <row r="194" spans="17:17">
      <c r="Q194" s="6"/>
    </row>
    <row r="195" spans="17:17">
      <c r="Q195" s="6"/>
    </row>
    <row r="196" spans="17:17">
      <c r="Q196" s="6"/>
    </row>
    <row r="197" spans="17:17">
      <c r="Q197" s="6"/>
    </row>
    <row r="198" spans="17:17">
      <c r="Q198" s="6"/>
    </row>
    <row r="199" spans="17:17">
      <c r="Q199" s="6"/>
    </row>
    <row r="200" spans="17:17">
      <c r="Q200" s="6"/>
    </row>
    <row r="201" spans="17:17">
      <c r="Q201" s="6"/>
    </row>
  </sheetData>
  <pageMargins left="0.75" right="0.75" top="1" bottom="1" header="0.5" footer="0.5"/>
  <headerFooter/>
  <picture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00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4.4"/>
  <cols>
    <col min="1" max="1" width="7" customWidth="1"/>
    <col min="2" max="2" width="30" customWidth="1"/>
    <col min="3" max="15" width="19" customWidth="1"/>
    <col min="16" max="17" width="14" customWidth="1"/>
    <col min="18" max="18" width="11" customWidth="1"/>
    <col min="19" max="20" width="14" customWidth="1"/>
  </cols>
  <sheetData>
    <row r="1" ht="17" spans="1:18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</row>
    <row r="2" ht="16.8" spans="1:18">
      <c r="B2" s="4" t="s">
        <v>16</v>
      </c>
      <c r="C2" s="5">
        <v>2481.71505106255</v>
      </c>
      <c r="D2" s="5">
        <v>2263.54229932079</v>
      </c>
      <c r="E2" s="5">
        <v>2645.34461486888</v>
      </c>
      <c r="F2" s="5">
        <v>2195.36331440149</v>
      </c>
      <c r="G2" s="5">
        <v>3831.65895246471</v>
      </c>
      <c r="H2" s="5">
        <v>3313.49866707803</v>
      </c>
      <c r="I2" s="5">
        <v>2154.45592344991</v>
      </c>
      <c r="J2" s="5">
        <v>2708.06928099463</v>
      </c>
      <c r="K2" s="5">
        <v>2986.23953946538</v>
      </c>
      <c r="L2" s="5">
        <v>3957.10828471623</v>
      </c>
      <c r="M2" s="5">
        <v>3076.23579955886</v>
      </c>
      <c r="N2" s="5">
        <v>2748.97667194621</v>
      </c>
      <c r="O2" s="5">
        <f>SUM(C2:N2)</f>
        <v>34362.2083993277</v>
      </c>
      <c r="P2" s="5"/>
      <c r="Q2" s="6"/>
    </row>
    <row r="3" ht="16.8" spans="1:18">
      <c r="A3" s="7"/>
      <c r="B3" s="8" t="s">
        <v>17</v>
      </c>
      <c r="C3" s="9">
        <f t="shared" ref="C3:N3" si="0">C6/(1-$P$12)</f>
        <v>1145812.94117647</v>
      </c>
      <c r="D3" s="9">
        <f t="shared" si="0"/>
        <v>1239151.76470588</v>
      </c>
      <c r="E3" s="9">
        <f t="shared" si="0"/>
        <v>976829.411764706</v>
      </c>
      <c r="F3" s="9">
        <f t="shared" si="0"/>
        <v>870616.470588235</v>
      </c>
      <c r="G3" s="9">
        <f t="shared" si="0"/>
        <v>1615563.52941176</v>
      </c>
      <c r="H3" s="9">
        <f t="shared" si="0"/>
        <v>1482005.88235294</v>
      </c>
      <c r="I3" s="9">
        <f t="shared" si="0"/>
        <v>1129720</v>
      </c>
      <c r="J3" s="9">
        <f t="shared" si="0"/>
        <v>1458014.11764706</v>
      </c>
      <c r="K3" s="9">
        <f t="shared" si="0"/>
        <v>1115236.47058824</v>
      </c>
      <c r="L3" s="9">
        <f t="shared" si="0"/>
        <v>1643082.35294118</v>
      </c>
      <c r="M3" s="9">
        <f t="shared" si="0"/>
        <v>1861945.88235294</v>
      </c>
      <c r="N3" s="9">
        <f t="shared" si="0"/>
        <v>1552994.11764706</v>
      </c>
      <c r="O3" s="9">
        <f>SUM(C3:N3)</f>
        <v>16090972.9411765</v>
      </c>
      <c r="P3" s="9"/>
      <c r="Q3" s="10" t="s">
        <v>83</v>
      </c>
    </row>
    <row r="4" ht="16.8" spans="1:18">
      <c r="A4" s="7"/>
      <c r="B4" s="8" t="s">
        <v>84</v>
      </c>
      <c r="C4" s="9">
        <v>972139</v>
      </c>
      <c r="D4" s="9">
        <v>1051330</v>
      </c>
      <c r="E4" s="9">
        <v>828769</v>
      </c>
      <c r="F4" s="9">
        <v>738655</v>
      </c>
      <c r="G4" s="9">
        <v>1370688</v>
      </c>
      <c r="H4" s="9">
        <v>1257375</v>
      </c>
      <c r="I4" s="9">
        <v>958486</v>
      </c>
      <c r="J4" s="9">
        <v>1237020</v>
      </c>
      <c r="K4" s="9">
        <v>946197</v>
      </c>
      <c r="L4" s="9">
        <v>1394037</v>
      </c>
      <c r="M4" s="9">
        <v>1579726</v>
      </c>
      <c r="N4" s="9">
        <v>1317604</v>
      </c>
      <c r="O4" s="9">
        <f>SUM(C4:N4)</f>
        <v>13652026</v>
      </c>
      <c r="P4" s="9"/>
      <c r="Q4" s="10" t="s">
        <v>83</v>
      </c>
    </row>
    <row r="5" ht="16.8" spans="1:18">
      <c r="A5" s="7"/>
      <c r="B5" s="8" t="s">
        <v>18</v>
      </c>
      <c r="C5" s="9">
        <f t="shared" ref="C5:N5" si="1">C3*$P$12</f>
        <v>171871.941176471</v>
      </c>
      <c r="D5" s="9">
        <f t="shared" si="1"/>
        <v>185872.764705882</v>
      </c>
      <c r="E5" s="9">
        <f t="shared" si="1"/>
        <v>146524.411764706</v>
      </c>
      <c r="F5" s="9">
        <f t="shared" si="1"/>
        <v>130592.470588235</v>
      </c>
      <c r="G5" s="9">
        <f t="shared" si="1"/>
        <v>242334.529411765</v>
      </c>
      <c r="H5" s="9">
        <f t="shared" si="1"/>
        <v>222300.882352941</v>
      </c>
      <c r="I5" s="9">
        <f t="shared" si="1"/>
        <v>169458</v>
      </c>
      <c r="J5" s="9">
        <f t="shared" si="1"/>
        <v>218702.117647059</v>
      </c>
      <c r="K5" s="9">
        <f t="shared" si="1"/>
        <v>167285.470588235</v>
      </c>
      <c r="L5" s="9">
        <f t="shared" si="1"/>
        <v>246462.352941176</v>
      </c>
      <c r="M5" s="9">
        <f t="shared" si="1"/>
        <v>279291.882352941</v>
      </c>
      <c r="N5" s="9">
        <f t="shared" si="1"/>
        <v>232949.117647059</v>
      </c>
      <c r="O5" s="9">
        <f>SUM(C5:N5)</f>
        <v>2413645.94117647</v>
      </c>
      <c r="P5" s="9"/>
      <c r="Q5" s="11" t="s">
        <v>83</v>
      </c>
    </row>
    <row r="6" ht="16.8" spans="1:18">
      <c r="A6" s="7"/>
      <c r="B6" s="12" t="s">
        <v>85</v>
      </c>
      <c r="C6" s="13">
        <v>973941</v>
      </c>
      <c r="D6" s="13">
        <v>1053279</v>
      </c>
      <c r="E6" s="13">
        <v>830305</v>
      </c>
      <c r="F6" s="13">
        <v>740024</v>
      </c>
      <c r="G6" s="13">
        <v>1373229</v>
      </c>
      <c r="H6" s="13">
        <v>1259705</v>
      </c>
      <c r="I6" s="13">
        <v>960262</v>
      </c>
      <c r="J6" s="13">
        <v>1239312</v>
      </c>
      <c r="K6" s="13">
        <v>947951</v>
      </c>
      <c r="L6" s="13">
        <v>1396620</v>
      </c>
      <c r="M6" s="13">
        <v>1582654</v>
      </c>
      <c r="N6" s="13">
        <v>1320045</v>
      </c>
      <c r="O6" s="13">
        <f>SUM(C6:N6)</f>
        <v>13677327</v>
      </c>
      <c r="P6" s="13"/>
      <c r="Q6" s="11" t="s">
        <v>83</v>
      </c>
    </row>
    <row r="7" ht="16.8" spans="1:18">
      <c r="A7" s="7"/>
      <c r="B7" s="14" t="s">
        <v>20</v>
      </c>
      <c r="C7" s="15">
        <f t="shared" ref="C7:O7" si="2">1-C8/C6</f>
        <v>0.10164784109099</v>
      </c>
      <c r="D7" s="15">
        <f t="shared" si="2"/>
        <v>0.101648281224633</v>
      </c>
      <c r="E7" s="15">
        <f t="shared" si="2"/>
        <v>0.101648189520718</v>
      </c>
      <c r="F7" s="15">
        <f t="shared" si="2"/>
        <v>0.101648054657687</v>
      </c>
      <c r="G7" s="15">
        <f t="shared" si="2"/>
        <v>0.101648013550544</v>
      </c>
      <c r="H7" s="15">
        <f t="shared" si="2"/>
        <v>0.101647607971708</v>
      </c>
      <c r="I7" s="15">
        <f t="shared" si="2"/>
        <v>0.101648300151417</v>
      </c>
      <c r="J7" s="15">
        <f t="shared" si="2"/>
        <v>0.101647527014989</v>
      </c>
      <c r="K7" s="15">
        <f t="shared" si="2"/>
        <v>0.101647659003472</v>
      </c>
      <c r="L7" s="15">
        <f t="shared" si="2"/>
        <v>0.101647549082786</v>
      </c>
      <c r="M7" s="15">
        <f t="shared" si="2"/>
        <v>0.101647612175498</v>
      </c>
      <c r="N7" s="15">
        <f t="shared" si="2"/>
        <v>0.101647292327156</v>
      </c>
      <c r="O7" s="15">
        <f t="shared" si="2"/>
        <v>0.101647785418891</v>
      </c>
      <c r="P7" s="15"/>
      <c r="Q7" s="6" t="s">
        <v>83</v>
      </c>
    </row>
    <row r="8" ht="16.8" spans="1:18">
      <c r="A8" s="7"/>
      <c r="B8" s="12" t="s">
        <v>86</v>
      </c>
      <c r="C8" s="13">
        <v>874942</v>
      </c>
      <c r="D8" s="13">
        <v>946215</v>
      </c>
      <c r="E8" s="13">
        <v>745906</v>
      </c>
      <c r="F8" s="13">
        <v>664802</v>
      </c>
      <c r="G8" s="13">
        <v>1233643</v>
      </c>
      <c r="H8" s="13">
        <v>1131659</v>
      </c>
      <c r="I8" s="13">
        <v>862653</v>
      </c>
      <c r="J8" s="13">
        <v>1113339</v>
      </c>
      <c r="K8" s="13">
        <v>851594</v>
      </c>
      <c r="L8" s="13">
        <v>1254657</v>
      </c>
      <c r="M8" s="13">
        <v>1421781</v>
      </c>
      <c r="N8" s="13">
        <v>1185866</v>
      </c>
      <c r="O8" s="13">
        <f>SUM(C8:N8)</f>
        <v>12287057</v>
      </c>
      <c r="P8" s="13"/>
      <c r="Q8" s="6" t="s">
        <v>83</v>
      </c>
    </row>
    <row r="9" ht="16.8" spans="1:18">
      <c r="B9" s="4"/>
      <c r="C9" s="5">
        <f t="shared" ref="C9:O9" si="3">C10-C14-C15</f>
        <v>0</v>
      </c>
      <c r="D9" s="5">
        <f t="shared" si="3"/>
        <v>0</v>
      </c>
      <c r="E9" s="5">
        <f t="shared" si="3"/>
        <v>0</v>
      </c>
      <c r="F9" s="5">
        <f t="shared" si="3"/>
        <v>0</v>
      </c>
      <c r="G9" s="5">
        <f t="shared" si="3"/>
        <v>0</v>
      </c>
      <c r="H9" s="5">
        <f t="shared" si="3"/>
        <v>0</v>
      </c>
      <c r="I9" s="5">
        <f t="shared" si="3"/>
        <v>0</v>
      </c>
      <c r="J9" s="5">
        <f t="shared" si="3"/>
        <v>0</v>
      </c>
      <c r="K9" s="5">
        <f t="shared" si="3"/>
        <v>0</v>
      </c>
      <c r="L9" s="5">
        <f t="shared" si="3"/>
        <v>0</v>
      </c>
      <c r="M9" s="5">
        <f t="shared" si="3"/>
        <v>0</v>
      </c>
      <c r="N9" s="5">
        <f t="shared" si="3"/>
        <v>0</v>
      </c>
      <c r="O9" s="5">
        <f t="shared" si="3"/>
        <v>0</v>
      </c>
      <c r="P9" s="5"/>
      <c r="Q9" s="6"/>
    </row>
    <row r="10" ht="16.8" spans="1:18">
      <c r="A10" s="7"/>
      <c r="B10" s="12" t="s">
        <v>22</v>
      </c>
      <c r="C10" s="13">
        <v>1078053.49705882</v>
      </c>
      <c r="D10" s="13">
        <v>1165872.08823529</v>
      </c>
      <c r="E10" s="13">
        <v>919062.820588235</v>
      </c>
      <c r="F10" s="13">
        <v>819131.073529412</v>
      </c>
      <c r="G10" s="13">
        <v>1520024.37647059</v>
      </c>
      <c r="H10" s="13">
        <v>1394365.54411765</v>
      </c>
      <c r="I10" s="13">
        <v>1062911.9</v>
      </c>
      <c r="J10" s="13">
        <v>1371792.70588235</v>
      </c>
      <c r="K10" s="13">
        <v>1049285.37352941</v>
      </c>
      <c r="L10" s="13">
        <v>1545916.66764706</v>
      </c>
      <c r="M10" s="13">
        <v>1751837.19411765</v>
      </c>
      <c r="N10" s="13">
        <v>1461156.30588235</v>
      </c>
      <c r="O10" s="13">
        <f t="shared" ref="O10:O16" si="4">SUM(C10:N10)</f>
        <v>15139409.5470588</v>
      </c>
      <c r="P10" s="13"/>
      <c r="Q10" s="6"/>
    </row>
    <row r="11" ht="16.8" spans="1:18">
      <c r="B11" s="17" t="s">
        <v>23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>
        <f t="shared" si="4"/>
        <v>0</v>
      </c>
      <c r="P11" s="18"/>
      <c r="Q11" s="6" t="s">
        <v>88</v>
      </c>
    </row>
    <row r="12" ht="16.8" spans="1:18">
      <c r="B12" s="17" t="s">
        <v>25</v>
      </c>
      <c r="C12" s="18">
        <f t="shared" ref="C12:N12" si="5">C4*$P$12</f>
        <v>145820.85</v>
      </c>
      <c r="D12" s="18">
        <f t="shared" si="5"/>
        <v>157699.5</v>
      </c>
      <c r="E12" s="18">
        <f t="shared" si="5"/>
        <v>124315.35</v>
      </c>
      <c r="F12" s="18">
        <f t="shared" si="5"/>
        <v>110798.25</v>
      </c>
      <c r="G12" s="18">
        <f t="shared" si="5"/>
        <v>205603.2</v>
      </c>
      <c r="H12" s="18">
        <f t="shared" si="5"/>
        <v>188606.25</v>
      </c>
      <c r="I12" s="18">
        <f t="shared" si="5"/>
        <v>143772.9</v>
      </c>
      <c r="J12" s="18">
        <f t="shared" si="5"/>
        <v>185553</v>
      </c>
      <c r="K12" s="18">
        <f t="shared" si="5"/>
        <v>141929.55</v>
      </c>
      <c r="L12" s="18">
        <f t="shared" si="5"/>
        <v>209105.55</v>
      </c>
      <c r="M12" s="18">
        <f t="shared" si="5"/>
        <v>236958.9</v>
      </c>
      <c r="N12" s="18">
        <f t="shared" si="5"/>
        <v>197640.6</v>
      </c>
      <c r="O12" s="18">
        <f t="shared" si="4"/>
        <v>2047803.9</v>
      </c>
      <c r="P12" s="19">
        <v>0.15</v>
      </c>
      <c r="Q12" s="6" t="s">
        <v>83</v>
      </c>
      <c r="R12" s="20">
        <f>O12/$O$10</f>
        <v>0.13526312856751</v>
      </c>
    </row>
    <row r="13" ht="16.8" spans="1:18">
      <c r="B13" s="17" t="s">
        <v>27</v>
      </c>
      <c r="C13" s="18">
        <f t="shared" ref="C13:N13" si="6">C3*5%</f>
        <v>57290.6470588235</v>
      </c>
      <c r="D13" s="18">
        <f t="shared" si="6"/>
        <v>61957.5882352941</v>
      </c>
      <c r="E13" s="18">
        <f t="shared" si="6"/>
        <v>48841.4705882353</v>
      </c>
      <c r="F13" s="18">
        <f t="shared" si="6"/>
        <v>43530.8235294118</v>
      </c>
      <c r="G13" s="18">
        <f t="shared" si="6"/>
        <v>80778.1764705883</v>
      </c>
      <c r="H13" s="18">
        <f t="shared" si="6"/>
        <v>74100.2941176471</v>
      </c>
      <c r="I13" s="18">
        <f t="shared" si="6"/>
        <v>56486</v>
      </c>
      <c r="J13" s="18">
        <f t="shared" si="6"/>
        <v>72900.7058823529</v>
      </c>
      <c r="K13" s="18">
        <f t="shared" si="6"/>
        <v>55761.8235294118</v>
      </c>
      <c r="L13" s="18">
        <f t="shared" si="6"/>
        <v>82154.1176470588</v>
      </c>
      <c r="M13" s="18">
        <f t="shared" si="6"/>
        <v>93097.2941176471</v>
      </c>
      <c r="N13" s="18">
        <f t="shared" si="6"/>
        <v>77649.7058823529</v>
      </c>
      <c r="O13" s="18">
        <f t="shared" si="4"/>
        <v>804548.647058824</v>
      </c>
      <c r="P13" s="18"/>
      <c r="Q13" s="6" t="s">
        <v>83</v>
      </c>
      <c r="R13" s="20">
        <f>O13/$O$10</f>
        <v>0.0531426700993848</v>
      </c>
    </row>
    <row r="14" ht="16.8" spans="1:18">
      <c r="B14" s="21" t="s">
        <v>28</v>
      </c>
      <c r="C14" s="22">
        <f t="shared" ref="C14:N14" si="7">SUM(C11:C13)</f>
        <v>203111.497058824</v>
      </c>
      <c r="D14" s="22">
        <f t="shared" si="7"/>
        <v>219657.088235294</v>
      </c>
      <c r="E14" s="22">
        <f t="shared" si="7"/>
        <v>173156.820588235</v>
      </c>
      <c r="F14" s="22">
        <f t="shared" si="7"/>
        <v>154329.073529412</v>
      </c>
      <c r="G14" s="22">
        <f t="shared" si="7"/>
        <v>286381.376470588</v>
      </c>
      <c r="H14" s="22">
        <f t="shared" si="7"/>
        <v>262706.544117647</v>
      </c>
      <c r="I14" s="22">
        <f t="shared" si="7"/>
        <v>200258.9</v>
      </c>
      <c r="J14" s="22">
        <f t="shared" si="7"/>
        <v>258453.705882353</v>
      </c>
      <c r="K14" s="22">
        <f t="shared" si="7"/>
        <v>197691.373529412</v>
      </c>
      <c r="L14" s="22">
        <f t="shared" si="7"/>
        <v>291259.667647059</v>
      </c>
      <c r="M14" s="22">
        <f t="shared" si="7"/>
        <v>330056.194117647</v>
      </c>
      <c r="N14" s="22">
        <f t="shared" si="7"/>
        <v>275290.305882353</v>
      </c>
      <c r="O14" s="22">
        <f t="shared" si="4"/>
        <v>2852352.54705882</v>
      </c>
      <c r="P14" s="22"/>
      <c r="Q14" s="6"/>
    </row>
    <row r="15" ht="16.8" spans="1:18">
      <c r="A15" s="7"/>
      <c r="B15" s="12" t="s">
        <v>29</v>
      </c>
      <c r="C15" s="13">
        <f t="shared" ref="C15:N15" si="8">C8</f>
        <v>874942</v>
      </c>
      <c r="D15" s="13">
        <f t="shared" si="8"/>
        <v>946215</v>
      </c>
      <c r="E15" s="13">
        <f t="shared" si="8"/>
        <v>745906</v>
      </c>
      <c r="F15" s="13">
        <f t="shared" si="8"/>
        <v>664802</v>
      </c>
      <c r="G15" s="13">
        <f t="shared" si="8"/>
        <v>1233643</v>
      </c>
      <c r="H15" s="13">
        <f t="shared" si="8"/>
        <v>1131659</v>
      </c>
      <c r="I15" s="13">
        <f t="shared" si="8"/>
        <v>862653</v>
      </c>
      <c r="J15" s="13">
        <f t="shared" si="8"/>
        <v>1113339</v>
      </c>
      <c r="K15" s="13">
        <f t="shared" si="8"/>
        <v>851594</v>
      </c>
      <c r="L15" s="13">
        <f t="shared" si="8"/>
        <v>1254657</v>
      </c>
      <c r="M15" s="13">
        <f t="shared" si="8"/>
        <v>1421781</v>
      </c>
      <c r="N15" s="13">
        <f t="shared" si="8"/>
        <v>1185866</v>
      </c>
      <c r="O15" s="13">
        <f t="shared" si="4"/>
        <v>12287057</v>
      </c>
      <c r="P15" s="13"/>
      <c r="Q15" s="6"/>
    </row>
    <row r="16" ht="16.8" spans="1:18">
      <c r="A16" s="7"/>
      <c r="B16" s="12" t="s">
        <v>30</v>
      </c>
      <c r="C16" s="13">
        <f t="shared" ref="C16:N16" si="9">+C8/1.13</f>
        <v>774284.955752212</v>
      </c>
      <c r="D16" s="13">
        <f t="shared" si="9"/>
        <v>837358.407079646</v>
      </c>
      <c r="E16" s="13">
        <f t="shared" si="9"/>
        <v>660093.805309735</v>
      </c>
      <c r="F16" s="13">
        <f t="shared" si="9"/>
        <v>588320.353982301</v>
      </c>
      <c r="G16" s="13">
        <f t="shared" si="9"/>
        <v>1091719.46902655</v>
      </c>
      <c r="H16" s="13">
        <f t="shared" si="9"/>
        <v>1001468.14159292</v>
      </c>
      <c r="I16" s="13">
        <f t="shared" si="9"/>
        <v>763409.734513274</v>
      </c>
      <c r="J16" s="13">
        <f t="shared" si="9"/>
        <v>985255.752212389</v>
      </c>
      <c r="K16" s="13">
        <f t="shared" si="9"/>
        <v>753623.008849558</v>
      </c>
      <c r="L16" s="13">
        <f t="shared" si="9"/>
        <v>1110315.92920354</v>
      </c>
      <c r="M16" s="13">
        <f t="shared" si="9"/>
        <v>1258213.27433628</v>
      </c>
      <c r="N16" s="13">
        <f t="shared" si="9"/>
        <v>1049438.9380531</v>
      </c>
      <c r="O16" s="13">
        <f t="shared" si="4"/>
        <v>10873501.7699115</v>
      </c>
      <c r="P16" s="13"/>
      <c r="Q16" s="6"/>
    </row>
    <row r="17" spans="1:17">
      <c r="C17" s="70">
        <f t="shared" ref="C17:O17" si="10">C10-C14-C15</f>
        <v>0</v>
      </c>
      <c r="D17" s="70">
        <f t="shared" si="10"/>
        <v>0</v>
      </c>
      <c r="E17" s="70">
        <f t="shared" si="10"/>
        <v>0</v>
      </c>
      <c r="F17" s="70">
        <f t="shared" si="10"/>
        <v>0</v>
      </c>
      <c r="G17" s="70">
        <f t="shared" si="10"/>
        <v>0</v>
      </c>
      <c r="H17" s="70">
        <f t="shared" si="10"/>
        <v>0</v>
      </c>
      <c r="I17" s="70">
        <f t="shared" si="10"/>
        <v>0</v>
      </c>
      <c r="J17" s="70">
        <f t="shared" si="10"/>
        <v>0</v>
      </c>
      <c r="K17" s="70">
        <f t="shared" si="10"/>
        <v>0</v>
      </c>
      <c r="L17" s="70">
        <f t="shared" si="10"/>
        <v>0</v>
      </c>
      <c r="M17" s="70">
        <f t="shared" si="10"/>
        <v>0</v>
      </c>
      <c r="N17" s="70">
        <f t="shared" si="10"/>
        <v>0</v>
      </c>
      <c r="O17" s="70">
        <f t="shared" si="10"/>
        <v>0</v>
      </c>
      <c r="Q17" s="6"/>
    </row>
    <row r="18" ht="16.8" spans="1:17">
      <c r="B18" s="17" t="s">
        <v>31</v>
      </c>
      <c r="C18" s="18">
        <f t="shared" ref="C18:N18" si="11">C64*C65</f>
        <v>378998.334969994</v>
      </c>
      <c r="D18" s="18">
        <f t="shared" si="11"/>
        <v>408130.242691671</v>
      </c>
      <c r="E18" s="18">
        <f t="shared" si="11"/>
        <v>339440.68522602</v>
      </c>
      <c r="F18" s="18">
        <f t="shared" si="11"/>
        <v>303350.828571429</v>
      </c>
      <c r="G18" s="18">
        <f t="shared" si="11"/>
        <v>501454.248140276</v>
      </c>
      <c r="H18" s="18">
        <f t="shared" si="11"/>
        <v>467287.005317735</v>
      </c>
      <c r="I18" s="18">
        <f t="shared" si="11"/>
        <v>329048.780542423</v>
      </c>
      <c r="J18" s="18">
        <f t="shared" si="11"/>
        <v>423507.601646296</v>
      </c>
      <c r="K18" s="18">
        <f t="shared" si="11"/>
        <v>318341.012444002</v>
      </c>
      <c r="L18" s="18">
        <f t="shared" si="11"/>
        <v>461446.854490717</v>
      </c>
      <c r="M18" s="18">
        <f t="shared" si="11"/>
        <v>510868.757606236</v>
      </c>
      <c r="N18" s="18">
        <f t="shared" si="11"/>
        <v>421883.011213048</v>
      </c>
      <c r="O18" s="18">
        <f>SUM(C18:N18)</f>
        <v>4863757.36285985</v>
      </c>
      <c r="P18" s="23">
        <f>O18/O16</f>
        <v>0.447303680615434</v>
      </c>
      <c r="Q18" s="6"/>
    </row>
    <row r="19" ht="16.8" spans="1:17">
      <c r="B19" s="21" t="s">
        <v>32</v>
      </c>
      <c r="C19" s="22">
        <f t="shared" ref="C19:N19" si="12">C16-C18</f>
        <v>395286.620782218</v>
      </c>
      <c r="D19" s="22">
        <f t="shared" si="12"/>
        <v>429228.164387975</v>
      </c>
      <c r="E19" s="22">
        <f t="shared" si="12"/>
        <v>320653.120083715</v>
      </c>
      <c r="F19" s="22">
        <f t="shared" si="12"/>
        <v>284969.525410872</v>
      </c>
      <c r="G19" s="22">
        <f t="shared" si="12"/>
        <v>590265.220886272</v>
      </c>
      <c r="H19" s="22">
        <f t="shared" si="12"/>
        <v>534181.136275186</v>
      </c>
      <c r="I19" s="22">
        <f t="shared" si="12"/>
        <v>434360.953970851</v>
      </c>
      <c r="J19" s="22">
        <f t="shared" si="12"/>
        <v>561748.150566094</v>
      </c>
      <c r="K19" s="22">
        <f t="shared" si="12"/>
        <v>435281.996405556</v>
      </c>
      <c r="L19" s="22">
        <f t="shared" si="12"/>
        <v>648869.074712822</v>
      </c>
      <c r="M19" s="22">
        <f t="shared" si="12"/>
        <v>747344.516730047</v>
      </c>
      <c r="N19" s="22">
        <f t="shared" si="12"/>
        <v>627555.926840049</v>
      </c>
      <c r="O19" s="22">
        <f>SUM(C19:N19)</f>
        <v>6009744.40705166</v>
      </c>
      <c r="P19" s="24">
        <f>O19/$O$16</f>
        <v>0.552696319384566</v>
      </c>
      <c r="Q19" s="6"/>
    </row>
    <row r="20" ht="16.8" spans="1:17">
      <c r="A20" s="5"/>
      <c r="B20" s="4" t="s">
        <v>33</v>
      </c>
      <c r="C20" s="25">
        <f t="shared" ref="C20:N20" si="13">C16*2.5%</f>
        <v>19357.1238938053</v>
      </c>
      <c r="D20" s="25">
        <f t="shared" si="13"/>
        <v>20933.9601769912</v>
      </c>
      <c r="E20" s="25">
        <f t="shared" si="13"/>
        <v>16502.3451327434</v>
      </c>
      <c r="F20" s="25">
        <f t="shared" si="13"/>
        <v>14708.0088495575</v>
      </c>
      <c r="G20" s="25">
        <f t="shared" si="13"/>
        <v>27292.9867256637</v>
      </c>
      <c r="H20" s="25">
        <f t="shared" si="13"/>
        <v>25036.703539823</v>
      </c>
      <c r="I20" s="25">
        <f t="shared" si="13"/>
        <v>19085.2433628319</v>
      </c>
      <c r="J20" s="25">
        <f t="shared" si="13"/>
        <v>24631.3938053097</v>
      </c>
      <c r="K20" s="25">
        <f t="shared" si="13"/>
        <v>18840.5752212389</v>
      </c>
      <c r="L20" s="25">
        <f t="shared" si="13"/>
        <v>27757.8982300885</v>
      </c>
      <c r="M20" s="25">
        <f t="shared" si="13"/>
        <v>31455.3318584071</v>
      </c>
      <c r="N20" s="25">
        <f t="shared" si="13"/>
        <v>26235.9734513274</v>
      </c>
      <c r="O20" s="25">
        <f>SUM(C20:N20)</f>
        <v>271837.544247788</v>
      </c>
      <c r="P20" s="26">
        <v>0.025</v>
      </c>
      <c r="Q20" s="6"/>
    </row>
    <row r="21" ht="16.8" spans="1:17">
      <c r="B21" s="21" t="s">
        <v>35</v>
      </c>
      <c r="C21" s="22">
        <f t="shared" ref="C21:N21" si="14">SUM(C18,C20)</f>
        <v>398355.4588638</v>
      </c>
      <c r="D21" s="22">
        <f t="shared" si="14"/>
        <v>429064.202868662</v>
      </c>
      <c r="E21" s="22">
        <f t="shared" si="14"/>
        <v>355943.030358763</v>
      </c>
      <c r="F21" s="22">
        <f t="shared" si="14"/>
        <v>318058.837420986</v>
      </c>
      <c r="G21" s="22">
        <f t="shared" si="14"/>
        <v>528747.23486594</v>
      </c>
      <c r="H21" s="22">
        <f t="shared" si="14"/>
        <v>492323.708857558</v>
      </c>
      <c r="I21" s="22">
        <f t="shared" si="14"/>
        <v>348134.023905255</v>
      </c>
      <c r="J21" s="22">
        <f t="shared" si="14"/>
        <v>448138.995451606</v>
      </c>
      <c r="K21" s="22">
        <f t="shared" si="14"/>
        <v>337181.587665241</v>
      </c>
      <c r="L21" s="22">
        <f t="shared" si="14"/>
        <v>489204.752720806</v>
      </c>
      <c r="M21" s="22">
        <f t="shared" si="14"/>
        <v>542324.089464643</v>
      </c>
      <c r="N21" s="22">
        <f t="shared" si="14"/>
        <v>448118.984664375</v>
      </c>
      <c r="O21" s="22">
        <f>SUM(C21:N21)</f>
        <v>5135594.90710763</v>
      </c>
      <c r="P21" s="24">
        <f>O21/$O$16</f>
        <v>0.472303680615433</v>
      </c>
      <c r="Q21" s="6"/>
    </row>
    <row r="22" ht="16.8" spans="1:17">
      <c r="A22" s="7"/>
      <c r="B22" s="12" t="s">
        <v>36</v>
      </c>
      <c r="C22" s="13">
        <f t="shared" ref="C22:N22" si="15">C16-C21</f>
        <v>375929.496888413</v>
      </c>
      <c r="D22" s="13">
        <f t="shared" si="15"/>
        <v>408294.204210984</v>
      </c>
      <c r="E22" s="13">
        <f t="shared" si="15"/>
        <v>304150.774950971</v>
      </c>
      <c r="F22" s="13">
        <f t="shared" si="15"/>
        <v>270261.516561315</v>
      </c>
      <c r="G22" s="13">
        <f t="shared" si="15"/>
        <v>562972.234160609</v>
      </c>
      <c r="H22" s="13">
        <f t="shared" si="15"/>
        <v>509144.432735363</v>
      </c>
      <c r="I22" s="13">
        <f t="shared" si="15"/>
        <v>415275.710608019</v>
      </c>
      <c r="J22" s="13">
        <f t="shared" si="15"/>
        <v>537116.756760784</v>
      </c>
      <c r="K22" s="13">
        <f t="shared" si="15"/>
        <v>416441.421184317</v>
      </c>
      <c r="L22" s="13">
        <f t="shared" si="15"/>
        <v>621111.176482734</v>
      </c>
      <c r="M22" s="13">
        <f t="shared" si="15"/>
        <v>715889.18487164</v>
      </c>
      <c r="N22" s="13">
        <f t="shared" si="15"/>
        <v>601319.953388722</v>
      </c>
      <c r="O22" s="13">
        <f>SUM(C22:N22)</f>
        <v>5737906.86280387</v>
      </c>
      <c r="P22" s="27">
        <f>O22/$O$16</f>
        <v>0.527696319384566</v>
      </c>
      <c r="Q22" s="6"/>
    </row>
    <row r="23" ht="16.8" spans="1:17">
      <c r="B23" s="14" t="s">
        <v>37</v>
      </c>
      <c r="C23" s="44">
        <f t="shared" ref="C23:O23" si="16">C19/C16</f>
        <v>0.510518276050191</v>
      </c>
      <c r="D23" s="44">
        <f t="shared" si="16"/>
        <v>0.512597904026476</v>
      </c>
      <c r="E23" s="44">
        <f t="shared" si="16"/>
        <v>0.485769018743109</v>
      </c>
      <c r="F23" s="44">
        <f t="shared" si="16"/>
        <v>0.484378151260504</v>
      </c>
      <c r="G23" s="44">
        <f t="shared" si="16"/>
        <v>0.54067481402763</v>
      </c>
      <c r="H23" s="44">
        <f t="shared" si="16"/>
        <v>0.533398032438181</v>
      </c>
      <c r="I23" s="44">
        <f t="shared" si="16"/>
        <v>0.56897486937049</v>
      </c>
      <c r="J23" s="44">
        <f t="shared" si="16"/>
        <v>0.570154652032926</v>
      </c>
      <c r="K23" s="44">
        <f t="shared" si="16"/>
        <v>0.577585863613738</v>
      </c>
      <c r="L23" s="44">
        <f t="shared" si="16"/>
        <v>0.584400401404917</v>
      </c>
      <c r="M23" s="44">
        <f t="shared" si="16"/>
        <v>0.59397284385215</v>
      </c>
      <c r="N23" s="44">
        <f t="shared" si="16"/>
        <v>0.597991845056065</v>
      </c>
      <c r="O23" s="44">
        <f t="shared" si="16"/>
        <v>0.552696319384566</v>
      </c>
      <c r="P23" s="29"/>
      <c r="Q23" s="6"/>
    </row>
    <row r="24" ht="16.8" spans="1:17">
      <c r="B24" s="14" t="s">
        <v>38</v>
      </c>
      <c r="C24" s="28">
        <f t="shared" ref="C24:O24" si="17">IFERROR(1-C21/C16,0)</f>
        <v>0.485518276050191</v>
      </c>
      <c r="D24" s="28">
        <f t="shared" si="17"/>
        <v>0.487597904026476</v>
      </c>
      <c r="E24" s="28">
        <f t="shared" si="17"/>
        <v>0.460769018743109</v>
      </c>
      <c r="F24" s="28">
        <f t="shared" si="17"/>
        <v>0.459378151260504</v>
      </c>
      <c r="G24" s="28">
        <f t="shared" si="17"/>
        <v>0.51567481402763</v>
      </c>
      <c r="H24" s="28">
        <f t="shared" si="17"/>
        <v>0.508398032438181</v>
      </c>
      <c r="I24" s="28">
        <f t="shared" si="17"/>
        <v>0.54397486937049</v>
      </c>
      <c r="J24" s="28">
        <f t="shared" si="17"/>
        <v>0.545154652032926</v>
      </c>
      <c r="K24" s="28">
        <f t="shared" si="17"/>
        <v>0.552585863613738</v>
      </c>
      <c r="L24" s="28">
        <f t="shared" si="17"/>
        <v>0.559400401404917</v>
      </c>
      <c r="M24" s="28">
        <f t="shared" si="17"/>
        <v>0.56897284385215</v>
      </c>
      <c r="N24" s="28">
        <f t="shared" si="17"/>
        <v>0.572991845056065</v>
      </c>
      <c r="O24" s="28">
        <f t="shared" si="17"/>
        <v>0.527696319384567</v>
      </c>
      <c r="P24" s="29"/>
      <c r="Q24" s="6"/>
    </row>
    <row r="25" ht="16.8" spans="1:17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29"/>
      <c r="Q25" s="6"/>
    </row>
    <row r="26" ht="16.8" spans="1:17">
      <c r="B26" s="17" t="s">
        <v>39</v>
      </c>
      <c r="C26" s="18">
        <f t="shared" ref="C26:N26" si="18">SUM(C27:C31)</f>
        <v>10723.0934600433</v>
      </c>
      <c r="D26" s="18">
        <f t="shared" si="18"/>
        <v>37920.4820547227</v>
      </c>
      <c r="E26" s="18">
        <f t="shared" si="18"/>
        <v>66730.2948113624</v>
      </c>
      <c r="F26" s="18">
        <f t="shared" si="18"/>
        <v>37517.83330987</v>
      </c>
      <c r="G26" s="18">
        <f t="shared" si="18"/>
        <v>162677.598805658</v>
      </c>
      <c r="H26" s="18">
        <f t="shared" si="18"/>
        <v>94207.7829100236</v>
      </c>
      <c r="I26" s="18">
        <f t="shared" si="18"/>
        <v>17350.1857088149</v>
      </c>
      <c r="J26" s="18">
        <f t="shared" si="18"/>
        <v>30001.9296413372</v>
      </c>
      <c r="K26" s="18">
        <f t="shared" si="18"/>
        <v>23914.6802063981</v>
      </c>
      <c r="L26" s="18">
        <f t="shared" si="18"/>
        <v>85153.2009803951</v>
      </c>
      <c r="M26" s="18">
        <f t="shared" si="18"/>
        <v>33709.8910099097</v>
      </c>
      <c r="N26" s="18">
        <f t="shared" si="18"/>
        <v>19951.7904397509</v>
      </c>
      <c r="O26" s="18">
        <f t="shared" ref="O26:O31" si="19">SUM(C26:N26)</f>
        <v>619858.763338286</v>
      </c>
      <c r="P26" s="23">
        <f t="shared" ref="P26:P31" si="20">O26/$O$16</f>
        <v>0.0570063606421182</v>
      </c>
      <c r="Q26" s="6"/>
    </row>
    <row r="27" ht="16.8" spans="1:17">
      <c r="A27" s="5"/>
      <c r="B27" s="4" t="s">
        <v>40</v>
      </c>
      <c r="C27" s="30">
        <v>0</v>
      </c>
      <c r="D27" s="30">
        <v>0</v>
      </c>
      <c r="E27" s="30">
        <v>1823.23209867111</v>
      </c>
      <c r="F27" s="30">
        <v>1525.11517519797</v>
      </c>
      <c r="G27" s="30">
        <v>3240.5896176426</v>
      </c>
      <c r="H27" s="30">
        <v>2854.78130030375</v>
      </c>
      <c r="I27" s="30">
        <v>1845.76443710796</v>
      </c>
      <c r="J27" s="30">
        <v>2542.53641028281</v>
      </c>
      <c r="K27" s="30">
        <v>2026.66781410153</v>
      </c>
      <c r="L27" s="30">
        <v>3406.1280392158</v>
      </c>
      <c r="M27" s="30">
        <v>2593.06853922382</v>
      </c>
      <c r="N27" s="30">
        <v>0</v>
      </c>
      <c r="O27" s="5">
        <f t="shared" si="19"/>
        <v>21857.8834317474</v>
      </c>
      <c r="P27" s="29">
        <f t="shared" si="20"/>
        <v>0.00201019725698957</v>
      </c>
      <c r="Q27" s="4"/>
    </row>
    <row r="28" ht="16.8" spans="1:17">
      <c r="A28" s="5"/>
      <c r="B28" s="4" t="s">
        <v>41</v>
      </c>
      <c r="C28" s="30">
        <v>0</v>
      </c>
      <c r="D28" s="30">
        <v>0</v>
      </c>
      <c r="E28" s="30">
        <v>0</v>
      </c>
      <c r="F28" s="30">
        <v>1830.13821023756</v>
      </c>
      <c r="G28" s="30">
        <v>19443.5377058556</v>
      </c>
      <c r="H28" s="30">
        <v>9135.30016097199</v>
      </c>
      <c r="I28" s="30">
        <v>0</v>
      </c>
      <c r="J28" s="30">
        <v>3051.04369233937</v>
      </c>
      <c r="K28" s="30">
        <v>6485.33700512491</v>
      </c>
      <c r="L28" s="30">
        <v>4087.35364705896</v>
      </c>
      <c r="M28" s="30">
        <v>3111.68224706859</v>
      </c>
      <c r="N28" s="30">
        <v>0</v>
      </c>
      <c r="O28" s="5">
        <f t="shared" si="19"/>
        <v>47144.3926686569</v>
      </c>
      <c r="P28" s="29">
        <f t="shared" si="20"/>
        <v>0.00433571389109551</v>
      </c>
      <c r="Q28" s="4"/>
    </row>
    <row r="29" ht="16.8" spans="1:17">
      <c r="A29" s="5"/>
      <c r="B29" s="4" t="s">
        <v>42</v>
      </c>
      <c r="C29" s="30">
        <v>893.591121670275</v>
      </c>
      <c r="D29" s="30">
        <v>729.240039513897</v>
      </c>
      <c r="E29" s="30">
        <v>729.292839468442</v>
      </c>
      <c r="F29" s="30">
        <v>3050.23035039594</v>
      </c>
      <c r="G29" s="30">
        <v>19443.5377058556</v>
      </c>
      <c r="H29" s="30">
        <v>12561.0377213365</v>
      </c>
      <c r="I29" s="30">
        <v>0</v>
      </c>
      <c r="J29" s="30">
        <v>3051.04369233937</v>
      </c>
      <c r="K29" s="30">
        <v>6485.33700512491</v>
      </c>
      <c r="L29" s="30">
        <v>6812.25607843161</v>
      </c>
      <c r="M29" s="30">
        <v>5186.13707844764</v>
      </c>
      <c r="N29" s="30">
        <v>906.899565443223</v>
      </c>
      <c r="O29" s="5">
        <f t="shared" si="19"/>
        <v>59848.6031980274</v>
      </c>
      <c r="P29" s="29">
        <f t="shared" si="20"/>
        <v>0.00550407812169919</v>
      </c>
      <c r="Q29" s="6"/>
    </row>
    <row r="30" ht="16.8" spans="1:17">
      <c r="A30" s="5"/>
      <c r="B30" s="4" t="s">
        <v>43</v>
      </c>
      <c r="C30" s="30">
        <v>893.591121670275</v>
      </c>
      <c r="D30" s="30">
        <v>729.240039513897</v>
      </c>
      <c r="E30" s="30">
        <v>5834.34271574754</v>
      </c>
      <c r="F30" s="30">
        <v>610.046070079188</v>
      </c>
      <c r="G30" s="30">
        <v>3888.70754117111</v>
      </c>
      <c r="H30" s="30">
        <v>1141.9125201215</v>
      </c>
      <c r="I30" s="30">
        <v>738.305774843186</v>
      </c>
      <c r="J30" s="30">
        <v>1017.01456411312</v>
      </c>
      <c r="K30" s="30">
        <v>810.667125640614</v>
      </c>
      <c r="L30" s="30">
        <v>2724.90243137264</v>
      </c>
      <c r="M30" s="30">
        <v>2074.45483137906</v>
      </c>
      <c r="N30" s="30">
        <v>906.899565443223</v>
      </c>
      <c r="O30" s="5">
        <f t="shared" si="19"/>
        <v>21370.0843010954</v>
      </c>
      <c r="P30" s="29">
        <f t="shared" si="20"/>
        <v>0.00196533598405523</v>
      </c>
      <c r="Q30" s="6"/>
    </row>
    <row r="31" ht="16.8" collapsed="1" spans="1:17">
      <c r="A31" s="5"/>
      <c r="B31" s="4" t="s">
        <v>44</v>
      </c>
      <c r="C31" s="30">
        <v>8935.91121670275</v>
      </c>
      <c r="D31" s="30">
        <v>36462.0019756949</v>
      </c>
      <c r="E31" s="30">
        <v>58343.4271574754</v>
      </c>
      <c r="F31" s="30">
        <v>30502.3035039594</v>
      </c>
      <c r="G31" s="30">
        <v>116661.226235133</v>
      </c>
      <c r="H31" s="30">
        <v>68514.7512072899</v>
      </c>
      <c r="I31" s="30">
        <v>14766.1154968637</v>
      </c>
      <c r="J31" s="30">
        <v>20340.2912822625</v>
      </c>
      <c r="K31" s="30">
        <v>8106.67125640614</v>
      </c>
      <c r="L31" s="30">
        <v>68122.5607843161</v>
      </c>
      <c r="M31" s="30">
        <v>20744.5483137906</v>
      </c>
      <c r="N31" s="30">
        <v>18137.9913088645</v>
      </c>
      <c r="O31" s="5">
        <f t="shared" si="19"/>
        <v>469637.799738759</v>
      </c>
      <c r="P31" s="29">
        <f t="shared" si="20"/>
        <v>0.0431910353882787</v>
      </c>
      <c r="Q31" s="6"/>
    </row>
    <row r="32" ht="16.8" hidden="1" outlineLevel="1" spans="1:17">
      <c r="A32" s="5"/>
      <c r="B32" s="4" t="s">
        <v>45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29"/>
      <c r="Q32" s="6"/>
    </row>
    <row r="33" ht="16.8" hidden="1" outlineLevel="1" spans="1:17">
      <c r="A33" s="5"/>
      <c r="B33" s="4" t="s">
        <v>46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29"/>
      <c r="Q33" s="6"/>
    </row>
    <row r="34" ht="16.8" hidden="1" outlineLevel="1" spans="1:17">
      <c r="A34" s="5"/>
      <c r="B34" s="4" t="s">
        <v>47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29"/>
      <c r="Q34" s="6"/>
    </row>
    <row r="35" ht="16.8" hidden="1" outlineLevel="1" spans="1:17">
      <c r="A35" s="5"/>
      <c r="B35" s="4" t="s">
        <v>48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29"/>
      <c r="Q35" s="6"/>
    </row>
    <row r="36" ht="16.8" hidden="1" outlineLevel="1" spans="1:17">
      <c r="A36" s="5"/>
      <c r="B36" s="4" t="s">
        <v>49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5"/>
      <c r="P36" s="29"/>
      <c r="Q36" s="6"/>
    </row>
    <row r="37" ht="16.8" spans="1:17">
      <c r="B37" s="17" t="s">
        <v>50</v>
      </c>
      <c r="C37" s="18">
        <f t="shared" ref="C37:N37" si="21">SUM(C38:C40)</f>
        <v>133333.665292453</v>
      </c>
      <c r="D37" s="18">
        <f t="shared" si="21"/>
        <v>189980.627300885</v>
      </c>
      <c r="E37" s="18">
        <f t="shared" si="21"/>
        <v>122928.64119469</v>
      </c>
      <c r="F37" s="18">
        <f t="shared" si="21"/>
        <v>111753.310176991</v>
      </c>
      <c r="G37" s="18">
        <f t="shared" si="21"/>
        <v>241387.149982301</v>
      </c>
      <c r="H37" s="18">
        <f t="shared" si="21"/>
        <v>248092.34859292</v>
      </c>
      <c r="I37" s="18">
        <f t="shared" si="21"/>
        <v>138574.104619469</v>
      </c>
      <c r="J37" s="18">
        <f t="shared" si="21"/>
        <v>257802.920964184</v>
      </c>
      <c r="K37" s="18">
        <f t="shared" si="21"/>
        <v>134103.972212389</v>
      </c>
      <c r="L37" s="18">
        <f t="shared" si="21"/>
        <v>241387.149982301</v>
      </c>
      <c r="M37" s="18">
        <f t="shared" si="21"/>
        <v>248092.34859292</v>
      </c>
      <c r="N37" s="18">
        <f t="shared" si="21"/>
        <v>167629.965265487</v>
      </c>
      <c r="O37" s="18">
        <f>SUM(C37:N37)</f>
        <v>2235066.20417699</v>
      </c>
      <c r="P37" s="23">
        <f>O37/$O$16</f>
        <v>0.205551647617489</v>
      </c>
      <c r="Q37" s="6"/>
    </row>
    <row r="38" ht="16.8" spans="1:17">
      <c r="A38" s="5"/>
      <c r="B38" s="4" t="s">
        <v>51</v>
      </c>
      <c r="C38" s="31">
        <v>133333.665292453</v>
      </c>
      <c r="D38" s="31">
        <v>189980.627300885</v>
      </c>
      <c r="E38" s="31">
        <v>122928.64119469</v>
      </c>
      <c r="F38" s="31">
        <v>111753.310176991</v>
      </c>
      <c r="G38" s="31">
        <v>241387.149982301</v>
      </c>
      <c r="H38" s="31">
        <v>248092.34859292</v>
      </c>
      <c r="I38" s="31">
        <v>138574.104619469</v>
      </c>
      <c r="J38" s="31">
        <v>257802.920964184</v>
      </c>
      <c r="K38" s="31">
        <v>134103.972212389</v>
      </c>
      <c r="L38" s="31">
        <v>241387.149982301</v>
      </c>
      <c r="M38" s="31">
        <v>248092.34859292</v>
      </c>
      <c r="N38" s="31">
        <v>167629.965265487</v>
      </c>
      <c r="O38" s="5">
        <f>SUM(C38:N38)</f>
        <v>2235066.20417699</v>
      </c>
      <c r="P38" s="29">
        <f>O38/$O$16</f>
        <v>0.205551647617489</v>
      </c>
      <c r="Q38" s="6" t="s">
        <v>91</v>
      </c>
    </row>
    <row r="39" ht="16.8" spans="1:17">
      <c r="A39" s="5"/>
      <c r="B39" s="4" t="s">
        <v>53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5">
        <f>SUM(C39:N39)</f>
        <v>0</v>
      </c>
      <c r="P39" s="29">
        <f>O39/$O$16</f>
        <v>0</v>
      </c>
      <c r="Q39" s="6" t="s">
        <v>91</v>
      </c>
    </row>
    <row r="40" ht="16.8" collapsed="1" spans="1:17">
      <c r="A40" s="5"/>
      <c r="B40" s="4" t="s">
        <v>55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5">
        <f>SUM(C40:N40)</f>
        <v>0</v>
      </c>
      <c r="P40" s="29">
        <f>O40/$O$16</f>
        <v>0</v>
      </c>
      <c r="Q40" s="6" t="s">
        <v>91</v>
      </c>
    </row>
    <row r="41" ht="16.8" hidden="1" outlineLevel="1" spans="1:17">
      <c r="A41" s="5"/>
      <c r="B41" s="4" t="s">
        <v>57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29">
        <f>O38/$O$16</f>
        <v>0.205551647617489</v>
      </c>
      <c r="Q41" s="6" t="s">
        <v>91</v>
      </c>
    </row>
    <row r="42" ht="16.8" hidden="1" outlineLevel="1" spans="1:17">
      <c r="A42" s="5"/>
      <c r="B42" s="4" t="s">
        <v>58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29">
        <f>O39/$O$16</f>
        <v>0</v>
      </c>
      <c r="Q42" s="6" t="s">
        <v>91</v>
      </c>
    </row>
    <row r="43" ht="16.8" hidden="1" outlineLevel="1" spans="1:17">
      <c r="A43" s="5"/>
      <c r="B43" s="4" t="s">
        <v>59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29">
        <f>O40/$O$16</f>
        <v>0</v>
      </c>
      <c r="Q43" s="6" t="s">
        <v>91</v>
      </c>
    </row>
    <row r="44" ht="16.8" spans="1:17">
      <c r="B44" s="17" t="s">
        <v>60</v>
      </c>
      <c r="C44" s="18">
        <f t="shared" ref="C44:N44" si="22">SUM(C45:C46)</f>
        <v>15485.6991150442</v>
      </c>
      <c r="D44" s="18">
        <f t="shared" si="22"/>
        <v>16747.1681415929</v>
      </c>
      <c r="E44" s="18">
        <f t="shared" si="22"/>
        <v>13201.8761061947</v>
      </c>
      <c r="F44" s="18">
        <f t="shared" si="22"/>
        <v>11766.407079646</v>
      </c>
      <c r="G44" s="18">
        <f t="shared" si="22"/>
        <v>21834.389380531</v>
      </c>
      <c r="H44" s="18">
        <f t="shared" si="22"/>
        <v>20029.3628318584</v>
      </c>
      <c r="I44" s="18">
        <f t="shared" si="22"/>
        <v>15268.1946902655</v>
      </c>
      <c r="J44" s="18">
        <f t="shared" si="22"/>
        <v>19705.1150442478</v>
      </c>
      <c r="K44" s="18">
        <f t="shared" si="22"/>
        <v>15072.4601769912</v>
      </c>
      <c r="L44" s="18">
        <f t="shared" si="22"/>
        <v>22206.3185840708</v>
      </c>
      <c r="M44" s="18">
        <f t="shared" si="22"/>
        <v>25164.2654867257</v>
      </c>
      <c r="N44" s="18">
        <f t="shared" si="22"/>
        <v>20988.7787610619</v>
      </c>
      <c r="O44" s="18">
        <f>SUM(C44:N44)</f>
        <v>217470.03539823</v>
      </c>
      <c r="P44" s="23">
        <f>O44/$O$16</f>
        <v>0.02</v>
      </c>
      <c r="Q44" s="6"/>
    </row>
    <row r="45" ht="16.8" spans="1:17">
      <c r="A45" s="5"/>
      <c r="B45" s="4" t="s">
        <v>61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5"/>
      <c r="P45" s="29">
        <v>0.01</v>
      </c>
      <c r="Q45" s="6" t="s">
        <v>92</v>
      </c>
    </row>
    <row r="46" ht="16.8" spans="1:17">
      <c r="A46" s="5"/>
      <c r="B46" s="4" t="s">
        <v>63</v>
      </c>
      <c r="C46" s="30">
        <f t="shared" ref="C46:N46" si="23">C16*$P$46</f>
        <v>15485.6991150442</v>
      </c>
      <c r="D46" s="30">
        <f t="shared" si="23"/>
        <v>16747.1681415929</v>
      </c>
      <c r="E46" s="30">
        <f t="shared" si="23"/>
        <v>13201.8761061947</v>
      </c>
      <c r="F46" s="30">
        <f t="shared" si="23"/>
        <v>11766.407079646</v>
      </c>
      <c r="G46" s="30">
        <f t="shared" si="23"/>
        <v>21834.389380531</v>
      </c>
      <c r="H46" s="30">
        <f t="shared" si="23"/>
        <v>20029.3628318584</v>
      </c>
      <c r="I46" s="30">
        <f t="shared" si="23"/>
        <v>15268.1946902655</v>
      </c>
      <c r="J46" s="30">
        <f t="shared" si="23"/>
        <v>19705.1150442478</v>
      </c>
      <c r="K46" s="30">
        <f t="shared" si="23"/>
        <v>15072.4601769912</v>
      </c>
      <c r="L46" s="30">
        <f t="shared" si="23"/>
        <v>22206.3185840708</v>
      </c>
      <c r="M46" s="30">
        <f t="shared" si="23"/>
        <v>25164.2654867257</v>
      </c>
      <c r="N46" s="30">
        <f t="shared" si="23"/>
        <v>20988.7787610619</v>
      </c>
      <c r="O46" s="5">
        <f t="shared" ref="O46:O60" si="24">SUM(C46:N46)</f>
        <v>217470.03539823</v>
      </c>
      <c r="P46" s="29">
        <v>0.02</v>
      </c>
      <c r="Q46" s="4" t="s">
        <v>83</v>
      </c>
    </row>
    <row r="47" ht="16.8" spans="1:17">
      <c r="B47" s="17" t="s">
        <v>65</v>
      </c>
      <c r="C47" s="18">
        <f t="shared" ref="C47:N47" si="25">SUM(C48:C51)</f>
        <v>0</v>
      </c>
      <c r="D47" s="18">
        <f t="shared" si="25"/>
        <v>0</v>
      </c>
      <c r="E47" s="18">
        <f t="shared" si="25"/>
        <v>0</v>
      </c>
      <c r="F47" s="18">
        <f t="shared" si="25"/>
        <v>0</v>
      </c>
      <c r="G47" s="18">
        <f t="shared" si="25"/>
        <v>0</v>
      </c>
      <c r="H47" s="18">
        <f t="shared" si="25"/>
        <v>0</v>
      </c>
      <c r="I47" s="18">
        <f t="shared" si="25"/>
        <v>0</v>
      </c>
      <c r="J47" s="18">
        <f t="shared" si="25"/>
        <v>0</v>
      </c>
      <c r="K47" s="18">
        <f t="shared" si="25"/>
        <v>0</v>
      </c>
      <c r="L47" s="18">
        <f t="shared" si="25"/>
        <v>0</v>
      </c>
      <c r="M47" s="18">
        <f t="shared" si="25"/>
        <v>0</v>
      </c>
      <c r="N47" s="18">
        <f t="shared" si="25"/>
        <v>0</v>
      </c>
      <c r="O47" s="18">
        <f t="shared" si="24"/>
        <v>0</v>
      </c>
      <c r="P47" s="23">
        <f t="shared" ref="P47:P52" si="26">O47/$O$16</f>
        <v>0</v>
      </c>
      <c r="Q47" s="6"/>
    </row>
    <row r="48" ht="16.8" spans="1:17">
      <c r="A48" s="5"/>
      <c r="B48" s="4" t="s">
        <v>66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5">
        <f t="shared" si="24"/>
        <v>0</v>
      </c>
      <c r="P48" s="29">
        <f t="shared" si="26"/>
        <v>0</v>
      </c>
      <c r="Q48" s="4" t="s">
        <v>95</v>
      </c>
    </row>
    <row r="49" ht="16.8" spans="1:18">
      <c r="A49" s="5"/>
      <c r="B49" s="4" t="s">
        <v>67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5">
        <f t="shared" si="24"/>
        <v>0</v>
      </c>
      <c r="P49" s="29">
        <f t="shared" si="26"/>
        <v>0</v>
      </c>
      <c r="Q49" s="4" t="s">
        <v>95</v>
      </c>
    </row>
    <row r="50" ht="16.8" spans="1:18">
      <c r="A50" s="5"/>
      <c r="B50" s="4" t="s">
        <v>68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5">
        <f t="shared" si="24"/>
        <v>0</v>
      </c>
      <c r="P50" s="29">
        <f t="shared" si="26"/>
        <v>0</v>
      </c>
      <c r="Q50" s="4" t="s">
        <v>95</v>
      </c>
    </row>
    <row r="51" ht="16.8" spans="1:18">
      <c r="B51" s="4" t="s">
        <v>69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5">
        <f t="shared" si="24"/>
        <v>0</v>
      </c>
      <c r="P51" s="29">
        <f t="shared" si="26"/>
        <v>0</v>
      </c>
      <c r="Q51" s="4" t="s">
        <v>95</v>
      </c>
    </row>
    <row r="52" ht="16.8" spans="1:18">
      <c r="B52" s="21" t="s">
        <v>70</v>
      </c>
      <c r="C52" s="22">
        <f t="shared" ref="C52:N52" si="27">SUM(C26,C37,C44,C47)</f>
        <v>159542.45786754</v>
      </c>
      <c r="D52" s="22">
        <f t="shared" si="27"/>
        <v>244648.277497201</v>
      </c>
      <c r="E52" s="22">
        <f t="shared" si="27"/>
        <v>202860.812112247</v>
      </c>
      <c r="F52" s="22">
        <f t="shared" si="27"/>
        <v>161037.550566507</v>
      </c>
      <c r="G52" s="22">
        <f t="shared" si="27"/>
        <v>425899.13816849</v>
      </c>
      <c r="H52" s="22">
        <f t="shared" si="27"/>
        <v>362329.494334802</v>
      </c>
      <c r="I52" s="22">
        <f t="shared" si="27"/>
        <v>171192.485018549</v>
      </c>
      <c r="J52" s="22">
        <f t="shared" si="27"/>
        <v>307509.965649769</v>
      </c>
      <c r="K52" s="22">
        <f t="shared" si="27"/>
        <v>173091.112595779</v>
      </c>
      <c r="L52" s="22">
        <f t="shared" si="27"/>
        <v>348746.669546767</v>
      </c>
      <c r="M52" s="22">
        <f t="shared" si="27"/>
        <v>306966.505089556</v>
      </c>
      <c r="N52" s="22">
        <f t="shared" si="27"/>
        <v>208570.5344663</v>
      </c>
      <c r="O52" s="22">
        <f t="shared" si="24"/>
        <v>3072395.00291351</v>
      </c>
      <c r="P52" s="24">
        <f t="shared" si="26"/>
        <v>0.282558008259607</v>
      </c>
      <c r="Q52" s="6"/>
    </row>
    <row r="53" ht="16.8" spans="1:18">
      <c r="A53" s="5"/>
      <c r="B53" s="4" t="s">
        <v>71</v>
      </c>
      <c r="C53" s="30">
        <f t="shared" ref="C53:N53" si="28">C16*$P$53</f>
        <v>23228.5486725664</v>
      </c>
      <c r="D53" s="30">
        <f t="shared" si="28"/>
        <v>25120.7522123894</v>
      </c>
      <c r="E53" s="30">
        <f t="shared" si="28"/>
        <v>19802.814159292</v>
      </c>
      <c r="F53" s="30">
        <f t="shared" si="28"/>
        <v>17649.610619469</v>
      </c>
      <c r="G53" s="30">
        <f t="shared" si="28"/>
        <v>32751.5840707965</v>
      </c>
      <c r="H53" s="30">
        <f t="shared" si="28"/>
        <v>30044.0442477876</v>
      </c>
      <c r="I53" s="30">
        <f t="shared" si="28"/>
        <v>22902.2920353982</v>
      </c>
      <c r="J53" s="30">
        <f t="shared" si="28"/>
        <v>29557.6725663717</v>
      </c>
      <c r="K53" s="30">
        <f t="shared" si="28"/>
        <v>22608.6902654867</v>
      </c>
      <c r="L53" s="30">
        <f t="shared" si="28"/>
        <v>33309.4778761062</v>
      </c>
      <c r="M53" s="30">
        <f t="shared" si="28"/>
        <v>37746.3982300885</v>
      </c>
      <c r="N53" s="30">
        <f t="shared" si="28"/>
        <v>31483.1681415929</v>
      </c>
      <c r="O53" s="5">
        <f t="shared" si="24"/>
        <v>326205.053097345</v>
      </c>
      <c r="P53" s="29">
        <v>0.03</v>
      </c>
      <c r="Q53" s="6"/>
    </row>
    <row r="54" ht="16.8" spans="1:18">
      <c r="A54" s="5"/>
      <c r="B54" s="4" t="s">
        <v>73</v>
      </c>
      <c r="C54" s="30">
        <f t="shared" ref="C54:N54" si="29">C16*$P$54</f>
        <v>10839.989380531</v>
      </c>
      <c r="D54" s="30">
        <f t="shared" si="29"/>
        <v>11723.017699115</v>
      </c>
      <c r="E54" s="30">
        <f t="shared" si="29"/>
        <v>9241.31327433628</v>
      </c>
      <c r="F54" s="30">
        <f t="shared" si="29"/>
        <v>8236.48495575221</v>
      </c>
      <c r="G54" s="30">
        <f t="shared" si="29"/>
        <v>15284.0725663717</v>
      </c>
      <c r="H54" s="30">
        <f t="shared" si="29"/>
        <v>14020.5539823009</v>
      </c>
      <c r="I54" s="30">
        <f t="shared" si="29"/>
        <v>10687.7362831858</v>
      </c>
      <c r="J54" s="30">
        <f t="shared" si="29"/>
        <v>13793.5805309735</v>
      </c>
      <c r="K54" s="30">
        <f t="shared" si="29"/>
        <v>10550.7221238938</v>
      </c>
      <c r="L54" s="30">
        <f t="shared" si="29"/>
        <v>15544.4230088496</v>
      </c>
      <c r="M54" s="30">
        <f t="shared" si="29"/>
        <v>17614.985840708</v>
      </c>
      <c r="N54" s="30">
        <f t="shared" si="29"/>
        <v>14692.1451327434</v>
      </c>
      <c r="O54" s="5">
        <f t="shared" si="24"/>
        <v>152229.024778761</v>
      </c>
      <c r="P54" s="29">
        <v>0.014</v>
      </c>
      <c r="Q54" s="6"/>
    </row>
    <row r="55" ht="16.8" spans="1:18">
      <c r="A55" s="5"/>
      <c r="B55" s="4" t="s">
        <v>75</v>
      </c>
      <c r="C55" s="30">
        <v>57622.5578087674</v>
      </c>
      <c r="D55" s="30">
        <v>37680.0405632268</v>
      </c>
      <c r="E55" s="30">
        <v>29390.1382146135</v>
      </c>
      <c r="F55" s="30">
        <v>45229.7545546737</v>
      </c>
      <c r="G55" s="30">
        <v>38843.1859045013</v>
      </c>
      <c r="H55" s="30">
        <v>27212.3324307408</v>
      </c>
      <c r="I55" s="30">
        <v>37914.3167366938</v>
      </c>
      <c r="J55" s="30">
        <v>29332.5168021428</v>
      </c>
      <c r="K55" s="30">
        <v>40418.3529783929</v>
      </c>
      <c r="L55" s="30">
        <v>31903.2826208962</v>
      </c>
      <c r="M55" s="30">
        <v>27943.5489730927</v>
      </c>
      <c r="N55" s="30">
        <v>27263.8726435045</v>
      </c>
      <c r="O55" s="5">
        <f t="shared" si="24"/>
        <v>430753.900231246</v>
      </c>
      <c r="P55" s="29">
        <v>0.03</v>
      </c>
      <c r="Q55" s="6"/>
    </row>
    <row r="56" ht="16.8" spans="1:18">
      <c r="A56" s="5"/>
      <c r="B56" s="4" t="s">
        <v>77</v>
      </c>
      <c r="C56" s="30">
        <f t="shared" ref="C56:N56" si="30">C16*$P$56</f>
        <v>774.284955752212</v>
      </c>
      <c r="D56" s="30">
        <f t="shared" si="30"/>
        <v>837.358407079646</v>
      </c>
      <c r="E56" s="30">
        <f t="shared" si="30"/>
        <v>660.093805309735</v>
      </c>
      <c r="F56" s="30">
        <f t="shared" si="30"/>
        <v>588.320353982301</v>
      </c>
      <c r="G56" s="30">
        <f t="shared" si="30"/>
        <v>1091.71946902655</v>
      </c>
      <c r="H56" s="30">
        <f t="shared" si="30"/>
        <v>1001.46814159292</v>
      </c>
      <c r="I56" s="30">
        <f t="shared" si="30"/>
        <v>763.409734513274</v>
      </c>
      <c r="J56" s="30">
        <f t="shared" si="30"/>
        <v>985.25575221239</v>
      </c>
      <c r="K56" s="30">
        <f t="shared" si="30"/>
        <v>753.623008849558</v>
      </c>
      <c r="L56" s="30">
        <f t="shared" si="30"/>
        <v>1110.31592920354</v>
      </c>
      <c r="M56" s="30">
        <f t="shared" si="30"/>
        <v>1258.21327433628</v>
      </c>
      <c r="N56" s="30">
        <f t="shared" si="30"/>
        <v>1049.4389380531</v>
      </c>
      <c r="O56" s="5">
        <f t="shared" si="24"/>
        <v>10873.5017699115</v>
      </c>
      <c r="P56" s="29">
        <v>0.001</v>
      </c>
      <c r="Q56" s="6"/>
    </row>
    <row r="57" ht="16.8" spans="1:18">
      <c r="A57" s="5"/>
      <c r="B57" s="4" t="s">
        <v>79</v>
      </c>
      <c r="C57" s="30">
        <v>6817.8984919301</v>
      </c>
      <c r="E57" s="30"/>
      <c r="F57" s="30"/>
      <c r="G57" s="30">
        <v>2727.15939677204</v>
      </c>
      <c r="H57" s="30"/>
      <c r="I57" s="30"/>
      <c r="J57" s="30"/>
      <c r="K57" s="30"/>
      <c r="L57" s="30">
        <v>2727.15939677204</v>
      </c>
      <c r="M57" s="30"/>
      <c r="N57" s="30">
        <v>8181.47819031611</v>
      </c>
      <c r="O57" s="5">
        <f t="shared" si="24"/>
        <v>20453.6954757903</v>
      </c>
      <c r="P57" s="29">
        <f>O57/$O$16</f>
        <v>0.00188105873421463</v>
      </c>
      <c r="Q57" s="4"/>
    </row>
    <row r="58" ht="16.8" spans="1:18">
      <c r="B58" s="21" t="s">
        <v>80</v>
      </c>
      <c r="C58" s="22">
        <f t="shared" ref="C58:N58" si="31">SUM(C53:C57)</f>
        <v>99283.279309547</v>
      </c>
      <c r="D58" s="22">
        <f t="shared" si="31"/>
        <v>75361.1688818109</v>
      </c>
      <c r="E58" s="22">
        <f t="shared" si="31"/>
        <v>59094.3594535516</v>
      </c>
      <c r="F58" s="22">
        <f t="shared" si="31"/>
        <v>71704.1704838773</v>
      </c>
      <c r="G58" s="22">
        <f t="shared" si="31"/>
        <v>90697.721407468</v>
      </c>
      <c r="H58" s="22">
        <f t="shared" si="31"/>
        <v>72278.3988024222</v>
      </c>
      <c r="I58" s="22">
        <f t="shared" si="31"/>
        <v>72267.7547897912</v>
      </c>
      <c r="J58" s="22">
        <f t="shared" si="31"/>
        <v>73669.0256517003</v>
      </c>
      <c r="K58" s="22">
        <f t="shared" si="31"/>
        <v>74331.388376623</v>
      </c>
      <c r="L58" s="22">
        <f t="shared" si="31"/>
        <v>84594.6588318276</v>
      </c>
      <c r="M58" s="22">
        <f t="shared" si="31"/>
        <v>84563.1463182255</v>
      </c>
      <c r="N58" s="22">
        <f t="shared" si="31"/>
        <v>82670.10304621</v>
      </c>
      <c r="O58" s="22">
        <f t="shared" si="24"/>
        <v>940515.175353054</v>
      </c>
      <c r="P58" s="24">
        <f>O58/$O$16</f>
        <v>0.0864960704706547</v>
      </c>
      <c r="Q58" s="6"/>
    </row>
    <row r="59" ht="16.8" spans="1:18">
      <c r="A59" s="7"/>
      <c r="B59" s="12" t="s">
        <v>81</v>
      </c>
      <c r="C59" s="13">
        <f t="shared" ref="C59:N59" si="32">SUM(C52,C58)</f>
        <v>258825.737177087</v>
      </c>
      <c r="D59" s="13">
        <f t="shared" si="32"/>
        <v>320009.446379011</v>
      </c>
      <c r="E59" s="13">
        <f t="shared" si="32"/>
        <v>261955.171565799</v>
      </c>
      <c r="F59" s="13">
        <f t="shared" si="32"/>
        <v>232741.721050385</v>
      </c>
      <c r="G59" s="13">
        <f t="shared" si="32"/>
        <v>516596.859575958</v>
      </c>
      <c r="H59" s="13">
        <f t="shared" si="32"/>
        <v>434607.893137225</v>
      </c>
      <c r="I59" s="13">
        <f t="shared" si="32"/>
        <v>243460.239808341</v>
      </c>
      <c r="J59" s="13">
        <f t="shared" si="32"/>
        <v>381178.99130147</v>
      </c>
      <c r="K59" s="13">
        <f t="shared" si="32"/>
        <v>247422.500972402</v>
      </c>
      <c r="L59" s="13">
        <f t="shared" si="32"/>
        <v>433341.328378594</v>
      </c>
      <c r="M59" s="13">
        <f t="shared" si="32"/>
        <v>391529.651407781</v>
      </c>
      <c r="N59" s="13">
        <f t="shared" si="32"/>
        <v>291240.63751251</v>
      </c>
      <c r="O59" s="13">
        <f t="shared" si="24"/>
        <v>4012910.17826656</v>
      </c>
      <c r="P59" s="27">
        <f>O59/$O$16</f>
        <v>0.369054078730262</v>
      </c>
      <c r="Q59" s="32"/>
      <c r="R59" s="33"/>
    </row>
    <row r="60" ht="16.8" spans="1:18">
      <c r="A60" s="7"/>
      <c r="B60" s="12" t="s">
        <v>82</v>
      </c>
      <c r="C60" s="13">
        <f t="shared" ref="C60:N60" si="33">C22-C59</f>
        <v>117103.759711325</v>
      </c>
      <c r="D60" s="13">
        <f t="shared" si="33"/>
        <v>88284.7578319723</v>
      </c>
      <c r="E60" s="13">
        <f t="shared" si="33"/>
        <v>42195.6033851724</v>
      </c>
      <c r="F60" s="13">
        <f t="shared" si="33"/>
        <v>37519.7955109303</v>
      </c>
      <c r="G60" s="13">
        <f t="shared" si="33"/>
        <v>46375.3745846506</v>
      </c>
      <c r="H60" s="13">
        <f t="shared" si="33"/>
        <v>74536.5395981381</v>
      </c>
      <c r="I60" s="13">
        <f t="shared" si="33"/>
        <v>171815.470799678</v>
      </c>
      <c r="J60" s="13">
        <f t="shared" si="33"/>
        <v>155937.765459314</v>
      </c>
      <c r="K60" s="13">
        <f t="shared" si="33"/>
        <v>169018.920211915</v>
      </c>
      <c r="L60" s="13">
        <f t="shared" si="33"/>
        <v>187769.84810414</v>
      </c>
      <c r="M60" s="13">
        <f t="shared" si="33"/>
        <v>324359.533463859</v>
      </c>
      <c r="N60" s="13">
        <f t="shared" si="33"/>
        <v>310079.315876212</v>
      </c>
      <c r="O60" s="13">
        <f t="shared" si="24"/>
        <v>1724996.68453731</v>
      </c>
      <c r="P60" s="27">
        <f>O60/$O$16</f>
        <v>0.158642240654305</v>
      </c>
      <c r="Q60" s="32"/>
      <c r="R60" s="34"/>
    </row>
    <row r="61" spans="1:18">
      <c r="Q61" s="6"/>
    </row>
    <row r="62" spans="1:18">
      <c r="B62" s="61" t="s">
        <v>117</v>
      </c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35"/>
      <c r="Q62" s="6"/>
    </row>
    <row r="63" ht="16.8" spans="1:18">
      <c r="B63" s="63" t="s">
        <v>118</v>
      </c>
      <c r="C63" s="63">
        <v>366.6</v>
      </c>
      <c r="D63" s="63">
        <v>362.6</v>
      </c>
      <c r="E63" s="63">
        <v>362.8</v>
      </c>
      <c r="F63" s="63">
        <v>357</v>
      </c>
      <c r="G63" s="63">
        <v>376.4</v>
      </c>
      <c r="H63" s="63">
        <v>376.1</v>
      </c>
      <c r="I63" s="63">
        <v>401.9</v>
      </c>
      <c r="J63" s="63">
        <v>400.9</v>
      </c>
      <c r="K63" s="63">
        <v>401.8</v>
      </c>
      <c r="L63" s="63">
        <v>398.6</v>
      </c>
      <c r="M63" s="63">
        <v>397.7</v>
      </c>
      <c r="N63" s="63">
        <v>392.4</v>
      </c>
      <c r="Q63" s="6"/>
    </row>
    <row r="64" ht="16.8" spans="1:18">
      <c r="B64" s="63" t="s">
        <v>119</v>
      </c>
      <c r="C64" s="63">
        <v>158.8</v>
      </c>
      <c r="D64" s="63">
        <v>156.4</v>
      </c>
      <c r="E64" s="63">
        <v>165.1</v>
      </c>
      <c r="F64" s="63">
        <v>162.9</v>
      </c>
      <c r="G64" s="63">
        <v>153</v>
      </c>
      <c r="H64" s="63">
        <v>155.3</v>
      </c>
      <c r="I64" s="63">
        <v>153.3</v>
      </c>
      <c r="J64" s="63">
        <v>152.5</v>
      </c>
      <c r="K64" s="63">
        <v>150.2</v>
      </c>
      <c r="L64" s="63">
        <v>146.6</v>
      </c>
      <c r="M64" s="63">
        <v>142.9</v>
      </c>
      <c r="N64" s="63">
        <v>139.6</v>
      </c>
      <c r="Q64" s="6"/>
    </row>
    <row r="65" spans="2:17">
      <c r="B65" s="61" t="s">
        <v>16</v>
      </c>
      <c r="C65" s="64">
        <f t="shared" ref="C65:N65" si="34">C8/C63</f>
        <v>2386.63938897981</v>
      </c>
      <c r="D65" s="64">
        <f t="shared" si="34"/>
        <v>2609.52840595698</v>
      </c>
      <c r="E65" s="64">
        <f t="shared" si="34"/>
        <v>2055.97023153252</v>
      </c>
      <c r="F65" s="64">
        <f t="shared" si="34"/>
        <v>1862.19047619048</v>
      </c>
      <c r="G65" s="64">
        <f t="shared" si="34"/>
        <v>3277.47874601488</v>
      </c>
      <c r="H65" s="64">
        <f t="shared" si="34"/>
        <v>3008.93113533635</v>
      </c>
      <c r="I65" s="64">
        <f t="shared" si="34"/>
        <v>2146.43692460811</v>
      </c>
      <c r="J65" s="64">
        <f t="shared" si="34"/>
        <v>2777.09902718883</v>
      </c>
      <c r="K65" s="64">
        <f t="shared" si="34"/>
        <v>2119.4474863116</v>
      </c>
      <c r="L65" s="64">
        <f t="shared" si="34"/>
        <v>3147.65930757652</v>
      </c>
      <c r="M65" s="64">
        <f t="shared" si="34"/>
        <v>3575.00880060347</v>
      </c>
      <c r="N65" s="64">
        <f t="shared" si="34"/>
        <v>3022.08460754332</v>
      </c>
      <c r="Q65" s="6"/>
    </row>
    <row r="66" spans="2:17">
      <c r="Q66" s="6"/>
    </row>
    <row r="67" spans="2:17">
      <c r="Q67" s="6"/>
    </row>
    <row r="68" spans="2:17">
      <c r="Q68" s="6"/>
    </row>
    <row r="69" spans="2:17">
      <c r="Q69" s="6"/>
    </row>
    <row r="70" spans="2:17">
      <c r="Q70" s="6"/>
    </row>
    <row r="71" spans="2:17">
      <c r="Q71" s="6"/>
    </row>
    <row r="72" spans="2:17">
      <c r="Q72" s="6"/>
    </row>
    <row r="73" spans="2:17">
      <c r="Q73" s="6"/>
    </row>
    <row r="74" spans="2:17">
      <c r="Q74" s="6"/>
    </row>
    <row r="75" spans="2:17">
      <c r="Q75" s="6"/>
    </row>
    <row r="76" spans="2:17">
      <c r="Q76" s="6"/>
    </row>
    <row r="77" spans="2:17">
      <c r="Q77" s="6"/>
    </row>
    <row r="78" spans="2:17">
      <c r="Q78" s="6"/>
    </row>
    <row r="79" spans="2:17">
      <c r="Q79" s="6"/>
    </row>
    <row r="80" spans="2:17">
      <c r="Q80" s="6"/>
    </row>
    <row r="81" spans="2:17">
      <c r="C81" s="35">
        <f t="shared" ref="C81:O81" si="35">C16-C18-C20-C26-C37-C44-C47-C58-C60</f>
        <v>0</v>
      </c>
      <c r="D81" s="35">
        <f t="shared" si="35"/>
        <v>0</v>
      </c>
      <c r="E81" s="35">
        <f t="shared" si="35"/>
        <v>0</v>
      </c>
      <c r="F81" s="35">
        <f t="shared" si="35"/>
        <v>0</v>
      </c>
      <c r="G81" s="35">
        <f t="shared" si="35"/>
        <v>-1.16415321826935e-10</v>
      </c>
      <c r="H81" s="35">
        <f t="shared" si="35"/>
        <v>0</v>
      </c>
      <c r="I81" s="35">
        <f t="shared" si="35"/>
        <v>0</v>
      </c>
      <c r="J81" s="35">
        <f t="shared" si="35"/>
        <v>0</v>
      </c>
      <c r="K81" s="35">
        <f t="shared" si="35"/>
        <v>0</v>
      </c>
      <c r="L81" s="35">
        <f t="shared" si="35"/>
        <v>0</v>
      </c>
      <c r="M81" s="35">
        <f t="shared" si="35"/>
        <v>0</v>
      </c>
      <c r="N81" s="35">
        <f t="shared" si="35"/>
        <v>0</v>
      </c>
      <c r="O81" s="35">
        <f t="shared" si="35"/>
        <v>0</v>
      </c>
      <c r="Q81" s="6"/>
    </row>
    <row r="82" spans="2:17">
      <c r="C82" s="53">
        <f t="shared" ref="C82:O82" si="36">C10-C11-C12-C13-C15</f>
        <v>0</v>
      </c>
      <c r="D82" s="53">
        <f t="shared" si="36"/>
        <v>0</v>
      </c>
      <c r="E82" s="53">
        <f t="shared" si="36"/>
        <v>0</v>
      </c>
      <c r="F82" s="53">
        <f t="shared" si="36"/>
        <v>0</v>
      </c>
      <c r="G82" s="53">
        <f t="shared" si="36"/>
        <v>0</v>
      </c>
      <c r="H82" s="53">
        <f t="shared" si="36"/>
        <v>0</v>
      </c>
      <c r="I82" s="53">
        <f t="shared" si="36"/>
        <v>0</v>
      </c>
      <c r="J82" s="53">
        <f t="shared" si="36"/>
        <v>0</v>
      </c>
      <c r="K82" s="53">
        <f t="shared" si="36"/>
        <v>0</v>
      </c>
      <c r="L82" s="53">
        <f t="shared" si="36"/>
        <v>0</v>
      </c>
      <c r="M82" s="53">
        <f t="shared" si="36"/>
        <v>0</v>
      </c>
      <c r="N82" s="53">
        <f t="shared" si="36"/>
        <v>0</v>
      </c>
      <c r="O82" s="53">
        <f t="shared" si="36"/>
        <v>0</v>
      </c>
      <c r="Q82" s="6"/>
    </row>
    <row r="83" spans="2:17">
      <c r="Q83" s="6"/>
    </row>
    <row r="84" spans="2:17">
      <c r="Q84" s="6"/>
    </row>
    <row r="85" spans="2:17">
      <c r="Q85" s="6"/>
    </row>
    <row r="86" spans="2:17">
      <c r="Q86" s="6"/>
    </row>
    <row r="87" spans="2:17">
      <c r="Q87" s="6"/>
    </row>
    <row r="88" spans="2:17">
      <c r="Q88" s="6"/>
    </row>
    <row r="89" spans="2:17">
      <c r="Q89" s="6"/>
    </row>
    <row r="90" spans="2:17">
      <c r="Q90" s="6"/>
    </row>
    <row r="91" spans="2:17">
      <c r="Q91" s="6"/>
    </row>
    <row r="92" spans="2:17">
      <c r="Q92" s="6"/>
    </row>
    <row r="93" spans="2:17">
      <c r="B93" s="6" t="s">
        <v>120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Q93" s="6"/>
    </row>
    <row r="94" ht="16.8" spans="2:17">
      <c r="B94" s="17" t="s">
        <v>39</v>
      </c>
      <c r="C94" s="37">
        <f t="shared" ref="C94:N94" si="37">SUM(C95:C99)</f>
        <v>0</v>
      </c>
      <c r="D94" s="37">
        <f t="shared" si="37"/>
        <v>0</v>
      </c>
      <c r="E94" s="37">
        <f t="shared" si="37"/>
        <v>0</v>
      </c>
      <c r="F94" s="37">
        <f t="shared" si="37"/>
        <v>0</v>
      </c>
      <c r="G94" s="37">
        <f t="shared" si="37"/>
        <v>0</v>
      </c>
      <c r="H94" s="37">
        <f t="shared" si="37"/>
        <v>0</v>
      </c>
      <c r="I94" s="37">
        <f t="shared" si="37"/>
        <v>0</v>
      </c>
      <c r="J94" s="37">
        <f t="shared" si="37"/>
        <v>0</v>
      </c>
      <c r="K94" s="37">
        <f t="shared" si="37"/>
        <v>0</v>
      </c>
      <c r="L94" s="37">
        <f t="shared" si="37"/>
        <v>0</v>
      </c>
      <c r="M94" s="37">
        <f t="shared" si="37"/>
        <v>0</v>
      </c>
      <c r="N94" s="37">
        <f t="shared" si="37"/>
        <v>0</v>
      </c>
      <c r="Q94" s="6"/>
    </row>
    <row r="95" ht="16.8" spans="2:17">
      <c r="B95" s="4" t="s">
        <v>40</v>
      </c>
      <c r="C95" s="45">
        <f>'线下门店-小计'!C27*(C15/('26年全渠道汇总'!C15-'线下门店-小计'!C15))</f>
        <v>0</v>
      </c>
      <c r="D95" s="45">
        <f>'线下门店-小计'!D27*(D15/('26年全渠道汇总'!D15-'线下门店-小计'!D15))</f>
        <v>0</v>
      </c>
      <c r="E95" s="45">
        <f>'线下门店-小计'!E27*(E15/('26年全渠道汇总'!E15-'线下门店-小计'!E15))</f>
        <v>0</v>
      </c>
      <c r="F95" s="45">
        <f>'线下门店-小计'!F27*(F15/('26年全渠道汇总'!F15-'线下门店-小计'!F15))</f>
        <v>0</v>
      </c>
      <c r="G95" s="45">
        <f>'线下门店-小计'!G27*(G15/('26年全渠道汇总'!G15-'线下门店-小计'!G15))</f>
        <v>0</v>
      </c>
      <c r="H95" s="45">
        <f>'线下门店-小计'!H27*(H15/('26年全渠道汇总'!H15-'线下门店-小计'!H15))</f>
        <v>0</v>
      </c>
      <c r="I95" s="45">
        <f>'线下门店-小计'!I27*(I15/('26年全渠道汇总'!I15-'线下门店-小计'!I15))</f>
        <v>0</v>
      </c>
      <c r="J95" s="45">
        <f>'线下门店-小计'!J27*(J15/('26年全渠道汇总'!J15-'线下门店-小计'!J15))</f>
        <v>0</v>
      </c>
      <c r="K95" s="45">
        <f>'线下门店-小计'!K27*(K15/('26年全渠道汇总'!K15-'线下门店-小计'!K15))</f>
        <v>0</v>
      </c>
      <c r="L95" s="45">
        <f>'线下门店-小计'!L27*(L15/('26年全渠道汇总'!L15-'线下门店-小计'!L15))</f>
        <v>0</v>
      </c>
      <c r="M95" s="45">
        <f>'线下门店-小计'!M27*(M15/('26年全渠道汇总'!M15-'线下门店-小计'!M15))</f>
        <v>0</v>
      </c>
      <c r="N95" s="45">
        <f>'线下门店-小计'!N27*(N15/('26年全渠道汇总'!N15-'线下门店-小计'!N15))</f>
        <v>0</v>
      </c>
      <c r="Q95" s="6"/>
    </row>
    <row r="96" ht="16.8" spans="2:17">
      <c r="B96" s="4" t="s">
        <v>41</v>
      </c>
      <c r="C96" s="45">
        <f>'线下门店-小计'!C28*(C15/('26年全渠道汇总'!C15-'线下门店-小计'!C15))</f>
        <v>0</v>
      </c>
      <c r="D96" s="45">
        <f>'线下门店-小计'!D28*(D15/('26年全渠道汇总'!D15-'线下门店-小计'!D15))</f>
        <v>0</v>
      </c>
      <c r="E96" s="45">
        <f>'线下门店-小计'!E28*(E15/('26年全渠道汇总'!E15-'线下门店-小计'!E15))</f>
        <v>0</v>
      </c>
      <c r="F96" s="45">
        <f>'线下门店-小计'!F28*(F15/('26年全渠道汇总'!F15-'线下门店-小计'!F15))</f>
        <v>0</v>
      </c>
      <c r="G96" s="45">
        <f>'线下门店-小计'!G28*(G15/('26年全渠道汇总'!G15-'线下门店-小计'!G15))</f>
        <v>0</v>
      </c>
      <c r="H96" s="45">
        <f>'线下门店-小计'!H28*(H15/('26年全渠道汇总'!H15-'线下门店-小计'!H15))</f>
        <v>0</v>
      </c>
      <c r="I96" s="45">
        <f>'线下门店-小计'!I28*(I15/('26年全渠道汇总'!I15-'线下门店-小计'!I15))</f>
        <v>0</v>
      </c>
      <c r="J96" s="45">
        <f>'线下门店-小计'!J28*(J15/('26年全渠道汇总'!J15-'线下门店-小计'!J15))</f>
        <v>0</v>
      </c>
      <c r="K96" s="45">
        <f>'线下门店-小计'!K28*(K15/('26年全渠道汇总'!K15-'线下门店-小计'!K15))</f>
        <v>0</v>
      </c>
      <c r="L96" s="45">
        <f>'线下门店-小计'!L28*(L15/('26年全渠道汇总'!L15-'线下门店-小计'!L15))</f>
        <v>0</v>
      </c>
      <c r="M96" s="45">
        <f>'线下门店-小计'!M28*(M15/('26年全渠道汇总'!M15-'线下门店-小计'!M15))</f>
        <v>0</v>
      </c>
      <c r="N96" s="45">
        <f>'线下门店-小计'!N28*(N15/('26年全渠道汇总'!N15-'线下门店-小计'!N15))</f>
        <v>0</v>
      </c>
      <c r="Q96" s="6"/>
    </row>
    <row r="97" ht="16.8" spans="2:17">
      <c r="B97" s="4" t="s">
        <v>42</v>
      </c>
      <c r="C97" s="45">
        <f>'线下门店-小计'!C29*(C15/('26年全渠道汇总'!C15-'线下门店-小计'!C15))</f>
        <v>0</v>
      </c>
      <c r="D97" s="45">
        <f>'线下门店-小计'!D29*(D15/('26年全渠道汇总'!D15-'线下门店-小计'!D15))</f>
        <v>0</v>
      </c>
      <c r="E97" s="45">
        <f>'线下门店-小计'!E29*(E15/('26年全渠道汇总'!E15-'线下门店-小计'!E15))</f>
        <v>0</v>
      </c>
      <c r="F97" s="45">
        <f>'线下门店-小计'!F29*(F15/('26年全渠道汇总'!F15-'线下门店-小计'!F15))</f>
        <v>0</v>
      </c>
      <c r="G97" s="45">
        <f>'线下门店-小计'!G29*(G15/('26年全渠道汇总'!G15-'线下门店-小计'!G15))</f>
        <v>0</v>
      </c>
      <c r="H97" s="45">
        <f>'线下门店-小计'!H29*(H15/('26年全渠道汇总'!H15-'线下门店-小计'!H15))</f>
        <v>0</v>
      </c>
      <c r="I97" s="45">
        <f>'线下门店-小计'!I29*(I15/('26年全渠道汇总'!I15-'线下门店-小计'!I15))</f>
        <v>0</v>
      </c>
      <c r="J97" s="45">
        <f>'线下门店-小计'!J29*(J15/('26年全渠道汇总'!J15-'线下门店-小计'!J15))</f>
        <v>0</v>
      </c>
      <c r="K97" s="45">
        <f>'线下门店-小计'!K29*(K15/('26年全渠道汇总'!K15-'线下门店-小计'!K15))</f>
        <v>0</v>
      </c>
      <c r="L97" s="45">
        <f>'线下门店-小计'!L29*(L15/('26年全渠道汇总'!L15-'线下门店-小计'!L15))</f>
        <v>0</v>
      </c>
      <c r="M97" s="45">
        <f>'线下门店-小计'!M29*(M15/('26年全渠道汇总'!M15-'线下门店-小计'!M15))</f>
        <v>0</v>
      </c>
      <c r="N97" s="45">
        <f>'线下门店-小计'!N29*(N15/('26年全渠道汇总'!N15-'线下门店-小计'!N15))</f>
        <v>0</v>
      </c>
      <c r="Q97" s="6"/>
    </row>
    <row r="98" ht="16.8" spans="2:17">
      <c r="B98" s="4" t="s">
        <v>43</v>
      </c>
      <c r="C98" s="45">
        <f>'线下门店-小计'!C30*(C15/('26年全渠道汇总'!C15-'线下门店-小计'!C15))</f>
        <v>0</v>
      </c>
      <c r="D98" s="45">
        <f>'线下门店-小计'!D30*(D15/('26年全渠道汇总'!D15-'线下门店-小计'!D15))</f>
        <v>0</v>
      </c>
      <c r="E98" s="45">
        <f>'线下门店-小计'!E30*(E15/('26年全渠道汇总'!E15-'线下门店-小计'!E15))</f>
        <v>0</v>
      </c>
      <c r="F98" s="45">
        <f>'线下门店-小计'!F30*(F15/('26年全渠道汇总'!F15-'线下门店-小计'!F15))</f>
        <v>0</v>
      </c>
      <c r="G98" s="45">
        <f>'线下门店-小计'!G30*(G15/('26年全渠道汇总'!G15-'线下门店-小计'!G15))</f>
        <v>0</v>
      </c>
      <c r="H98" s="45">
        <f>'线下门店-小计'!H30*(H15/('26年全渠道汇总'!H15-'线下门店-小计'!H15))</f>
        <v>0</v>
      </c>
      <c r="I98" s="45">
        <f>'线下门店-小计'!I30*(I15/('26年全渠道汇总'!I15-'线下门店-小计'!I15))</f>
        <v>0</v>
      </c>
      <c r="J98" s="45">
        <f>'线下门店-小计'!J30*(J15/('26年全渠道汇总'!J15-'线下门店-小计'!J15))</f>
        <v>0</v>
      </c>
      <c r="K98" s="45">
        <f>'线下门店-小计'!K30*(K15/('26年全渠道汇总'!K15-'线下门店-小计'!K15))</f>
        <v>0</v>
      </c>
      <c r="L98" s="45">
        <f>'线下门店-小计'!L30*(L15/('26年全渠道汇总'!L15-'线下门店-小计'!L15))</f>
        <v>0</v>
      </c>
      <c r="M98" s="45">
        <f>'线下门店-小计'!M30*(M15/('26年全渠道汇总'!M15-'线下门店-小计'!M15))</f>
        <v>0</v>
      </c>
      <c r="N98" s="45">
        <f>'线下门店-小计'!N30*(N15/('26年全渠道汇总'!N15-'线下门店-小计'!N15))</f>
        <v>0</v>
      </c>
      <c r="Q98" s="6"/>
    </row>
    <row r="99" ht="16.8" spans="2:17">
      <c r="B99" s="4" t="s">
        <v>44</v>
      </c>
      <c r="C99" s="45">
        <f>'线下门店-小计'!C31*(C15/('26年全渠道汇总'!C15-'线下门店-小计'!C15))</f>
        <v>0</v>
      </c>
      <c r="D99" s="45">
        <f>'线下门店-小计'!D31*(D15/('26年全渠道汇总'!D15-'线下门店-小计'!D15))</f>
        <v>0</v>
      </c>
      <c r="E99" s="45">
        <f>'线下门店-小计'!E31*(E15/('26年全渠道汇总'!E15-'线下门店-小计'!E15))</f>
        <v>0</v>
      </c>
      <c r="F99" s="45">
        <f>'线下门店-小计'!F31*(F15/('26年全渠道汇总'!F15-'线下门店-小计'!F15))</f>
        <v>0</v>
      </c>
      <c r="G99" s="45">
        <f>'线下门店-小计'!G31*(G15/('26年全渠道汇总'!G15-'线下门店-小计'!G15))</f>
        <v>0</v>
      </c>
      <c r="H99" s="45">
        <f>'线下门店-小计'!H31*(H15/('26年全渠道汇总'!H15-'线下门店-小计'!H15))</f>
        <v>0</v>
      </c>
      <c r="I99" s="45">
        <f>'线下门店-小计'!I31*(I15/('26年全渠道汇总'!I15-'线下门店-小计'!I15))</f>
        <v>0</v>
      </c>
      <c r="J99" s="45">
        <f>'线下门店-小计'!J31*(J15/('26年全渠道汇总'!J15-'线下门店-小计'!J15))</f>
        <v>0</v>
      </c>
      <c r="K99" s="45">
        <f>'线下门店-小计'!K31*(K15/('26年全渠道汇总'!K15-'线下门店-小计'!K15))</f>
        <v>0</v>
      </c>
      <c r="L99" s="45">
        <f>'线下门店-小计'!L31*(L15/('26年全渠道汇总'!L15-'线下门店-小计'!L15))</f>
        <v>0</v>
      </c>
      <c r="M99" s="45">
        <f>'线下门店-小计'!M31*(M15/('26年全渠道汇总'!M15-'线下门店-小计'!M15))</f>
        <v>0</v>
      </c>
      <c r="N99" s="45">
        <f>'线下门店-小计'!N31*(N15/('26年全渠道汇总'!N15-'线下门店-小计'!N15))</f>
        <v>0</v>
      </c>
      <c r="Q99" s="6"/>
    </row>
    <row r="100" spans="2:17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Q100" s="6"/>
    </row>
    <row r="101" spans="2:17">
      <c r="B101" s="6" t="s">
        <v>121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Q101" s="6"/>
    </row>
    <row r="102" ht="16.8" spans="2:17">
      <c r="B102" s="17" t="s">
        <v>39</v>
      </c>
      <c r="C102" s="37">
        <f t="shared" ref="C102:N102" si="38">SUM(C103:C107)</f>
        <v>10723.0934600433</v>
      </c>
      <c r="D102" s="37">
        <f t="shared" si="38"/>
        <v>37920.4820547227</v>
      </c>
      <c r="E102" s="37">
        <f t="shared" si="38"/>
        <v>66730.2948113624</v>
      </c>
      <c r="F102" s="37">
        <f t="shared" si="38"/>
        <v>37517.83330987</v>
      </c>
      <c r="G102" s="37">
        <f t="shared" si="38"/>
        <v>162677.598805658</v>
      </c>
      <c r="H102" s="37">
        <f t="shared" si="38"/>
        <v>94207.7829100236</v>
      </c>
      <c r="I102" s="37">
        <f t="shared" si="38"/>
        <v>17350.1857088149</v>
      </c>
      <c r="J102" s="37">
        <f t="shared" si="38"/>
        <v>30001.9296413372</v>
      </c>
      <c r="K102" s="37">
        <f t="shared" si="38"/>
        <v>23914.6802063981</v>
      </c>
      <c r="L102" s="37">
        <f t="shared" si="38"/>
        <v>85153.2009803951</v>
      </c>
      <c r="M102" s="37">
        <f t="shared" si="38"/>
        <v>33709.8910099097</v>
      </c>
      <c r="N102" s="37">
        <f t="shared" si="38"/>
        <v>19951.7904397509</v>
      </c>
      <c r="Q102" s="6"/>
    </row>
    <row r="103" ht="16.8" spans="2:17">
      <c r="B103" s="4" t="s">
        <v>40</v>
      </c>
      <c r="C103" s="45">
        <f t="shared" ref="C103:N103" si="39">C95+C27</f>
        <v>0</v>
      </c>
      <c r="D103" s="45">
        <f t="shared" si="39"/>
        <v>0</v>
      </c>
      <c r="E103" s="45">
        <f t="shared" si="39"/>
        <v>1823.23209867111</v>
      </c>
      <c r="F103" s="45">
        <f t="shared" si="39"/>
        <v>1525.11517519797</v>
      </c>
      <c r="G103" s="45">
        <f t="shared" si="39"/>
        <v>3240.5896176426</v>
      </c>
      <c r="H103" s="45">
        <f t="shared" si="39"/>
        <v>2854.78130030375</v>
      </c>
      <c r="I103" s="45">
        <f t="shared" si="39"/>
        <v>1845.76443710796</v>
      </c>
      <c r="J103" s="45">
        <f t="shared" si="39"/>
        <v>2542.53641028281</v>
      </c>
      <c r="K103" s="45">
        <f t="shared" si="39"/>
        <v>2026.66781410153</v>
      </c>
      <c r="L103" s="45">
        <f t="shared" si="39"/>
        <v>3406.1280392158</v>
      </c>
      <c r="M103" s="45">
        <f t="shared" si="39"/>
        <v>2593.06853922382</v>
      </c>
      <c r="N103" s="45">
        <f t="shared" si="39"/>
        <v>0</v>
      </c>
      <c r="Q103" s="6"/>
    </row>
    <row r="104" ht="16.8" spans="2:17">
      <c r="B104" s="4" t="s">
        <v>41</v>
      </c>
      <c r="C104" s="45">
        <f t="shared" ref="C104:N104" si="40">C96+C28</f>
        <v>0</v>
      </c>
      <c r="D104" s="45">
        <f t="shared" si="40"/>
        <v>0</v>
      </c>
      <c r="E104" s="45">
        <f t="shared" si="40"/>
        <v>0</v>
      </c>
      <c r="F104" s="45">
        <f t="shared" si="40"/>
        <v>1830.13821023756</v>
      </c>
      <c r="G104" s="45">
        <f t="shared" si="40"/>
        <v>19443.5377058556</v>
      </c>
      <c r="H104" s="45">
        <f t="shared" si="40"/>
        <v>9135.30016097199</v>
      </c>
      <c r="I104" s="45">
        <f t="shared" si="40"/>
        <v>0</v>
      </c>
      <c r="J104" s="45">
        <f t="shared" si="40"/>
        <v>3051.04369233937</v>
      </c>
      <c r="K104" s="45">
        <f t="shared" si="40"/>
        <v>6485.33700512491</v>
      </c>
      <c r="L104" s="45">
        <f t="shared" si="40"/>
        <v>4087.35364705896</v>
      </c>
      <c r="M104" s="45">
        <f t="shared" si="40"/>
        <v>3111.68224706859</v>
      </c>
      <c r="N104" s="45">
        <f t="shared" si="40"/>
        <v>0</v>
      </c>
      <c r="Q104" s="6"/>
    </row>
    <row r="105" ht="16.8" spans="2:17">
      <c r="B105" s="4" t="s">
        <v>42</v>
      </c>
      <c r="C105" s="45">
        <f t="shared" ref="C105:N105" si="41">C97+C29</f>
        <v>893.591121670275</v>
      </c>
      <c r="D105" s="45">
        <f t="shared" si="41"/>
        <v>729.240039513897</v>
      </c>
      <c r="E105" s="45">
        <f t="shared" si="41"/>
        <v>729.292839468442</v>
      </c>
      <c r="F105" s="45">
        <f t="shared" si="41"/>
        <v>3050.23035039594</v>
      </c>
      <c r="G105" s="45">
        <f t="shared" si="41"/>
        <v>19443.5377058556</v>
      </c>
      <c r="H105" s="45">
        <f t="shared" si="41"/>
        <v>12561.0377213365</v>
      </c>
      <c r="I105" s="45">
        <f t="shared" si="41"/>
        <v>0</v>
      </c>
      <c r="J105" s="45">
        <f t="shared" si="41"/>
        <v>3051.04369233937</v>
      </c>
      <c r="K105" s="45">
        <f t="shared" si="41"/>
        <v>6485.33700512491</v>
      </c>
      <c r="L105" s="45">
        <f t="shared" si="41"/>
        <v>6812.25607843161</v>
      </c>
      <c r="M105" s="45">
        <f t="shared" si="41"/>
        <v>5186.13707844764</v>
      </c>
      <c r="N105" s="45">
        <f t="shared" si="41"/>
        <v>906.899565443223</v>
      </c>
      <c r="Q105" s="6"/>
    </row>
    <row r="106" ht="16.8" spans="2:17">
      <c r="B106" s="4" t="s">
        <v>43</v>
      </c>
      <c r="C106" s="45">
        <f t="shared" ref="C106:N106" si="42">C98+C30</f>
        <v>893.591121670275</v>
      </c>
      <c r="D106" s="45">
        <f t="shared" si="42"/>
        <v>729.240039513897</v>
      </c>
      <c r="E106" s="45">
        <f t="shared" si="42"/>
        <v>5834.34271574754</v>
      </c>
      <c r="F106" s="45">
        <f t="shared" si="42"/>
        <v>610.046070079188</v>
      </c>
      <c r="G106" s="45">
        <f t="shared" si="42"/>
        <v>3888.70754117111</v>
      </c>
      <c r="H106" s="45">
        <f t="shared" si="42"/>
        <v>1141.9125201215</v>
      </c>
      <c r="I106" s="45">
        <f t="shared" si="42"/>
        <v>738.305774843186</v>
      </c>
      <c r="J106" s="45">
        <f t="shared" si="42"/>
        <v>1017.01456411312</v>
      </c>
      <c r="K106" s="45">
        <f t="shared" si="42"/>
        <v>810.667125640614</v>
      </c>
      <c r="L106" s="45">
        <f t="shared" si="42"/>
        <v>2724.90243137264</v>
      </c>
      <c r="M106" s="45">
        <f t="shared" si="42"/>
        <v>2074.45483137906</v>
      </c>
      <c r="N106" s="45">
        <f t="shared" si="42"/>
        <v>906.899565443223</v>
      </c>
      <c r="Q106" s="6"/>
    </row>
    <row r="107" ht="16.8" spans="2:17">
      <c r="B107" s="4" t="s">
        <v>44</v>
      </c>
      <c r="C107" s="45">
        <f t="shared" ref="C107:N107" si="43">C99+C31</f>
        <v>8935.91121670275</v>
      </c>
      <c r="D107" s="45">
        <f t="shared" si="43"/>
        <v>36462.0019756949</v>
      </c>
      <c r="E107" s="45">
        <f t="shared" si="43"/>
        <v>58343.4271574754</v>
      </c>
      <c r="F107" s="45">
        <f t="shared" si="43"/>
        <v>30502.3035039594</v>
      </c>
      <c r="G107" s="45">
        <f t="shared" si="43"/>
        <v>116661.226235133</v>
      </c>
      <c r="H107" s="45">
        <f t="shared" si="43"/>
        <v>68514.7512072899</v>
      </c>
      <c r="I107" s="45">
        <f t="shared" si="43"/>
        <v>14766.1154968637</v>
      </c>
      <c r="J107" s="45">
        <f t="shared" si="43"/>
        <v>20340.2912822625</v>
      </c>
      <c r="K107" s="45">
        <f t="shared" si="43"/>
        <v>8106.67125640614</v>
      </c>
      <c r="L107" s="45">
        <f t="shared" si="43"/>
        <v>68122.5607843161</v>
      </c>
      <c r="M107" s="45">
        <f t="shared" si="43"/>
        <v>20744.5483137906</v>
      </c>
      <c r="N107" s="45">
        <f t="shared" si="43"/>
        <v>18137.9913088645</v>
      </c>
      <c r="Q107" s="6"/>
    </row>
    <row r="108" spans="2:17">
      <c r="Q108" s="6"/>
    </row>
    <row r="109" spans="2:17">
      <c r="Q109" s="6"/>
    </row>
    <row r="110" spans="2:17">
      <c r="Q110" s="6"/>
    </row>
    <row r="111" spans="2:17">
      <c r="Q111" s="6"/>
    </row>
    <row r="112" spans="2:17">
      <c r="Q112" s="6"/>
    </row>
    <row r="113" spans="17:17">
      <c r="Q113" s="6"/>
    </row>
    <row r="114" spans="17:17">
      <c r="Q114" s="6"/>
    </row>
    <row r="115" spans="17:17">
      <c r="Q115" s="6"/>
    </row>
    <row r="116" spans="17:17">
      <c r="Q116" s="6"/>
    </row>
    <row r="117" spans="17:17">
      <c r="Q117" s="6"/>
    </row>
    <row r="118" spans="17:17">
      <c r="Q118" s="6"/>
    </row>
    <row r="119" spans="17:17">
      <c r="Q119" s="6"/>
    </row>
    <row r="120" spans="17:17">
      <c r="Q120" s="6"/>
    </row>
    <row r="121" spans="17:17">
      <c r="Q121" s="6"/>
    </row>
    <row r="122" spans="17:17">
      <c r="Q122" s="6"/>
    </row>
    <row r="123" spans="17:17">
      <c r="Q123" s="6"/>
    </row>
    <row r="124" spans="17:17">
      <c r="Q124" s="6"/>
    </row>
    <row r="125" spans="17:17">
      <c r="Q125" s="6"/>
    </row>
    <row r="126" spans="17:17">
      <c r="Q126" s="6"/>
    </row>
    <row r="127" spans="17:17">
      <c r="Q127" s="6"/>
    </row>
    <row r="128" spans="17:17">
      <c r="Q128" s="6"/>
    </row>
    <row r="129" spans="17:17">
      <c r="Q129" s="6"/>
    </row>
    <row r="130" spans="17:17">
      <c r="Q130" s="6"/>
    </row>
    <row r="131" spans="17:17">
      <c r="Q131" s="6"/>
    </row>
    <row r="132" spans="17:17">
      <c r="Q132" s="6"/>
    </row>
    <row r="133" spans="17:17">
      <c r="Q133" s="6"/>
    </row>
    <row r="134" spans="17:17">
      <c r="Q134" s="6"/>
    </row>
    <row r="135" spans="17:17">
      <c r="Q135" s="6"/>
    </row>
    <row r="136" spans="17:17">
      <c r="Q136" s="6"/>
    </row>
    <row r="137" spans="17:17">
      <c r="Q137" s="6"/>
    </row>
    <row r="138" spans="17:17">
      <c r="Q138" s="6"/>
    </row>
    <row r="139" spans="17:17">
      <c r="Q139" s="6"/>
    </row>
    <row r="140" spans="17:17">
      <c r="Q140" s="6"/>
    </row>
    <row r="141" spans="17:17">
      <c r="Q141" s="6"/>
    </row>
    <row r="142" spans="17:17">
      <c r="Q142" s="6"/>
    </row>
    <row r="143" spans="17:17">
      <c r="Q143" s="6"/>
    </row>
    <row r="144" spans="17:17">
      <c r="Q144" s="6"/>
    </row>
    <row r="145" spans="17:17">
      <c r="Q145" s="6"/>
    </row>
    <row r="146" spans="17:17">
      <c r="Q146" s="6"/>
    </row>
    <row r="147" spans="17:17">
      <c r="Q147" s="6"/>
    </row>
    <row r="148" spans="17:17">
      <c r="Q148" s="6"/>
    </row>
    <row r="149" spans="17:17">
      <c r="Q149" s="6"/>
    </row>
    <row r="150" spans="17:17">
      <c r="Q150" s="6"/>
    </row>
    <row r="151" spans="17:17">
      <c r="Q151" s="6"/>
    </row>
    <row r="152" spans="17:17">
      <c r="Q152" s="6"/>
    </row>
    <row r="153" spans="17:17">
      <c r="Q153" s="6"/>
    </row>
    <row r="154" spans="17:17">
      <c r="Q154" s="6"/>
    </row>
    <row r="155" spans="17:17">
      <c r="Q155" s="6"/>
    </row>
    <row r="156" spans="17:17">
      <c r="Q156" s="6"/>
    </row>
    <row r="157" spans="17:17">
      <c r="Q157" s="6"/>
    </row>
    <row r="158" spans="17:17">
      <c r="Q158" s="6"/>
    </row>
    <row r="159" spans="17:17">
      <c r="Q159" s="6"/>
    </row>
    <row r="160" spans="17:17">
      <c r="Q160" s="6"/>
    </row>
    <row r="161" spans="17:17">
      <c r="Q161" s="6"/>
    </row>
    <row r="162" spans="17:17">
      <c r="Q162" s="6"/>
    </row>
    <row r="163" spans="17:17">
      <c r="Q163" s="6"/>
    </row>
    <row r="164" spans="17:17">
      <c r="Q164" s="6"/>
    </row>
    <row r="165" spans="17:17">
      <c r="Q165" s="6"/>
    </row>
    <row r="166" spans="17:17">
      <c r="Q166" s="6"/>
    </row>
    <row r="167" spans="17:17">
      <c r="Q167" s="6"/>
    </row>
    <row r="168" spans="17:17">
      <c r="Q168" s="6"/>
    </row>
    <row r="169" spans="17:17">
      <c r="Q169" s="6"/>
    </row>
    <row r="170" spans="17:17">
      <c r="Q170" s="6"/>
    </row>
    <row r="171" spans="17:17">
      <c r="Q171" s="6"/>
    </row>
    <row r="172" spans="17:17">
      <c r="Q172" s="6"/>
    </row>
    <row r="173" spans="17:17">
      <c r="Q173" s="6"/>
    </row>
    <row r="174" spans="17:17">
      <c r="Q174" s="6"/>
    </row>
    <row r="175" spans="17:17">
      <c r="Q175" s="6"/>
    </row>
    <row r="176" spans="17:17">
      <c r="Q176" s="6"/>
    </row>
    <row r="177" spans="17:17">
      <c r="Q177" s="6"/>
    </row>
    <row r="178" spans="17:17">
      <c r="Q178" s="6"/>
    </row>
    <row r="179" spans="17:17">
      <c r="Q179" s="6"/>
    </row>
    <row r="180" spans="17:17">
      <c r="Q180" s="6"/>
    </row>
    <row r="181" spans="17:17">
      <c r="Q181" s="6"/>
    </row>
    <row r="182" spans="17:17">
      <c r="Q182" s="6"/>
    </row>
    <row r="183" spans="17:17">
      <c r="Q183" s="6"/>
    </row>
    <row r="184" spans="17:17">
      <c r="Q184" s="6"/>
    </row>
    <row r="185" spans="17:17">
      <c r="Q185" s="6"/>
    </row>
    <row r="186" spans="17:17">
      <c r="Q186" s="6"/>
    </row>
    <row r="187" spans="17:17">
      <c r="Q187" s="6"/>
    </row>
    <row r="188" spans="17:17">
      <c r="Q188" s="6"/>
    </row>
    <row r="189" spans="17:17">
      <c r="Q189" s="6"/>
    </row>
    <row r="190" spans="17:17">
      <c r="Q190" s="6"/>
    </row>
    <row r="191" spans="17:17">
      <c r="Q191" s="6"/>
    </row>
    <row r="192" spans="17:17">
      <c r="Q192" s="6"/>
    </row>
    <row r="193" spans="17:17">
      <c r="Q193" s="6"/>
    </row>
    <row r="194" spans="17:17">
      <c r="Q194" s="6"/>
    </row>
    <row r="195" spans="17:17">
      <c r="Q195" s="6"/>
    </row>
    <row r="196" spans="17:17">
      <c r="Q196" s="6"/>
    </row>
    <row r="197" spans="17:17">
      <c r="Q197" s="6"/>
    </row>
    <row r="198" spans="17:17">
      <c r="Q198" s="6"/>
    </row>
    <row r="199" spans="17:17">
      <c r="Q199" s="6"/>
    </row>
    <row r="200" spans="17:17">
      <c r="Q200" s="6"/>
    </row>
  </sheetData>
  <pageMargins left="0.75" right="0.75" top="1" bottom="1" header="0.5" footer="0.5"/>
  <headerFooter/>
  <picture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200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4.4"/>
  <cols>
    <col min="1" max="1" width="7" customWidth="1"/>
    <col min="2" max="2" width="30" customWidth="1"/>
    <col min="3" max="15" width="19" customWidth="1"/>
    <col min="16" max="17" width="14" customWidth="1"/>
    <col min="18" max="18" width="11" customWidth="1"/>
    <col min="19" max="20" width="14" customWidth="1"/>
  </cols>
  <sheetData>
    <row r="1" ht="17" spans="1:19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</row>
    <row r="2" ht="16.8" spans="1:19">
      <c r="B2" s="4" t="s">
        <v>16</v>
      </c>
      <c r="C2" s="5">
        <v>21238.079757211</v>
      </c>
      <c r="D2" s="5">
        <v>19370.9958225111</v>
      </c>
      <c r="E2" s="5">
        <v>22638.3927082359</v>
      </c>
      <c r="F2" s="5">
        <v>18787.5320929174</v>
      </c>
      <c r="G2" s="5">
        <v>32790.6616031664</v>
      </c>
      <c r="H2" s="5">
        <v>28356.3372582543</v>
      </c>
      <c r="I2" s="5">
        <v>18437.4538551612</v>
      </c>
      <c r="J2" s="5">
        <v>23175.1793394621</v>
      </c>
      <c r="K2" s="5">
        <v>25555.7113562045</v>
      </c>
      <c r="L2" s="5">
        <v>33864.2348656189</v>
      </c>
      <c r="M2" s="5">
        <v>26325.8834792681</v>
      </c>
      <c r="N2" s="5">
        <v>23525.2575772183</v>
      </c>
      <c r="O2" s="5">
        <f>SUM(C2:N2)</f>
        <v>294065.719715229</v>
      </c>
      <c r="P2" s="5"/>
      <c r="Q2" s="6"/>
    </row>
    <row r="3" ht="16.8" spans="1:19">
      <c r="A3" s="7"/>
      <c r="B3" s="8" t="s">
        <v>17</v>
      </c>
      <c r="C3" s="9">
        <v>8371561.61</v>
      </c>
      <c r="D3" s="9">
        <v>9374160.85</v>
      </c>
      <c r="E3" s="9">
        <v>7389699.37</v>
      </c>
      <c r="F3" s="9">
        <v>6586200.25</v>
      </c>
      <c r="G3" s="9">
        <v>12262102.27</v>
      </c>
      <c r="H3" s="9">
        <v>11248402.95</v>
      </c>
      <c r="I3" s="9">
        <v>8574559.04</v>
      </c>
      <c r="J3" s="9">
        <v>11066311.62</v>
      </c>
      <c r="K3" s="9">
        <v>8464628.91</v>
      </c>
      <c r="L3" s="9">
        <v>12470973.7</v>
      </c>
      <c r="M3" s="9">
        <v>14132143.57</v>
      </c>
      <c r="N3" s="9">
        <v>11787209.84</v>
      </c>
      <c r="O3" s="9">
        <f>SUM(C3:N3)</f>
        <v>121727953.98</v>
      </c>
      <c r="P3" s="9"/>
      <c r="Q3" s="10" t="s">
        <v>83</v>
      </c>
    </row>
    <row r="4" ht="16.8" spans="1:19">
      <c r="A4" s="7"/>
      <c r="B4" s="8" t="s">
        <v>84</v>
      </c>
      <c r="C4" s="9">
        <v>8749253</v>
      </c>
      <c r="D4" s="9">
        <v>9461973</v>
      </c>
      <c r="E4" s="9">
        <v>7458922</v>
      </c>
      <c r="F4" s="9">
        <v>6647896</v>
      </c>
      <c r="G4" s="9">
        <v>12336196</v>
      </c>
      <c r="H4" s="9">
        <v>11316371</v>
      </c>
      <c r="I4" s="9">
        <v>8626370</v>
      </c>
      <c r="J4" s="9">
        <v>11133178</v>
      </c>
      <c r="K4" s="9">
        <v>8515775</v>
      </c>
      <c r="L4" s="9">
        <v>12546330</v>
      </c>
      <c r="M4" s="9">
        <v>14217537</v>
      </c>
      <c r="N4" s="9">
        <v>11858433</v>
      </c>
      <c r="O4" s="9">
        <f>SUM(C4:N4)</f>
        <v>122868234</v>
      </c>
      <c r="P4" s="9"/>
      <c r="Q4" s="10" t="s">
        <v>83</v>
      </c>
    </row>
    <row r="5" ht="16.8" spans="1:19">
      <c r="A5" s="7"/>
      <c r="B5" s="8" t="s">
        <v>18</v>
      </c>
      <c r="C5" s="9">
        <f t="shared" ref="C5:N5" si="0">C3*$P$12</f>
        <v>1255734.2415</v>
      </c>
      <c r="D5" s="9">
        <f t="shared" si="0"/>
        <v>1406124.1275</v>
      </c>
      <c r="E5" s="9">
        <f t="shared" si="0"/>
        <v>1108454.9055</v>
      </c>
      <c r="F5" s="9">
        <f t="shared" si="0"/>
        <v>987930.0375</v>
      </c>
      <c r="G5" s="9">
        <f t="shared" si="0"/>
        <v>1839315.3405</v>
      </c>
      <c r="H5" s="9">
        <f t="shared" si="0"/>
        <v>1687260.4425</v>
      </c>
      <c r="I5" s="9">
        <f t="shared" si="0"/>
        <v>1286183.856</v>
      </c>
      <c r="J5" s="9">
        <f t="shared" si="0"/>
        <v>1659946.743</v>
      </c>
      <c r="K5" s="9">
        <f t="shared" si="0"/>
        <v>1269694.3365</v>
      </c>
      <c r="L5" s="9">
        <f t="shared" si="0"/>
        <v>1870646.055</v>
      </c>
      <c r="M5" s="9">
        <f t="shared" si="0"/>
        <v>2119821.5355</v>
      </c>
      <c r="N5" s="9">
        <f t="shared" si="0"/>
        <v>1768081.476</v>
      </c>
      <c r="O5" s="9">
        <f>SUM(C5:N5)</f>
        <v>18259193.097</v>
      </c>
      <c r="P5" s="9"/>
      <c r="Q5" s="11" t="s">
        <v>83</v>
      </c>
      <c r="R5" s="68"/>
    </row>
    <row r="6" ht="16.8" spans="1:19">
      <c r="A6" s="33"/>
      <c r="B6" s="12" t="s">
        <v>85</v>
      </c>
      <c r="C6" s="13">
        <f t="shared" ref="C6:N6" si="1">C3</f>
        <v>8371561.61</v>
      </c>
      <c r="D6" s="13">
        <f t="shared" si="1"/>
        <v>9374160.85</v>
      </c>
      <c r="E6" s="13">
        <f t="shared" si="1"/>
        <v>7389699.37</v>
      </c>
      <c r="F6" s="13">
        <f t="shared" si="1"/>
        <v>6586200.25</v>
      </c>
      <c r="G6" s="13">
        <f t="shared" si="1"/>
        <v>12262102.27</v>
      </c>
      <c r="H6" s="13">
        <f t="shared" si="1"/>
        <v>11248402.95</v>
      </c>
      <c r="I6" s="13">
        <f t="shared" si="1"/>
        <v>8574559.04</v>
      </c>
      <c r="J6" s="13">
        <f t="shared" si="1"/>
        <v>11066311.62</v>
      </c>
      <c r="K6" s="13">
        <f t="shared" si="1"/>
        <v>8464628.91</v>
      </c>
      <c r="L6" s="13">
        <f t="shared" si="1"/>
        <v>12470973.7</v>
      </c>
      <c r="M6" s="13">
        <f t="shared" si="1"/>
        <v>14132143.57</v>
      </c>
      <c r="N6" s="13">
        <f t="shared" si="1"/>
        <v>11787209.84</v>
      </c>
      <c r="O6" s="13">
        <f>SUM(C6:N6)</f>
        <v>121727953.98</v>
      </c>
      <c r="P6" s="13"/>
      <c r="Q6" s="11" t="s">
        <v>83</v>
      </c>
      <c r="R6" s="68">
        <f>D8/D6</f>
        <v>0.863815282758111</v>
      </c>
    </row>
    <row r="7" ht="16.8" spans="1:19">
      <c r="A7" s="33"/>
      <c r="B7" s="14" t="s">
        <v>20</v>
      </c>
      <c r="C7" s="15">
        <v>0.136184717241889</v>
      </c>
      <c r="D7" s="15">
        <v>0.136184717241889</v>
      </c>
      <c r="E7" s="15">
        <v>0.136184717241889</v>
      </c>
      <c r="F7" s="15">
        <v>0.136184717241889</v>
      </c>
      <c r="G7" s="15">
        <v>0.136184717241889</v>
      </c>
      <c r="H7" s="15">
        <v>0.136184717241889</v>
      </c>
      <c r="I7" s="15">
        <v>0.136184717241889</v>
      </c>
      <c r="J7" s="15">
        <v>0.136184717241889</v>
      </c>
      <c r="K7" s="15">
        <v>0.136184717241889</v>
      </c>
      <c r="L7" s="15">
        <v>0.136184717241889</v>
      </c>
      <c r="M7" s="15">
        <v>0.136184717241889</v>
      </c>
      <c r="N7" s="15">
        <v>0.136184717241889</v>
      </c>
      <c r="O7" s="15">
        <f>1-O8/O6</f>
        <v>0.13618471724189</v>
      </c>
      <c r="P7" s="15"/>
      <c r="Q7" s="6" t="s">
        <v>83</v>
      </c>
    </row>
    <row r="8" ht="16.8" spans="1:19">
      <c r="A8" s="33"/>
      <c r="B8" s="12" t="s">
        <v>86</v>
      </c>
      <c r="C8" s="13">
        <v>7231482.85926909</v>
      </c>
      <c r="D8" s="13">
        <v>8097543.40526276</v>
      </c>
      <c r="E8" s="13">
        <v>6383335.25079398</v>
      </c>
      <c r="F8" s="13">
        <v>5689260.43125529</v>
      </c>
      <c r="G8" s="13">
        <v>10592191.3395689</v>
      </c>
      <c r="H8" s="13">
        <v>9716542.37483142</v>
      </c>
      <c r="I8" s="13">
        <v>7406835.14166371</v>
      </c>
      <c r="J8" s="13">
        <v>9559249.10111967</v>
      </c>
      <c r="K8" s="13">
        <v>7311875.81533413</v>
      </c>
      <c r="L8" s="13">
        <v>10772617.6729345</v>
      </c>
      <c r="M8" s="13">
        <v>12207561.5938978</v>
      </c>
      <c r="N8" s="13">
        <v>10181972.0008688</v>
      </c>
      <c r="O8" s="13">
        <f>SUM(C8:N8)</f>
        <v>105150466.9868</v>
      </c>
      <c r="P8" s="13"/>
      <c r="Q8" s="6" t="s">
        <v>83</v>
      </c>
      <c r="R8" s="69" t="s">
        <v>131</v>
      </c>
      <c r="S8" s="67" t="s">
        <v>132</v>
      </c>
    </row>
    <row r="9" ht="16.8" spans="1:19">
      <c r="B9" s="4"/>
      <c r="C9" s="16">
        <f t="shared" ref="C9:O9" si="2">C6/$O$6</f>
        <v>0.0687727127277228</v>
      </c>
      <c r="D9" s="16">
        <f t="shared" si="2"/>
        <v>0.0770091054971661</v>
      </c>
      <c r="E9" s="16">
        <f t="shared" si="2"/>
        <v>0.0607066752408747</v>
      </c>
      <c r="F9" s="16">
        <f t="shared" si="2"/>
        <v>0.05410589790314</v>
      </c>
      <c r="G9" s="16">
        <f t="shared" si="2"/>
        <v>0.100733659517638</v>
      </c>
      <c r="H9" s="16">
        <f t="shared" si="2"/>
        <v>0.0924060791480001</v>
      </c>
      <c r="I9" s="16">
        <f t="shared" si="2"/>
        <v>0.0704403447166195</v>
      </c>
      <c r="J9" s="16">
        <f t="shared" si="2"/>
        <v>0.0909101916049472</v>
      </c>
      <c r="K9" s="16">
        <f t="shared" si="2"/>
        <v>0.0695372643114559</v>
      </c>
      <c r="L9" s="16">
        <f t="shared" si="2"/>
        <v>0.102449546650961</v>
      </c>
      <c r="M9" s="16">
        <f t="shared" si="2"/>
        <v>0.116096123428822</v>
      </c>
      <c r="N9" s="16">
        <f t="shared" si="2"/>
        <v>0.0968323992526536</v>
      </c>
      <c r="O9" s="16">
        <f t="shared" si="2"/>
        <v>1</v>
      </c>
      <c r="P9" s="5"/>
      <c r="Q9" s="6"/>
    </row>
    <row r="10" ht="16.8" spans="1:19">
      <c r="A10" s="7"/>
      <c r="B10" s="12" t="s">
        <v>22</v>
      </c>
      <c r="C10" s="13">
        <v>11297690.08</v>
      </c>
      <c r="D10" s="13">
        <v>12218007.4</v>
      </c>
      <c r="E10" s="13">
        <v>9631518.28</v>
      </c>
      <c r="F10" s="13">
        <v>8584261</v>
      </c>
      <c r="G10" s="13">
        <v>15614662.0666667</v>
      </c>
      <c r="H10" s="13">
        <v>14323809</v>
      </c>
      <c r="I10" s="13">
        <v>11175829.76</v>
      </c>
      <c r="J10" s="13">
        <v>14423507.28</v>
      </c>
      <c r="K10" s="13">
        <v>11032550.04</v>
      </c>
      <c r="L10" s="13">
        <v>16254302.8</v>
      </c>
      <c r="M10" s="13">
        <v>17995988.0666667</v>
      </c>
      <c r="N10" s="13">
        <v>15363104.96</v>
      </c>
      <c r="O10" s="13">
        <f t="shared" ref="O10:O16" si="3">SUM(C10:N10)</f>
        <v>157915230.733333</v>
      </c>
      <c r="P10" s="13"/>
      <c r="Q10" s="6"/>
    </row>
    <row r="11" ht="16.8" spans="1:19">
      <c r="B11" s="17" t="s">
        <v>23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>
        <f t="shared" si="3"/>
        <v>0</v>
      </c>
      <c r="P11" s="18"/>
      <c r="Q11" s="6" t="s">
        <v>88</v>
      </c>
    </row>
    <row r="12" ht="16.8" spans="1:19">
      <c r="B12" s="17" t="s">
        <v>25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>
        <f t="shared" si="3"/>
        <v>0</v>
      </c>
      <c r="P12" s="19">
        <v>0.15</v>
      </c>
      <c r="Q12" s="6" t="s">
        <v>83</v>
      </c>
      <c r="R12" s="20">
        <f>O12/$O$10</f>
        <v>0</v>
      </c>
    </row>
    <row r="13" ht="16.8" spans="1:19">
      <c r="B13" s="17" t="s">
        <v>27</v>
      </c>
      <c r="C13" s="18">
        <f t="shared" ref="C13:N13" si="4">C10-C15</f>
        <v>4066207.22073091</v>
      </c>
      <c r="D13" s="18">
        <f t="shared" si="4"/>
        <v>4120463.99473724</v>
      </c>
      <c r="E13" s="18">
        <f t="shared" si="4"/>
        <v>3248183.02920602</v>
      </c>
      <c r="F13" s="18">
        <f t="shared" si="4"/>
        <v>2895000.56874471</v>
      </c>
      <c r="G13" s="18">
        <f t="shared" si="4"/>
        <v>5022470.72709775</v>
      </c>
      <c r="H13" s="18">
        <f t="shared" si="4"/>
        <v>4607266.62516858</v>
      </c>
      <c r="I13" s="18">
        <f t="shared" si="4"/>
        <v>3768994.61833629</v>
      </c>
      <c r="J13" s="18">
        <f t="shared" si="4"/>
        <v>4864258.17888033</v>
      </c>
      <c r="K13" s="18">
        <f t="shared" si="4"/>
        <v>3720674.22466587</v>
      </c>
      <c r="L13" s="18">
        <f t="shared" si="4"/>
        <v>5481685.12706554</v>
      </c>
      <c r="M13" s="18">
        <f t="shared" si="4"/>
        <v>5788426.4727689</v>
      </c>
      <c r="N13" s="18">
        <f t="shared" si="4"/>
        <v>5181132.95913121</v>
      </c>
      <c r="O13" s="18">
        <f t="shared" si="3"/>
        <v>52764763.7465333</v>
      </c>
      <c r="P13" s="18"/>
      <c r="Q13" s="6" t="s">
        <v>83</v>
      </c>
      <c r="R13" s="20">
        <f>O13/$O$10</f>
        <v>0.334133468326659</v>
      </c>
    </row>
    <row r="14" ht="16.8" spans="1:19">
      <c r="B14" s="21" t="s">
        <v>28</v>
      </c>
      <c r="C14" s="22">
        <f t="shared" ref="C14:N14" si="5">SUM(C11:C13)</f>
        <v>4066207.22073091</v>
      </c>
      <c r="D14" s="22">
        <f t="shared" si="5"/>
        <v>4120463.99473724</v>
      </c>
      <c r="E14" s="22">
        <f t="shared" si="5"/>
        <v>3248183.02920602</v>
      </c>
      <c r="F14" s="22">
        <f t="shared" si="5"/>
        <v>2895000.56874471</v>
      </c>
      <c r="G14" s="22">
        <f t="shared" si="5"/>
        <v>5022470.72709775</v>
      </c>
      <c r="H14" s="22">
        <f t="shared" si="5"/>
        <v>4607266.62516858</v>
      </c>
      <c r="I14" s="22">
        <f t="shared" si="5"/>
        <v>3768994.61833629</v>
      </c>
      <c r="J14" s="22">
        <f t="shared" si="5"/>
        <v>4864258.17888033</v>
      </c>
      <c r="K14" s="22">
        <f t="shared" si="5"/>
        <v>3720674.22466587</v>
      </c>
      <c r="L14" s="22">
        <f t="shared" si="5"/>
        <v>5481685.12706554</v>
      </c>
      <c r="M14" s="22">
        <f t="shared" si="5"/>
        <v>5788426.4727689</v>
      </c>
      <c r="N14" s="22">
        <f t="shared" si="5"/>
        <v>5181132.95913121</v>
      </c>
      <c r="O14" s="22">
        <f t="shared" si="3"/>
        <v>52764763.7465333</v>
      </c>
      <c r="P14" s="22"/>
      <c r="Q14" s="6"/>
    </row>
    <row r="15" ht="16.8" spans="1:19">
      <c r="A15" s="7"/>
      <c r="B15" s="12" t="s">
        <v>29</v>
      </c>
      <c r="C15" s="13">
        <f t="shared" ref="C15:N15" si="6">C8</f>
        <v>7231482.85926909</v>
      </c>
      <c r="D15" s="13">
        <f t="shared" si="6"/>
        <v>8097543.40526276</v>
      </c>
      <c r="E15" s="13">
        <f t="shared" si="6"/>
        <v>6383335.25079398</v>
      </c>
      <c r="F15" s="13">
        <f t="shared" si="6"/>
        <v>5689260.43125529</v>
      </c>
      <c r="G15" s="13">
        <f t="shared" si="6"/>
        <v>10592191.3395689</v>
      </c>
      <c r="H15" s="13">
        <f t="shared" si="6"/>
        <v>9716542.37483142</v>
      </c>
      <c r="I15" s="13">
        <f t="shared" si="6"/>
        <v>7406835.14166371</v>
      </c>
      <c r="J15" s="13">
        <f t="shared" si="6"/>
        <v>9559249.10111967</v>
      </c>
      <c r="K15" s="13">
        <f t="shared" si="6"/>
        <v>7311875.81533413</v>
      </c>
      <c r="L15" s="13">
        <f t="shared" si="6"/>
        <v>10772617.6729345</v>
      </c>
      <c r="M15" s="13">
        <f t="shared" si="6"/>
        <v>12207561.5938978</v>
      </c>
      <c r="N15" s="13">
        <f t="shared" si="6"/>
        <v>10181972.0008688</v>
      </c>
      <c r="O15" s="13">
        <f t="shared" si="3"/>
        <v>105150466.9868</v>
      </c>
      <c r="P15" s="13"/>
      <c r="Q15" s="6"/>
    </row>
    <row r="16" ht="16.8" spans="1:19">
      <c r="A16" s="7"/>
      <c r="B16" s="12" t="s">
        <v>30</v>
      </c>
      <c r="C16" s="13">
        <f t="shared" ref="C16:N16" si="7">+C8/1.13</f>
        <v>6399542.35333548</v>
      </c>
      <c r="D16" s="13">
        <f t="shared" si="7"/>
        <v>7165967.61527678</v>
      </c>
      <c r="E16" s="13">
        <f t="shared" si="7"/>
        <v>5648969.24849025</v>
      </c>
      <c r="F16" s="13">
        <f t="shared" si="7"/>
        <v>5034743.74447371</v>
      </c>
      <c r="G16" s="13">
        <f t="shared" si="7"/>
        <v>9373620.65448577</v>
      </c>
      <c r="H16" s="13">
        <f t="shared" si="7"/>
        <v>8598710.06622249</v>
      </c>
      <c r="I16" s="13">
        <f t="shared" si="7"/>
        <v>6554721.36430417</v>
      </c>
      <c r="J16" s="13">
        <f t="shared" si="7"/>
        <v>8459512.47886696</v>
      </c>
      <c r="K16" s="13">
        <f t="shared" si="7"/>
        <v>6470686.56224259</v>
      </c>
      <c r="L16" s="13">
        <f t="shared" si="7"/>
        <v>9533289.9760482</v>
      </c>
      <c r="M16" s="13">
        <f t="shared" si="7"/>
        <v>10803151.8530069</v>
      </c>
      <c r="N16" s="13">
        <f t="shared" si="7"/>
        <v>9010594.69103432</v>
      </c>
      <c r="O16" s="13">
        <f t="shared" si="3"/>
        <v>93053510.6077876</v>
      </c>
      <c r="P16" s="13"/>
      <c r="Q16" s="6"/>
    </row>
    <row r="17" spans="1:17">
      <c r="C17" s="70">
        <f t="shared" ref="C17:O17" si="8">C10-C14-C15</f>
        <v>0</v>
      </c>
      <c r="D17" s="70">
        <f t="shared" si="8"/>
        <v>0</v>
      </c>
      <c r="E17" s="70">
        <f t="shared" si="8"/>
        <v>0</v>
      </c>
      <c r="F17" s="70">
        <f t="shared" si="8"/>
        <v>0</v>
      </c>
      <c r="G17" s="70">
        <f t="shared" si="8"/>
        <v>0</v>
      </c>
      <c r="H17" s="70">
        <f t="shared" si="8"/>
        <v>0</v>
      </c>
      <c r="I17" s="70">
        <f t="shared" si="8"/>
        <v>0</v>
      </c>
      <c r="J17" s="70">
        <f t="shared" si="8"/>
        <v>0</v>
      </c>
      <c r="K17" s="70">
        <f t="shared" si="8"/>
        <v>0</v>
      </c>
      <c r="L17" s="70">
        <f t="shared" si="8"/>
        <v>0</v>
      </c>
      <c r="M17" s="70">
        <f t="shared" si="8"/>
        <v>0</v>
      </c>
      <c r="N17" s="70">
        <f t="shared" si="8"/>
        <v>0</v>
      </c>
      <c r="O17" s="70">
        <f t="shared" si="8"/>
        <v>0</v>
      </c>
      <c r="Q17" s="6"/>
    </row>
    <row r="18" ht="16.8" spans="1:17">
      <c r="B18" s="17" t="s">
        <v>31</v>
      </c>
      <c r="C18" s="18">
        <f t="shared" ref="C18:N18" si="9">C64*C65</f>
        <v>3132459.02360047</v>
      </c>
      <c r="D18" s="18">
        <f t="shared" si="9"/>
        <v>3492707.6353643</v>
      </c>
      <c r="E18" s="18">
        <f t="shared" si="9"/>
        <v>2904874.99974114</v>
      </c>
      <c r="F18" s="18">
        <f t="shared" si="9"/>
        <v>2596023.87745514</v>
      </c>
      <c r="G18" s="18">
        <f t="shared" si="9"/>
        <v>4305540.05035612</v>
      </c>
      <c r="H18" s="18">
        <f t="shared" si="9"/>
        <v>4012175.03539303</v>
      </c>
      <c r="I18" s="18">
        <f t="shared" si="9"/>
        <v>2825249.63228924</v>
      </c>
      <c r="J18" s="18">
        <f t="shared" si="9"/>
        <v>3636282.08511037</v>
      </c>
      <c r="K18" s="18">
        <f t="shared" si="9"/>
        <v>2733309.47601589</v>
      </c>
      <c r="L18" s="18">
        <f t="shared" si="9"/>
        <v>3962031.48733616</v>
      </c>
      <c r="M18" s="18">
        <f t="shared" si="9"/>
        <v>4386373.02430976</v>
      </c>
      <c r="N18" s="18">
        <f t="shared" si="9"/>
        <v>3622332.54669032</v>
      </c>
      <c r="O18" s="18">
        <f>SUM(C18:N18)</f>
        <v>41609358.873662</v>
      </c>
      <c r="P18" s="23">
        <f>O18/O16</f>
        <v>0.447155175574641</v>
      </c>
      <c r="Q18" s="6"/>
    </row>
    <row r="19" ht="16.8" spans="1:17">
      <c r="B19" s="21" t="s">
        <v>32</v>
      </c>
      <c r="C19" s="22">
        <f t="shared" ref="C19:N19" si="10">C16-C18</f>
        <v>3267083.32973501</v>
      </c>
      <c r="D19" s="22">
        <f t="shared" si="10"/>
        <v>3673259.97991248</v>
      </c>
      <c r="E19" s="22">
        <f t="shared" si="10"/>
        <v>2744094.24874911</v>
      </c>
      <c r="F19" s="22">
        <f t="shared" si="10"/>
        <v>2438719.86701856</v>
      </c>
      <c r="G19" s="22">
        <f t="shared" si="10"/>
        <v>5068080.60412965</v>
      </c>
      <c r="H19" s="22">
        <f t="shared" si="10"/>
        <v>4586535.03082946</v>
      </c>
      <c r="I19" s="22">
        <f t="shared" si="10"/>
        <v>3729471.73201493</v>
      </c>
      <c r="J19" s="22">
        <f t="shared" si="10"/>
        <v>4823230.39375659</v>
      </c>
      <c r="K19" s="22">
        <f t="shared" si="10"/>
        <v>3737377.0862267</v>
      </c>
      <c r="L19" s="22">
        <f t="shared" si="10"/>
        <v>5571258.48871204</v>
      </c>
      <c r="M19" s="22">
        <f t="shared" si="10"/>
        <v>6416778.82869712</v>
      </c>
      <c r="N19" s="22">
        <f t="shared" si="10"/>
        <v>5388262.144344</v>
      </c>
      <c r="O19" s="22">
        <f>SUM(C19:N19)</f>
        <v>51444151.7341256</v>
      </c>
      <c r="P19" s="24">
        <f>O19/$O$16</f>
        <v>0.552844824425359</v>
      </c>
      <c r="Q19" s="6"/>
    </row>
    <row r="20" ht="16.8" spans="1:17">
      <c r="A20" s="5"/>
      <c r="B20" s="4" t="s">
        <v>33</v>
      </c>
      <c r="C20" s="25">
        <f t="shared" ref="C20:N20" si="11">C16*2.5%</f>
        <v>159988.558833387</v>
      </c>
      <c r="D20" s="25">
        <f t="shared" si="11"/>
        <v>179149.190381919</v>
      </c>
      <c r="E20" s="25">
        <f t="shared" si="11"/>
        <v>141224.231212256</v>
      </c>
      <c r="F20" s="25">
        <f t="shared" si="11"/>
        <v>125868.593611843</v>
      </c>
      <c r="G20" s="25">
        <f t="shared" si="11"/>
        <v>234340.516362144</v>
      </c>
      <c r="H20" s="25">
        <f t="shared" si="11"/>
        <v>214967.751655562</v>
      </c>
      <c r="I20" s="25">
        <f t="shared" si="11"/>
        <v>163868.034107604</v>
      </c>
      <c r="J20" s="25">
        <f t="shared" si="11"/>
        <v>211487.811971674</v>
      </c>
      <c r="K20" s="25">
        <f t="shared" si="11"/>
        <v>161767.164056065</v>
      </c>
      <c r="L20" s="25">
        <f t="shared" si="11"/>
        <v>238332.249401205</v>
      </c>
      <c r="M20" s="25">
        <f t="shared" si="11"/>
        <v>270078.796325172</v>
      </c>
      <c r="N20" s="25">
        <f t="shared" si="11"/>
        <v>225264.867275858</v>
      </c>
      <c r="O20" s="25">
        <f>SUM(C20:N20)</f>
        <v>2326337.76519469</v>
      </c>
      <c r="P20" s="26">
        <v>0.025</v>
      </c>
      <c r="Q20" s="6"/>
    </row>
    <row r="21" ht="16.8" spans="1:17">
      <c r="B21" s="21" t="s">
        <v>35</v>
      </c>
      <c r="C21" s="22">
        <f t="shared" ref="C21:N21" si="12">SUM(C18,C20)</f>
        <v>3292447.58243386</v>
      </c>
      <c r="D21" s="22">
        <f t="shared" si="12"/>
        <v>3671856.82574622</v>
      </c>
      <c r="E21" s="22">
        <f t="shared" si="12"/>
        <v>3046099.2309534</v>
      </c>
      <c r="F21" s="22">
        <f t="shared" si="12"/>
        <v>2721892.47106699</v>
      </c>
      <c r="G21" s="22">
        <f t="shared" si="12"/>
        <v>4539880.56671827</v>
      </c>
      <c r="H21" s="22">
        <f t="shared" si="12"/>
        <v>4227142.78704859</v>
      </c>
      <c r="I21" s="22">
        <f t="shared" si="12"/>
        <v>2989117.66639685</v>
      </c>
      <c r="J21" s="22">
        <f t="shared" si="12"/>
        <v>3847769.89708205</v>
      </c>
      <c r="K21" s="22">
        <f t="shared" si="12"/>
        <v>2895076.64007196</v>
      </c>
      <c r="L21" s="22">
        <f t="shared" si="12"/>
        <v>4200363.73673736</v>
      </c>
      <c r="M21" s="22">
        <f t="shared" si="12"/>
        <v>4656451.82063493</v>
      </c>
      <c r="N21" s="22">
        <f t="shared" si="12"/>
        <v>3847597.41396618</v>
      </c>
      <c r="O21" s="22">
        <f>SUM(C21:N21)</f>
        <v>43935696.6388566</v>
      </c>
      <c r="P21" s="24">
        <f>O21/$O$16</f>
        <v>0.472155175574641</v>
      </c>
      <c r="Q21" s="6"/>
    </row>
    <row r="22" ht="16.8" spans="1:17">
      <c r="A22" s="7"/>
      <c r="B22" s="12" t="s">
        <v>36</v>
      </c>
      <c r="C22" s="13">
        <f t="shared" ref="C22:N22" si="13">C16-C21</f>
        <v>3107094.77090163</v>
      </c>
      <c r="D22" s="13">
        <f t="shared" si="13"/>
        <v>3494110.78953056</v>
      </c>
      <c r="E22" s="13">
        <f t="shared" si="13"/>
        <v>2602870.01753685</v>
      </c>
      <c r="F22" s="13">
        <f t="shared" si="13"/>
        <v>2312851.27340672</v>
      </c>
      <c r="G22" s="13">
        <f t="shared" si="13"/>
        <v>4833740.0877675</v>
      </c>
      <c r="H22" s="13">
        <f t="shared" si="13"/>
        <v>4371567.2791739</v>
      </c>
      <c r="I22" s="13">
        <f t="shared" si="13"/>
        <v>3565603.69790732</v>
      </c>
      <c r="J22" s="13">
        <f t="shared" si="13"/>
        <v>4611742.58178491</v>
      </c>
      <c r="K22" s="13">
        <f t="shared" si="13"/>
        <v>3575609.92217063</v>
      </c>
      <c r="L22" s="13">
        <f t="shared" si="13"/>
        <v>5332926.23931084</v>
      </c>
      <c r="M22" s="13">
        <f t="shared" si="13"/>
        <v>6146700.03237194</v>
      </c>
      <c r="N22" s="13">
        <f t="shared" si="13"/>
        <v>5162997.27706814</v>
      </c>
      <c r="O22" s="13">
        <f>SUM(C22:N22)</f>
        <v>49117813.968931</v>
      </c>
      <c r="P22" s="27">
        <f>O22/$O$16</f>
        <v>0.527844824425359</v>
      </c>
      <c r="Q22" s="6"/>
    </row>
    <row r="23" ht="16.8" spans="1:17">
      <c r="B23" s="14" t="s">
        <v>37</v>
      </c>
      <c r="C23" s="44">
        <f t="shared" ref="C23:O23" si="14">C19/C16</f>
        <v>0.510518276050191</v>
      </c>
      <c r="D23" s="44">
        <f t="shared" si="14"/>
        <v>0.512597904026476</v>
      </c>
      <c r="E23" s="44">
        <f t="shared" si="14"/>
        <v>0.485769018743109</v>
      </c>
      <c r="F23" s="44">
        <f t="shared" si="14"/>
        <v>0.484378151260504</v>
      </c>
      <c r="G23" s="44">
        <f t="shared" si="14"/>
        <v>0.54067481402763</v>
      </c>
      <c r="H23" s="44">
        <f t="shared" si="14"/>
        <v>0.533398032438181</v>
      </c>
      <c r="I23" s="44">
        <f t="shared" si="14"/>
        <v>0.56897486937049</v>
      </c>
      <c r="J23" s="44">
        <f t="shared" si="14"/>
        <v>0.570154652032926</v>
      </c>
      <c r="K23" s="44">
        <f t="shared" si="14"/>
        <v>0.577585863613738</v>
      </c>
      <c r="L23" s="44">
        <f t="shared" si="14"/>
        <v>0.584400401404917</v>
      </c>
      <c r="M23" s="44">
        <f t="shared" si="14"/>
        <v>0.59397284385215</v>
      </c>
      <c r="N23" s="44">
        <f t="shared" si="14"/>
        <v>0.597991845056065</v>
      </c>
      <c r="O23" s="44">
        <f t="shared" si="14"/>
        <v>0.552844824425359</v>
      </c>
      <c r="P23" s="29"/>
      <c r="Q23" s="6"/>
    </row>
    <row r="24" ht="16.8" spans="1:17">
      <c r="B24" s="14" t="s">
        <v>38</v>
      </c>
      <c r="C24" s="28">
        <f t="shared" ref="C24:O24" si="15">IFERROR(1-C21/C16,0)</f>
        <v>0.485518276050191</v>
      </c>
      <c r="D24" s="28">
        <f t="shared" si="15"/>
        <v>0.487597904026476</v>
      </c>
      <c r="E24" s="28">
        <f t="shared" si="15"/>
        <v>0.460769018743109</v>
      </c>
      <c r="F24" s="28">
        <f t="shared" si="15"/>
        <v>0.459378151260504</v>
      </c>
      <c r="G24" s="28">
        <f t="shared" si="15"/>
        <v>0.51567481402763</v>
      </c>
      <c r="H24" s="28">
        <f t="shared" si="15"/>
        <v>0.508398032438181</v>
      </c>
      <c r="I24" s="28">
        <f t="shared" si="15"/>
        <v>0.54397486937049</v>
      </c>
      <c r="J24" s="28">
        <f t="shared" si="15"/>
        <v>0.545154652032926</v>
      </c>
      <c r="K24" s="28">
        <f t="shared" si="15"/>
        <v>0.552585863613738</v>
      </c>
      <c r="L24" s="28">
        <f t="shared" si="15"/>
        <v>0.559400401404917</v>
      </c>
      <c r="M24" s="28">
        <f t="shared" si="15"/>
        <v>0.56897284385215</v>
      </c>
      <c r="N24" s="28">
        <f t="shared" si="15"/>
        <v>0.572991845056065</v>
      </c>
      <c r="O24" s="28">
        <f t="shared" si="15"/>
        <v>0.527844824425359</v>
      </c>
      <c r="P24" s="29"/>
      <c r="Q24" s="6"/>
    </row>
    <row r="25" ht="16.8" spans="1:17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29"/>
      <c r="Q25" s="6"/>
    </row>
    <row r="26" ht="16.8" spans="1:17">
      <c r="B26" s="17" t="s">
        <v>39</v>
      </c>
      <c r="C26" s="18">
        <f t="shared" ref="C26:N26" si="16">SUM(C27:C31)</f>
        <v>168570.109615596</v>
      </c>
      <c r="D26" s="18">
        <f t="shared" si="16"/>
        <v>532447.373024253</v>
      </c>
      <c r="E26" s="18">
        <f t="shared" si="16"/>
        <v>883126.12206775</v>
      </c>
      <c r="F26" s="18">
        <f t="shared" si="16"/>
        <v>500640.532138189</v>
      </c>
      <c r="G26" s="18">
        <f t="shared" si="16"/>
        <v>1981935.87983296</v>
      </c>
      <c r="H26" s="18">
        <f t="shared" si="16"/>
        <v>1166787.80139558</v>
      </c>
      <c r="I26" s="18">
        <f t="shared" si="16"/>
        <v>253187.237628397</v>
      </c>
      <c r="J26" s="18">
        <f t="shared" si="16"/>
        <v>387998.129158402</v>
      </c>
      <c r="K26" s="18">
        <f t="shared" si="16"/>
        <v>277675.190903382</v>
      </c>
      <c r="L26" s="18">
        <f t="shared" si="16"/>
        <v>1087420.13960103</v>
      </c>
      <c r="M26" s="18">
        <f t="shared" si="16"/>
        <v>421659.330837558</v>
      </c>
      <c r="N26" s="18">
        <f t="shared" si="16"/>
        <v>291501.52091873</v>
      </c>
      <c r="O26" s="18">
        <f t="shared" ref="O26:O31" si="17">SUM(C26:N26)</f>
        <v>7952949.36712183</v>
      </c>
      <c r="P26" s="23">
        <f t="shared" ref="P26:P31" si="18">O26/$O$16</f>
        <v>0.0854664086843839</v>
      </c>
      <c r="Q26" s="6"/>
    </row>
    <row r="27" ht="16.8" spans="1:17">
      <c r="A27" s="5"/>
      <c r="B27" s="4" t="s">
        <v>40</v>
      </c>
      <c r="C27" s="30">
        <v>0</v>
      </c>
      <c r="D27" s="30">
        <v>0</v>
      </c>
      <c r="E27" s="30">
        <v>15602.8990163316</v>
      </c>
      <c r="F27" s="30">
        <v>13051.6668721372</v>
      </c>
      <c r="G27" s="30">
        <v>27735.0520075346</v>
      </c>
      <c r="H27" s="30">
        <v>24433.1065910955</v>
      </c>
      <c r="I27" s="30">
        <v>15797.4118110978</v>
      </c>
      <c r="J27" s="30">
        <v>21760.8195832023</v>
      </c>
      <c r="K27" s="30">
        <v>17345.6130339325</v>
      </c>
      <c r="L27" s="30">
        <v>29151.7299941448</v>
      </c>
      <c r="M27" s="30">
        <v>22193.4166219888</v>
      </c>
      <c r="N27" s="30">
        <v>0</v>
      </c>
      <c r="O27" s="5">
        <f t="shared" si="17"/>
        <v>187071.715531465</v>
      </c>
      <c r="P27" s="29">
        <f t="shared" si="18"/>
        <v>0.0020103670921128</v>
      </c>
      <c r="Q27" s="4"/>
    </row>
    <row r="28" ht="16.8" spans="1:17">
      <c r="A28" s="5"/>
      <c r="B28" s="4" t="s">
        <v>41</v>
      </c>
      <c r="C28" s="30">
        <v>34415</v>
      </c>
      <c r="D28" s="30">
        <v>34415</v>
      </c>
      <c r="E28" s="30">
        <v>34415</v>
      </c>
      <c r="F28" s="30">
        <v>50077.0002465647</v>
      </c>
      <c r="G28" s="30">
        <v>200825.312045208</v>
      </c>
      <c r="H28" s="30">
        <v>112600.941091506</v>
      </c>
      <c r="I28" s="30">
        <v>34415</v>
      </c>
      <c r="J28" s="30">
        <v>60527.9834998428</v>
      </c>
      <c r="K28" s="30">
        <v>89920.9617085841</v>
      </c>
      <c r="L28" s="30">
        <v>69397.0759929738</v>
      </c>
      <c r="M28" s="30">
        <v>61047.0999463866</v>
      </c>
      <c r="N28" s="30">
        <v>34415</v>
      </c>
      <c r="O28" s="5">
        <f t="shared" si="17"/>
        <v>816471.374531065</v>
      </c>
      <c r="P28" s="29">
        <f t="shared" si="18"/>
        <v>0.00877421355946925</v>
      </c>
      <c r="Q28" s="71" t="s">
        <v>133</v>
      </c>
    </row>
    <row r="29" ht="16.8" spans="1:17">
      <c r="A29" s="5"/>
      <c r="B29" s="4" t="s">
        <v>42</v>
      </c>
      <c r="C29" s="30">
        <v>7639.47943358483</v>
      </c>
      <c r="D29" s="30">
        <v>6240.70771331494</v>
      </c>
      <c r="E29" s="30">
        <v>6241.15960653263</v>
      </c>
      <c r="F29" s="30">
        <v>26103.3337442745</v>
      </c>
      <c r="G29" s="30">
        <v>166410.312045208</v>
      </c>
      <c r="H29" s="30">
        <v>107505.66900082</v>
      </c>
      <c r="I29" s="30">
        <v>0</v>
      </c>
      <c r="J29" s="30">
        <v>26112.9834998428</v>
      </c>
      <c r="K29" s="30">
        <v>55505.9617085841</v>
      </c>
      <c r="L29" s="30">
        <v>58303.4599882896</v>
      </c>
      <c r="M29" s="30">
        <v>44386.8332439776</v>
      </c>
      <c r="N29" s="30">
        <v>7761.91521310453</v>
      </c>
      <c r="O29" s="5">
        <f t="shared" si="17"/>
        <v>512211.815197533</v>
      </c>
      <c r="P29" s="29">
        <f t="shared" si="18"/>
        <v>0.00550448673942525</v>
      </c>
      <c r="Q29" s="6"/>
    </row>
    <row r="30" ht="16.8" spans="1:17">
      <c r="A30" s="5"/>
      <c r="B30" s="4" t="s">
        <v>43</v>
      </c>
      <c r="C30" s="30">
        <v>7639.47943358483</v>
      </c>
      <c r="D30" s="30">
        <v>6240.70771331494</v>
      </c>
      <c r="E30" s="30">
        <v>49929.276852261</v>
      </c>
      <c r="F30" s="30">
        <v>5220.66674885489</v>
      </c>
      <c r="G30" s="30">
        <v>33282.0624090415</v>
      </c>
      <c r="H30" s="30">
        <v>9773.24263643819</v>
      </c>
      <c r="I30" s="30">
        <v>6318.96472443911</v>
      </c>
      <c r="J30" s="30">
        <v>8704.32783328093</v>
      </c>
      <c r="K30" s="30">
        <v>6938.24521357301</v>
      </c>
      <c r="L30" s="30">
        <v>23321.3839953158</v>
      </c>
      <c r="M30" s="30">
        <v>17754.733297591</v>
      </c>
      <c r="N30" s="30">
        <v>7761.91521310453</v>
      </c>
      <c r="O30" s="5">
        <f t="shared" si="17"/>
        <v>182885.0060708</v>
      </c>
      <c r="P30" s="29">
        <f t="shared" si="18"/>
        <v>0.00196537459872572</v>
      </c>
      <c r="Q30" s="6"/>
    </row>
    <row r="31" ht="16.8" collapsed="1" spans="1:17">
      <c r="A31" s="5"/>
      <c r="B31" s="4" t="s">
        <v>44</v>
      </c>
      <c r="C31" s="30">
        <v>118876.150748426</v>
      </c>
      <c r="D31" s="30">
        <v>485550.957597623</v>
      </c>
      <c r="E31" s="30">
        <v>776937.786592625</v>
      </c>
      <c r="F31" s="30">
        <v>406187.864526357</v>
      </c>
      <c r="G31" s="30">
        <v>1553683.14132597</v>
      </c>
      <c r="H31" s="30">
        <v>912474.842075719</v>
      </c>
      <c r="I31" s="30">
        <v>196655.86109286</v>
      </c>
      <c r="J31" s="30">
        <v>270892.014742233</v>
      </c>
      <c r="K31" s="30">
        <v>107964.409238709</v>
      </c>
      <c r="L31" s="30">
        <v>907246.489630304</v>
      </c>
      <c r="M31" s="30">
        <v>276277.247727614</v>
      </c>
      <c r="N31" s="30">
        <v>241562.690492521</v>
      </c>
      <c r="O31" s="5">
        <f t="shared" si="17"/>
        <v>6254309.45579096</v>
      </c>
      <c r="P31" s="29">
        <f t="shared" si="18"/>
        <v>0.0672119666946509</v>
      </c>
      <c r="Q31" s="6"/>
    </row>
    <row r="32" ht="16.8" hidden="1" outlineLevel="1" spans="1:17">
      <c r="A32" s="5"/>
      <c r="B32" s="4" t="s">
        <v>45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29"/>
      <c r="Q32" s="6"/>
    </row>
    <row r="33" ht="16.8" hidden="1" outlineLevel="1" spans="1:17">
      <c r="A33" s="5"/>
      <c r="B33" s="4" t="s">
        <v>46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29"/>
      <c r="Q33" s="6"/>
    </row>
    <row r="34" ht="16.8" hidden="1" outlineLevel="1" spans="1:17">
      <c r="A34" s="5"/>
      <c r="B34" s="4" t="s">
        <v>47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29"/>
      <c r="Q34" s="6"/>
    </row>
    <row r="35" ht="16.8" hidden="1" outlineLevel="1" spans="1:17">
      <c r="A35" s="5"/>
      <c r="B35" s="4" t="s">
        <v>48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29"/>
      <c r="Q35" s="6"/>
    </row>
    <row r="36" ht="16.8" hidden="1" outlineLevel="1" spans="1:17">
      <c r="A36" s="5"/>
      <c r="B36" s="4" t="s">
        <v>49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5"/>
      <c r="P36" s="29"/>
      <c r="Q36" s="6"/>
    </row>
    <row r="37" ht="16.8" spans="1:17">
      <c r="B37" s="17" t="s">
        <v>50</v>
      </c>
      <c r="C37" s="18">
        <f t="shared" ref="C37:N37" si="19">SUM(C38:C40)</f>
        <v>1200002.98763207</v>
      </c>
      <c r="D37" s="18">
        <f t="shared" si="19"/>
        <v>1709825.64570796</v>
      </c>
      <c r="E37" s="18">
        <f t="shared" si="19"/>
        <v>1106357.77075221</v>
      </c>
      <c r="F37" s="18">
        <f t="shared" si="19"/>
        <v>1005779.79159292</v>
      </c>
      <c r="G37" s="18">
        <f t="shared" si="19"/>
        <v>2172484.34984071</v>
      </c>
      <c r="H37" s="18">
        <f t="shared" si="19"/>
        <v>2232831.13733628</v>
      </c>
      <c r="I37" s="18">
        <f t="shared" si="19"/>
        <v>1247166.94157522</v>
      </c>
      <c r="J37" s="18">
        <f t="shared" si="19"/>
        <v>2320226.28867766</v>
      </c>
      <c r="K37" s="18">
        <f t="shared" si="19"/>
        <v>1206935.7499115</v>
      </c>
      <c r="L37" s="18">
        <f t="shared" si="19"/>
        <v>2172484.34984071</v>
      </c>
      <c r="M37" s="18">
        <f t="shared" si="19"/>
        <v>2232831.13733628</v>
      </c>
      <c r="N37" s="18">
        <f t="shared" si="19"/>
        <v>1508669.68738938</v>
      </c>
      <c r="O37" s="18">
        <f>SUM(C37:N37)</f>
        <v>20115595.8375929</v>
      </c>
      <c r="P37" s="23">
        <f>O37/$O$16</f>
        <v>0.216172347568684</v>
      </c>
      <c r="Q37" s="6"/>
    </row>
    <row r="38" ht="16.8" spans="1:17">
      <c r="A38" s="5"/>
      <c r="B38" s="4" t="s">
        <v>51</v>
      </c>
      <c r="C38" s="31">
        <v>960002.39010566</v>
      </c>
      <c r="D38" s="31">
        <v>1367860.51656637</v>
      </c>
      <c r="E38" s="31">
        <v>885086.21660177</v>
      </c>
      <c r="F38" s="31">
        <v>804623.833274336</v>
      </c>
      <c r="G38" s="31">
        <v>1737987.47987257</v>
      </c>
      <c r="H38" s="31">
        <v>1786264.90986903</v>
      </c>
      <c r="I38" s="31">
        <v>997733.553260177</v>
      </c>
      <c r="J38" s="31">
        <v>1856181.03094213</v>
      </c>
      <c r="K38" s="31">
        <v>965548.599929204</v>
      </c>
      <c r="L38" s="31">
        <v>1737987.47987257</v>
      </c>
      <c r="M38" s="31">
        <v>1786264.90986903</v>
      </c>
      <c r="N38" s="31">
        <v>1206935.7499115</v>
      </c>
      <c r="O38" s="5">
        <f>SUM(C38:N38)</f>
        <v>16092476.6700743</v>
      </c>
      <c r="P38" s="29">
        <f>O38/$O$16</f>
        <v>0.172937878054948</v>
      </c>
      <c r="Q38" s="6" t="s">
        <v>91</v>
      </c>
    </row>
    <row r="39" ht="16.8" spans="1:17">
      <c r="A39" s="5"/>
      <c r="B39" s="4" t="s">
        <v>53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5">
        <f>SUM(C39:N39)</f>
        <v>0</v>
      </c>
      <c r="P39" s="29">
        <f>O39/$O$16</f>
        <v>0</v>
      </c>
      <c r="Q39" s="6" t="s">
        <v>91</v>
      </c>
    </row>
    <row r="40" ht="16.8" collapsed="1" spans="1:17">
      <c r="A40" s="5"/>
      <c r="B40" s="4" t="s">
        <v>55</v>
      </c>
      <c r="C40" s="31">
        <v>240000.597526415</v>
      </c>
      <c r="D40" s="31">
        <v>341965.129141593</v>
      </c>
      <c r="E40" s="31">
        <v>221271.554150443</v>
      </c>
      <c r="F40" s="31">
        <v>201155.958318584</v>
      </c>
      <c r="G40" s="31">
        <v>434496.869968142</v>
      </c>
      <c r="H40" s="31">
        <v>446566.227467257</v>
      </c>
      <c r="I40" s="31">
        <v>249433.388315044</v>
      </c>
      <c r="J40" s="31">
        <v>464045.257735532</v>
      </c>
      <c r="K40" s="31">
        <v>241387.149982301</v>
      </c>
      <c r="L40" s="31">
        <v>434496.869968142</v>
      </c>
      <c r="M40" s="31">
        <v>446566.227467257</v>
      </c>
      <c r="N40" s="31">
        <v>301733.937477876</v>
      </c>
      <c r="O40" s="5">
        <f>SUM(C40:N40)</f>
        <v>4023119.16751858</v>
      </c>
      <c r="P40" s="29">
        <f>O40/$O$16</f>
        <v>0.0432344695137369</v>
      </c>
      <c r="Q40" s="6" t="s">
        <v>91</v>
      </c>
    </row>
    <row r="41" ht="16.8" hidden="1" outlineLevel="1" spans="1:17">
      <c r="A41" s="5"/>
      <c r="B41" s="4" t="s">
        <v>57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29">
        <f>O38/$O$16</f>
        <v>0.172937878054948</v>
      </c>
      <c r="Q41" s="6" t="s">
        <v>91</v>
      </c>
    </row>
    <row r="42" ht="16.8" hidden="1" outlineLevel="1" spans="1:17">
      <c r="A42" s="5"/>
      <c r="B42" s="4" t="s">
        <v>58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29">
        <f>O39/$O$16</f>
        <v>0</v>
      </c>
      <c r="Q42" s="6" t="s">
        <v>91</v>
      </c>
    </row>
    <row r="43" ht="16.8" hidden="1" outlineLevel="1" spans="1:17">
      <c r="A43" s="5"/>
      <c r="B43" s="4" t="s">
        <v>59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29">
        <f>O40/$O$16</f>
        <v>0.0432344695137369</v>
      </c>
      <c r="Q43" s="6" t="s">
        <v>91</v>
      </c>
    </row>
    <row r="44" ht="16.8" spans="1:17">
      <c r="B44" s="17" t="s">
        <v>60</v>
      </c>
      <c r="C44" s="18">
        <f t="shared" ref="C44:N44" si="20">SUM(C45:C46)</f>
        <v>127990.84706671</v>
      </c>
      <c r="D44" s="18">
        <f t="shared" si="20"/>
        <v>143319.352305536</v>
      </c>
      <c r="E44" s="18">
        <f t="shared" si="20"/>
        <v>112979.384969805</v>
      </c>
      <c r="F44" s="18">
        <f t="shared" si="20"/>
        <v>100694.874889474</v>
      </c>
      <c r="G44" s="18">
        <f t="shared" si="20"/>
        <v>187472.413089715</v>
      </c>
      <c r="H44" s="18">
        <f t="shared" si="20"/>
        <v>171974.20132445</v>
      </c>
      <c r="I44" s="18">
        <f t="shared" si="20"/>
        <v>131094.427286083</v>
      </c>
      <c r="J44" s="18">
        <f t="shared" si="20"/>
        <v>169190.249577339</v>
      </c>
      <c r="K44" s="18">
        <f t="shared" si="20"/>
        <v>129413.731244852</v>
      </c>
      <c r="L44" s="18">
        <f t="shared" si="20"/>
        <v>190665.799520964</v>
      </c>
      <c r="M44" s="18">
        <f t="shared" si="20"/>
        <v>216063.037060138</v>
      </c>
      <c r="N44" s="18">
        <f t="shared" si="20"/>
        <v>180211.893820686</v>
      </c>
      <c r="O44" s="18">
        <f>SUM(C44:N44)</f>
        <v>1861070.21215575</v>
      </c>
      <c r="P44" s="23">
        <f>O44/$O$16</f>
        <v>0.02</v>
      </c>
      <c r="Q44" s="6"/>
    </row>
    <row r="45" ht="16.8" spans="1:17">
      <c r="A45" s="5"/>
      <c r="B45" s="4" t="s">
        <v>61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5"/>
      <c r="P45" s="29">
        <v>0.01</v>
      </c>
      <c r="Q45" s="6" t="s">
        <v>92</v>
      </c>
    </row>
    <row r="46" ht="16.8" spans="1:17">
      <c r="A46" s="5"/>
      <c r="B46" s="4" t="s">
        <v>63</v>
      </c>
      <c r="C46" s="30">
        <f t="shared" ref="C46:N46" si="21">C16*$P$46</f>
        <v>127990.84706671</v>
      </c>
      <c r="D46" s="30">
        <f t="shared" si="21"/>
        <v>143319.352305536</v>
      </c>
      <c r="E46" s="30">
        <f t="shared" si="21"/>
        <v>112979.384969805</v>
      </c>
      <c r="F46" s="30">
        <f t="shared" si="21"/>
        <v>100694.874889474</v>
      </c>
      <c r="G46" s="30">
        <f t="shared" si="21"/>
        <v>187472.413089715</v>
      </c>
      <c r="H46" s="30">
        <f t="shared" si="21"/>
        <v>171974.20132445</v>
      </c>
      <c r="I46" s="30">
        <f t="shared" si="21"/>
        <v>131094.427286083</v>
      </c>
      <c r="J46" s="30">
        <f t="shared" si="21"/>
        <v>169190.249577339</v>
      </c>
      <c r="K46" s="30">
        <f t="shared" si="21"/>
        <v>129413.731244852</v>
      </c>
      <c r="L46" s="30">
        <f t="shared" si="21"/>
        <v>190665.799520964</v>
      </c>
      <c r="M46" s="30">
        <f t="shared" si="21"/>
        <v>216063.037060138</v>
      </c>
      <c r="N46" s="30">
        <f t="shared" si="21"/>
        <v>180211.893820686</v>
      </c>
      <c r="O46" s="5">
        <f>SUM(C46:N46)</f>
        <v>1861070.21215575</v>
      </c>
      <c r="P46" s="29">
        <v>0.02</v>
      </c>
      <c r="Q46" s="4" t="s">
        <v>83</v>
      </c>
    </row>
    <row r="47" ht="16.8" spans="1:17">
      <c r="B47" s="17" t="s">
        <v>65</v>
      </c>
      <c r="C47" s="18">
        <f t="shared" ref="C47:N47" si="22">SUM(C48:C51)</f>
        <v>0</v>
      </c>
      <c r="D47" s="18">
        <f t="shared" si="22"/>
        <v>0</v>
      </c>
      <c r="E47" s="18">
        <f t="shared" si="22"/>
        <v>0</v>
      </c>
      <c r="F47" s="18">
        <f t="shared" si="22"/>
        <v>0</v>
      </c>
      <c r="G47" s="18">
        <f t="shared" si="22"/>
        <v>0</v>
      </c>
      <c r="H47" s="18">
        <f t="shared" si="22"/>
        <v>0</v>
      </c>
      <c r="I47" s="18">
        <f t="shared" si="22"/>
        <v>0</v>
      </c>
      <c r="J47" s="18">
        <f t="shared" si="22"/>
        <v>0</v>
      </c>
      <c r="K47" s="18">
        <f t="shared" si="22"/>
        <v>0</v>
      </c>
      <c r="L47" s="18">
        <f t="shared" si="22"/>
        <v>0</v>
      </c>
      <c r="M47" s="18">
        <f t="shared" si="22"/>
        <v>0</v>
      </c>
      <c r="N47" s="18">
        <f t="shared" si="22"/>
        <v>0</v>
      </c>
      <c r="O47" s="18">
        <f>SUM(C47:N47)</f>
        <v>0</v>
      </c>
      <c r="P47" s="23">
        <f t="shared" ref="P47:P52" si="23">O47/$O$16</f>
        <v>0</v>
      </c>
      <c r="Q47" s="6"/>
    </row>
    <row r="48" ht="16.8" spans="1:17">
      <c r="A48" s="5"/>
      <c r="B48" s="4" t="s">
        <v>66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5"/>
      <c r="P48" s="29">
        <f t="shared" si="23"/>
        <v>0</v>
      </c>
      <c r="Q48" s="4" t="s">
        <v>95</v>
      </c>
    </row>
    <row r="49" ht="16.8" spans="1:18">
      <c r="A49" s="5"/>
      <c r="B49" s="4" t="s">
        <v>67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5"/>
      <c r="P49" s="29">
        <f t="shared" si="23"/>
        <v>0</v>
      </c>
      <c r="Q49" s="4" t="s">
        <v>95</v>
      </c>
    </row>
    <row r="50" ht="16.8" spans="1:18">
      <c r="A50" s="5"/>
      <c r="B50" s="4" t="s">
        <v>68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5">
        <f>SUM(C50:N50)</f>
        <v>0</v>
      </c>
      <c r="P50" s="29">
        <f t="shared" si="23"/>
        <v>0</v>
      </c>
      <c r="Q50" s="4" t="s">
        <v>95</v>
      </c>
    </row>
    <row r="51" ht="16.8" spans="1:18">
      <c r="B51" s="4" t="s">
        <v>69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5">
        <f>SUM(C51:N51)</f>
        <v>0</v>
      </c>
      <c r="P51" s="29">
        <f t="shared" si="23"/>
        <v>0</v>
      </c>
      <c r="Q51" s="4" t="s">
        <v>95</v>
      </c>
    </row>
    <row r="52" ht="16.8" spans="1:18">
      <c r="B52" s="21" t="s">
        <v>70</v>
      </c>
      <c r="C52" s="22">
        <f t="shared" ref="C52:N52" si="24">SUM(C26,C37,C44,C47)</f>
        <v>1496563.94431438</v>
      </c>
      <c r="D52" s="22">
        <f t="shared" si="24"/>
        <v>2385592.37103775</v>
      </c>
      <c r="E52" s="22">
        <f t="shared" si="24"/>
        <v>2102463.27778977</v>
      </c>
      <c r="F52" s="22">
        <f t="shared" si="24"/>
        <v>1607115.19862058</v>
      </c>
      <c r="G52" s="22">
        <f t="shared" si="24"/>
        <v>4341892.64276338</v>
      </c>
      <c r="H52" s="22">
        <f t="shared" si="24"/>
        <v>3571593.14005631</v>
      </c>
      <c r="I52" s="22">
        <f t="shared" si="24"/>
        <v>1631448.6064897</v>
      </c>
      <c r="J52" s="22">
        <f t="shared" si="24"/>
        <v>2877414.6674134</v>
      </c>
      <c r="K52" s="22">
        <f t="shared" si="24"/>
        <v>1614024.67205974</v>
      </c>
      <c r="L52" s="22">
        <f t="shared" si="24"/>
        <v>3450570.2889627</v>
      </c>
      <c r="M52" s="22">
        <f t="shared" si="24"/>
        <v>2870553.50523398</v>
      </c>
      <c r="N52" s="22">
        <f t="shared" si="24"/>
        <v>1980383.1021288</v>
      </c>
      <c r="O52" s="22">
        <f>SUM(C52:N52)</f>
        <v>29929615.4168705</v>
      </c>
      <c r="P52" s="24">
        <f t="shared" si="23"/>
        <v>0.321638756253068</v>
      </c>
      <c r="Q52" s="6"/>
    </row>
    <row r="53" ht="16.8" spans="1:18">
      <c r="A53" s="5"/>
      <c r="B53" s="4" t="s">
        <v>71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5"/>
      <c r="P53" s="29">
        <v>0.053</v>
      </c>
      <c r="Q53" s="6"/>
    </row>
    <row r="54" ht="16.8" spans="1:18">
      <c r="A54" s="5"/>
      <c r="B54" s="4" t="s">
        <v>73</v>
      </c>
      <c r="C54" s="30">
        <f t="shared" ref="C54:N54" si="25">C16*$P$54</f>
        <v>89593.5929466967</v>
      </c>
      <c r="D54" s="30">
        <f t="shared" si="25"/>
        <v>100323.546613875</v>
      </c>
      <c r="E54" s="30">
        <f t="shared" si="25"/>
        <v>79085.5694788635</v>
      </c>
      <c r="F54" s="30">
        <f t="shared" si="25"/>
        <v>70486.4124226319</v>
      </c>
      <c r="G54" s="30">
        <f t="shared" si="25"/>
        <v>131230.689162801</v>
      </c>
      <c r="H54" s="30">
        <f t="shared" si="25"/>
        <v>120381.940927115</v>
      </c>
      <c r="I54" s="30">
        <f t="shared" si="25"/>
        <v>91766.0991002584</v>
      </c>
      <c r="J54" s="30">
        <f t="shared" si="25"/>
        <v>118433.174704137</v>
      </c>
      <c r="K54" s="30">
        <f t="shared" si="25"/>
        <v>90589.6118713963</v>
      </c>
      <c r="L54" s="30">
        <f t="shared" si="25"/>
        <v>133466.059664675</v>
      </c>
      <c r="M54" s="30">
        <f t="shared" si="25"/>
        <v>151244.125942096</v>
      </c>
      <c r="N54" s="30">
        <f t="shared" si="25"/>
        <v>126148.325674481</v>
      </c>
      <c r="O54" s="5">
        <f t="shared" ref="O54:O60" si="26">SUM(C54:N54)</f>
        <v>1302749.14850903</v>
      </c>
      <c r="P54" s="29">
        <v>0.014</v>
      </c>
      <c r="Q54" s="6"/>
    </row>
    <row r="55" ht="16.8" spans="1:18">
      <c r="A55" s="5"/>
      <c r="B55" s="4" t="s">
        <v>75</v>
      </c>
      <c r="C55" s="30">
        <v>493123.688004847</v>
      </c>
      <c r="D55" s="30">
        <v>322459.142275067</v>
      </c>
      <c r="E55" s="30">
        <v>251515.619897687</v>
      </c>
      <c r="F55" s="30">
        <v>387068.263223837</v>
      </c>
      <c r="G55" s="30">
        <v>332413.134985326</v>
      </c>
      <c r="H55" s="30">
        <v>232878.342054769</v>
      </c>
      <c r="I55" s="30">
        <v>324464.036453058</v>
      </c>
      <c r="J55" s="30">
        <v>251022.506011283</v>
      </c>
      <c r="K55" s="30">
        <v>345893.1370234</v>
      </c>
      <c r="L55" s="30">
        <v>273022.666534313</v>
      </c>
      <c r="M55" s="30">
        <v>239135.964274375</v>
      </c>
      <c r="N55" s="30">
        <v>233319.414106497</v>
      </c>
      <c r="O55" s="5">
        <f t="shared" si="26"/>
        <v>3686315.91484446</v>
      </c>
      <c r="P55" s="29">
        <v>0.03</v>
      </c>
      <c r="Q55" s="6"/>
    </row>
    <row r="56" ht="16.8" spans="1:18">
      <c r="A56" s="5"/>
      <c r="B56" s="4" t="s">
        <v>77</v>
      </c>
      <c r="C56" s="30">
        <f t="shared" ref="C56:N56" si="27">C16*$P$56</f>
        <v>6399.54235333548</v>
      </c>
      <c r="D56" s="30">
        <f t="shared" si="27"/>
        <v>7165.96761527678</v>
      </c>
      <c r="E56" s="30">
        <f t="shared" si="27"/>
        <v>5648.96924849025</v>
      </c>
      <c r="F56" s="30">
        <f t="shared" si="27"/>
        <v>5034.74374447371</v>
      </c>
      <c r="G56" s="30">
        <f t="shared" si="27"/>
        <v>9373.62065448577</v>
      </c>
      <c r="H56" s="30">
        <f t="shared" si="27"/>
        <v>8598.71006622249</v>
      </c>
      <c r="I56" s="30">
        <f t="shared" si="27"/>
        <v>6554.72136430417</v>
      </c>
      <c r="J56" s="30">
        <f t="shared" si="27"/>
        <v>8459.51247886696</v>
      </c>
      <c r="K56" s="30">
        <f t="shared" si="27"/>
        <v>6470.68656224259</v>
      </c>
      <c r="L56" s="30">
        <f t="shared" si="27"/>
        <v>9533.2899760482</v>
      </c>
      <c r="M56" s="30">
        <f t="shared" si="27"/>
        <v>10803.1518530069</v>
      </c>
      <c r="N56" s="30">
        <f t="shared" si="27"/>
        <v>9010.59469103432</v>
      </c>
      <c r="O56" s="5">
        <f t="shared" si="26"/>
        <v>93053.5106077876</v>
      </c>
      <c r="P56" s="29">
        <v>0.001</v>
      </c>
      <c r="Q56" s="6"/>
    </row>
    <row r="57" ht="16.8" spans="1:18">
      <c r="A57" s="5"/>
      <c r="B57" s="4" t="s">
        <v>79</v>
      </c>
      <c r="C57" s="30">
        <v>58346.3729593709</v>
      </c>
      <c r="E57" s="30"/>
      <c r="F57" s="30"/>
      <c r="G57" s="30">
        <v>23338.5491837484</v>
      </c>
      <c r="H57" s="30"/>
      <c r="I57" s="30"/>
      <c r="J57" s="30"/>
      <c r="K57" s="30"/>
      <c r="L57" s="30">
        <v>23338.5491837484</v>
      </c>
      <c r="M57" s="30"/>
      <c r="N57" s="30">
        <v>70015.6475512451</v>
      </c>
      <c r="O57" s="5">
        <f t="shared" si="26"/>
        <v>175039.118878113</v>
      </c>
      <c r="P57" s="29">
        <f>O57/$O$16</f>
        <v>0.00188105873421463</v>
      </c>
      <c r="Q57" s="4"/>
    </row>
    <row r="58" ht="16.8" spans="1:18">
      <c r="B58" s="21" t="s">
        <v>80</v>
      </c>
      <c r="C58" s="22">
        <f t="shared" ref="C58:N58" si="28">SUM(C53:C57)</f>
        <v>647463.19626425</v>
      </c>
      <c r="D58" s="22">
        <f t="shared" si="28"/>
        <v>429948.656504219</v>
      </c>
      <c r="E58" s="22">
        <f t="shared" si="28"/>
        <v>336250.15862504</v>
      </c>
      <c r="F58" s="22">
        <f t="shared" si="28"/>
        <v>462589.419390942</v>
      </c>
      <c r="G58" s="22">
        <f t="shared" si="28"/>
        <v>496355.993986361</v>
      </c>
      <c r="H58" s="22">
        <f t="shared" si="28"/>
        <v>361858.993048106</v>
      </c>
      <c r="I58" s="22">
        <f t="shared" si="28"/>
        <v>422784.856917621</v>
      </c>
      <c r="J58" s="22">
        <f t="shared" si="28"/>
        <v>377915.193194287</v>
      </c>
      <c r="K58" s="22">
        <f t="shared" si="28"/>
        <v>442953.435457039</v>
      </c>
      <c r="L58" s="22">
        <f t="shared" si="28"/>
        <v>439360.565358785</v>
      </c>
      <c r="M58" s="22">
        <f t="shared" si="28"/>
        <v>401183.242069478</v>
      </c>
      <c r="N58" s="22">
        <f t="shared" si="28"/>
        <v>438493.982023257</v>
      </c>
      <c r="O58" s="22">
        <f t="shared" si="26"/>
        <v>5257157.69283939</v>
      </c>
      <c r="P58" s="24">
        <f>O58/$O$16</f>
        <v>0.0564960704706547</v>
      </c>
      <c r="Q58" s="6"/>
    </row>
    <row r="59" ht="16.8" spans="1:18">
      <c r="A59" s="7"/>
      <c r="B59" s="12" t="s">
        <v>81</v>
      </c>
      <c r="C59" s="13">
        <f t="shared" ref="C59:N59" si="29">SUM(C52,C58)</f>
        <v>2144027.14057863</v>
      </c>
      <c r="D59" s="13">
        <f t="shared" si="29"/>
        <v>2815541.02754197</v>
      </c>
      <c r="E59" s="13">
        <f t="shared" si="29"/>
        <v>2438713.43641481</v>
      </c>
      <c r="F59" s="13">
        <f t="shared" si="29"/>
        <v>2069704.61801153</v>
      </c>
      <c r="G59" s="13">
        <f t="shared" si="29"/>
        <v>4838248.63674975</v>
      </c>
      <c r="H59" s="13">
        <f t="shared" si="29"/>
        <v>3933452.13310442</v>
      </c>
      <c r="I59" s="13">
        <f t="shared" si="29"/>
        <v>2054233.46340732</v>
      </c>
      <c r="J59" s="13">
        <f t="shared" si="29"/>
        <v>3255329.86060769</v>
      </c>
      <c r="K59" s="13">
        <f t="shared" si="29"/>
        <v>2056978.10751678</v>
      </c>
      <c r="L59" s="13">
        <f t="shared" si="29"/>
        <v>3889930.85432148</v>
      </c>
      <c r="M59" s="13">
        <f t="shared" si="29"/>
        <v>3271736.74730346</v>
      </c>
      <c r="N59" s="13">
        <f t="shared" si="29"/>
        <v>2418877.08415205</v>
      </c>
      <c r="O59" s="13">
        <f t="shared" si="26"/>
        <v>35186773.1097099</v>
      </c>
      <c r="P59" s="27">
        <f>O59/$O$16</f>
        <v>0.378134826723723</v>
      </c>
      <c r="Q59" s="32"/>
      <c r="R59" s="33"/>
    </row>
    <row r="60" ht="16.8" spans="1:18">
      <c r="A60" s="7"/>
      <c r="B60" s="12" t="s">
        <v>82</v>
      </c>
      <c r="C60" s="13">
        <f t="shared" ref="C60:N60" si="30">C22-C59</f>
        <v>963067.630322996</v>
      </c>
      <c r="D60" s="13">
        <f t="shared" si="30"/>
        <v>678569.761988586</v>
      </c>
      <c r="E60" s="13">
        <f t="shared" si="30"/>
        <v>164156.581122044</v>
      </c>
      <c r="F60" s="13">
        <f t="shared" si="30"/>
        <v>243146.655395195</v>
      </c>
      <c r="G60" s="13">
        <f t="shared" si="30"/>
        <v>-4508.54898224305</v>
      </c>
      <c r="H60" s="13">
        <f t="shared" si="30"/>
        <v>438115.146069482</v>
      </c>
      <c r="I60" s="13">
        <f t="shared" si="30"/>
        <v>1511370.2345</v>
      </c>
      <c r="J60" s="13">
        <f t="shared" si="30"/>
        <v>1356412.72117723</v>
      </c>
      <c r="K60" s="13">
        <f t="shared" si="30"/>
        <v>1518631.81465386</v>
      </c>
      <c r="L60" s="13">
        <f t="shared" si="30"/>
        <v>1442995.38498935</v>
      </c>
      <c r="M60" s="13">
        <f t="shared" si="30"/>
        <v>2874963.28506849</v>
      </c>
      <c r="N60" s="13">
        <f t="shared" si="30"/>
        <v>2744120.19291609</v>
      </c>
      <c r="O60" s="13">
        <f t="shared" si="26"/>
        <v>13931040.8592211</v>
      </c>
      <c r="P60" s="27">
        <f>O60/$O$16</f>
        <v>0.149709997701636</v>
      </c>
      <c r="Q60" s="32"/>
      <c r="R60" s="34"/>
    </row>
    <row r="61" spans="1:18">
      <c r="Q61" s="6"/>
    </row>
    <row r="62" spans="1:18">
      <c r="B62" s="61" t="s">
        <v>117</v>
      </c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35"/>
      <c r="Q62" s="6"/>
    </row>
    <row r="63" ht="16.8" spans="1:18">
      <c r="B63" s="63" t="s">
        <v>118</v>
      </c>
      <c r="C63" s="63">
        <v>366.6</v>
      </c>
      <c r="D63" s="63">
        <v>362.6</v>
      </c>
      <c r="E63" s="63">
        <v>362.8</v>
      </c>
      <c r="F63" s="63">
        <v>357</v>
      </c>
      <c r="G63" s="63">
        <v>376.4</v>
      </c>
      <c r="H63" s="63">
        <v>376.1</v>
      </c>
      <c r="I63" s="63">
        <v>401.9</v>
      </c>
      <c r="J63" s="63">
        <v>400.9</v>
      </c>
      <c r="K63" s="63">
        <v>401.8</v>
      </c>
      <c r="L63" s="63">
        <v>398.6</v>
      </c>
      <c r="M63" s="63">
        <v>397.7</v>
      </c>
      <c r="N63" s="63">
        <v>392.4</v>
      </c>
      <c r="Q63" s="6"/>
    </row>
    <row r="64" ht="16.8" spans="1:18">
      <c r="B64" s="63" t="s">
        <v>119</v>
      </c>
      <c r="C64" s="63">
        <v>158.8</v>
      </c>
      <c r="D64" s="63">
        <v>156.4</v>
      </c>
      <c r="E64" s="63">
        <v>165.1</v>
      </c>
      <c r="F64" s="63">
        <v>162.9</v>
      </c>
      <c r="G64" s="63">
        <v>153</v>
      </c>
      <c r="H64" s="63">
        <v>155.3</v>
      </c>
      <c r="I64" s="63">
        <v>153.3</v>
      </c>
      <c r="J64" s="63">
        <v>152.5</v>
      </c>
      <c r="K64" s="63">
        <v>150.2</v>
      </c>
      <c r="L64" s="63">
        <v>146.6</v>
      </c>
      <c r="M64" s="63">
        <v>142.9</v>
      </c>
      <c r="N64" s="63">
        <v>139.6</v>
      </c>
      <c r="Q64" s="6"/>
    </row>
    <row r="65" spans="2:17">
      <c r="B65" s="61" t="s">
        <v>16</v>
      </c>
      <c r="C65" s="64">
        <f t="shared" ref="C65:N65" si="31">C8/C63</f>
        <v>19725.8124911868</v>
      </c>
      <c r="D65" s="64">
        <f t="shared" si="31"/>
        <v>22331.8902516899</v>
      </c>
      <c r="E65" s="64">
        <f t="shared" si="31"/>
        <v>17594.6396107883</v>
      </c>
      <c r="F65" s="64">
        <f t="shared" si="31"/>
        <v>15936.3037290064</v>
      </c>
      <c r="G65" s="64">
        <f t="shared" si="31"/>
        <v>28140.7846428505</v>
      </c>
      <c r="H65" s="64">
        <f t="shared" si="31"/>
        <v>25834.997008326</v>
      </c>
      <c r="I65" s="64">
        <f t="shared" si="31"/>
        <v>18429.5475035176</v>
      </c>
      <c r="J65" s="64">
        <f t="shared" si="31"/>
        <v>23844.4726892484</v>
      </c>
      <c r="K65" s="64">
        <f t="shared" si="31"/>
        <v>18197.7994408515</v>
      </c>
      <c r="L65" s="64">
        <f t="shared" si="31"/>
        <v>27026.1356571361</v>
      </c>
      <c r="M65" s="64">
        <f t="shared" si="31"/>
        <v>30695.4025494035</v>
      </c>
      <c r="N65" s="64">
        <f t="shared" si="31"/>
        <v>25947.9408788705</v>
      </c>
      <c r="Q65" s="6"/>
    </row>
    <row r="66" spans="2:17">
      <c r="Q66" s="6"/>
    </row>
    <row r="67" spans="2:17">
      <c r="Q67" s="6"/>
    </row>
    <row r="68" spans="2:17">
      <c r="Q68" s="6"/>
    </row>
    <row r="69" spans="2:17">
      <c r="Q69" s="6"/>
    </row>
    <row r="70" spans="2:17">
      <c r="Q70" s="6"/>
    </row>
    <row r="71" spans="2:17">
      <c r="Q71" s="6"/>
    </row>
    <row r="72" spans="2:17">
      <c r="Q72" s="6"/>
    </row>
    <row r="73" spans="2:17">
      <c r="Q73" s="6"/>
    </row>
    <row r="74" spans="2:17">
      <c r="Q74" s="6"/>
    </row>
    <row r="75" spans="2:17">
      <c r="Q75" s="6"/>
    </row>
    <row r="76" spans="2:17">
      <c r="Q76" s="6"/>
    </row>
    <row r="77" spans="2:17">
      <c r="Q77" s="6"/>
    </row>
    <row r="78" spans="2:17">
      <c r="Q78" s="6"/>
    </row>
    <row r="79" spans="2:17">
      <c r="Q79" s="6"/>
    </row>
    <row r="80" spans="2:17">
      <c r="Q80" s="6"/>
    </row>
    <row r="81" spans="2:17">
      <c r="C81" s="35">
        <f t="shared" ref="C81:O81" si="32">C16-C18-C20-C26-C37-C44-C47-C58-C60</f>
        <v>0</v>
      </c>
      <c r="D81" s="35">
        <f t="shared" si="32"/>
        <v>0</v>
      </c>
      <c r="E81" s="35">
        <f t="shared" si="32"/>
        <v>-2.3283064365387e-10</v>
      </c>
      <c r="F81" s="35">
        <f t="shared" si="32"/>
        <v>0</v>
      </c>
      <c r="G81" s="35">
        <f t="shared" si="32"/>
        <v>-8.14907252788544e-10</v>
      </c>
      <c r="H81" s="35">
        <f t="shared" si="32"/>
        <v>0</v>
      </c>
      <c r="I81" s="35">
        <f t="shared" si="32"/>
        <v>0</v>
      </c>
      <c r="J81" s="35">
        <f t="shared" si="32"/>
        <v>0</v>
      </c>
      <c r="K81" s="35">
        <f t="shared" si="32"/>
        <v>0</v>
      </c>
      <c r="L81" s="35">
        <f t="shared" si="32"/>
        <v>0</v>
      </c>
      <c r="M81" s="35">
        <f t="shared" si="32"/>
        <v>0</v>
      </c>
      <c r="N81" s="35">
        <f t="shared" si="32"/>
        <v>0</v>
      </c>
      <c r="O81" s="35">
        <f t="shared" si="32"/>
        <v>-2.79396772384644e-8</v>
      </c>
      <c r="Q81" s="6"/>
    </row>
    <row r="82" spans="2:17">
      <c r="C82" s="53">
        <f t="shared" ref="C82:O82" si="33">C10-C11-C12-C13-C15</f>
        <v>0</v>
      </c>
      <c r="D82" s="53">
        <f t="shared" si="33"/>
        <v>0</v>
      </c>
      <c r="E82" s="53">
        <f t="shared" si="33"/>
        <v>0</v>
      </c>
      <c r="F82" s="53">
        <f t="shared" si="33"/>
        <v>0</v>
      </c>
      <c r="G82" s="53">
        <f t="shared" si="33"/>
        <v>0</v>
      </c>
      <c r="H82" s="53">
        <f t="shared" si="33"/>
        <v>0</v>
      </c>
      <c r="I82" s="53">
        <f t="shared" si="33"/>
        <v>0</v>
      </c>
      <c r="J82" s="53">
        <f t="shared" si="33"/>
        <v>0</v>
      </c>
      <c r="K82" s="53">
        <f t="shared" si="33"/>
        <v>0</v>
      </c>
      <c r="L82" s="53">
        <f t="shared" si="33"/>
        <v>0</v>
      </c>
      <c r="M82" s="53">
        <f t="shared" si="33"/>
        <v>0</v>
      </c>
      <c r="N82" s="53">
        <f t="shared" si="33"/>
        <v>0</v>
      </c>
      <c r="O82" s="53">
        <f t="shared" si="33"/>
        <v>0</v>
      </c>
      <c r="Q82" s="6"/>
    </row>
    <row r="83" spans="2:17">
      <c r="Q83" s="6"/>
    </row>
    <row r="84" spans="2:17">
      <c r="Q84" s="6"/>
    </row>
    <row r="85" spans="2:17">
      <c r="Q85" s="6"/>
    </row>
    <row r="86" spans="2:17">
      <c r="Q86" s="6"/>
    </row>
    <row r="87" spans="2:17">
      <c r="Q87" s="6"/>
    </row>
    <row r="88" spans="2:17">
      <c r="Q88" s="6"/>
    </row>
    <row r="89" spans="2:17">
      <c r="Q89" s="6"/>
    </row>
    <row r="90" spans="2:17">
      <c r="Q90" s="6"/>
    </row>
    <row r="91" spans="2:17">
      <c r="Q91" s="6"/>
    </row>
    <row r="92" spans="2:17">
      <c r="Q92" s="6"/>
    </row>
    <row r="93" spans="2:17">
      <c r="B93" s="6" t="s">
        <v>120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Q93" s="6"/>
    </row>
    <row r="94" ht="16.8" spans="2:17">
      <c r="B94" s="17" t="s">
        <v>39</v>
      </c>
      <c r="C94" s="37">
        <f t="shared" ref="C94:N94" si="34">SUM(C95:C99)</f>
        <v>0</v>
      </c>
      <c r="D94" s="37">
        <f t="shared" si="34"/>
        <v>0</v>
      </c>
      <c r="E94" s="37">
        <f t="shared" si="34"/>
        <v>0</v>
      </c>
      <c r="F94" s="37">
        <f t="shared" si="34"/>
        <v>0</v>
      </c>
      <c r="G94" s="37">
        <f t="shared" si="34"/>
        <v>0</v>
      </c>
      <c r="H94" s="37">
        <f t="shared" si="34"/>
        <v>0</v>
      </c>
      <c r="I94" s="37">
        <f t="shared" si="34"/>
        <v>0</v>
      </c>
      <c r="J94" s="37">
        <f t="shared" si="34"/>
        <v>0</v>
      </c>
      <c r="K94" s="37">
        <f t="shared" si="34"/>
        <v>0</v>
      </c>
      <c r="L94" s="37">
        <f t="shared" si="34"/>
        <v>0</v>
      </c>
      <c r="M94" s="37">
        <f t="shared" si="34"/>
        <v>0</v>
      </c>
      <c r="N94" s="37">
        <f t="shared" si="34"/>
        <v>0</v>
      </c>
      <c r="Q94" s="6"/>
    </row>
    <row r="95" ht="16.8" spans="2:17">
      <c r="B95" s="4" t="s">
        <v>40</v>
      </c>
      <c r="C95" s="45">
        <f>'线下门店-小计'!C27*(C15/('26年全渠道汇总'!C15-'线下门店-小计'!C15))</f>
        <v>0</v>
      </c>
      <c r="D95" s="45">
        <f>'线下门店-小计'!D27*(D15/('26年全渠道汇总'!D15-'线下门店-小计'!D15))</f>
        <v>0</v>
      </c>
      <c r="E95" s="45">
        <f>'线下门店-小计'!E27*(E15/('26年全渠道汇总'!E15-'线下门店-小计'!E15))</f>
        <v>0</v>
      </c>
      <c r="F95" s="45">
        <f>'线下门店-小计'!F27*(F15/('26年全渠道汇总'!F15-'线下门店-小计'!F15))</f>
        <v>0</v>
      </c>
      <c r="G95" s="45">
        <f>'线下门店-小计'!G27*(G15/('26年全渠道汇总'!G15-'线下门店-小计'!G15))</f>
        <v>0</v>
      </c>
      <c r="H95" s="45">
        <f>'线下门店-小计'!H27*(H15/('26年全渠道汇总'!H15-'线下门店-小计'!H15))</f>
        <v>0</v>
      </c>
      <c r="I95" s="45">
        <f>'线下门店-小计'!I27*(I15/('26年全渠道汇总'!I15-'线下门店-小计'!I15))</f>
        <v>0</v>
      </c>
      <c r="J95" s="45">
        <f>'线下门店-小计'!J27*(J15/('26年全渠道汇总'!J15-'线下门店-小计'!J15))</f>
        <v>0</v>
      </c>
      <c r="K95" s="45">
        <f>'线下门店-小计'!K27*(K15/('26年全渠道汇总'!K15-'线下门店-小计'!K15))</f>
        <v>0</v>
      </c>
      <c r="L95" s="45">
        <f>'线下门店-小计'!L27*(L15/('26年全渠道汇总'!L15-'线下门店-小计'!L15))</f>
        <v>0</v>
      </c>
      <c r="M95" s="45">
        <f>'线下门店-小计'!M27*(M15/('26年全渠道汇总'!M15-'线下门店-小计'!M15))</f>
        <v>0</v>
      </c>
      <c r="N95" s="45">
        <f>'线下门店-小计'!N27*(N15/('26年全渠道汇总'!N15-'线下门店-小计'!N15))</f>
        <v>0</v>
      </c>
      <c r="Q95" s="6"/>
    </row>
    <row r="96" ht="16.8" spans="2:17">
      <c r="B96" s="4" t="s">
        <v>41</v>
      </c>
      <c r="C96" s="45">
        <f>'线下门店-小计'!C28*(C15/('26年全渠道汇总'!C15-'线下门店-小计'!C15))</f>
        <v>0</v>
      </c>
      <c r="D96" s="45">
        <f>'线下门店-小计'!D28*(D15/('26年全渠道汇总'!D15-'线下门店-小计'!D15))</f>
        <v>0</v>
      </c>
      <c r="E96" s="45">
        <f>'线下门店-小计'!E28*(E15/('26年全渠道汇总'!E15-'线下门店-小计'!E15))</f>
        <v>0</v>
      </c>
      <c r="F96" s="45">
        <f>'线下门店-小计'!F28*(F15/('26年全渠道汇总'!F15-'线下门店-小计'!F15))</f>
        <v>0</v>
      </c>
      <c r="G96" s="45">
        <f>'线下门店-小计'!G28*(G15/('26年全渠道汇总'!G15-'线下门店-小计'!G15))</f>
        <v>0</v>
      </c>
      <c r="H96" s="45">
        <f>'线下门店-小计'!H28*(H15/('26年全渠道汇总'!H15-'线下门店-小计'!H15))</f>
        <v>0</v>
      </c>
      <c r="I96" s="45">
        <f>'线下门店-小计'!I28*(I15/('26年全渠道汇总'!I15-'线下门店-小计'!I15))</f>
        <v>0</v>
      </c>
      <c r="J96" s="45">
        <f>'线下门店-小计'!J28*(J15/('26年全渠道汇总'!J15-'线下门店-小计'!J15))</f>
        <v>0</v>
      </c>
      <c r="K96" s="45">
        <f>'线下门店-小计'!K28*(K15/('26年全渠道汇总'!K15-'线下门店-小计'!K15))</f>
        <v>0</v>
      </c>
      <c r="L96" s="45">
        <f>'线下门店-小计'!L28*(L15/('26年全渠道汇总'!L15-'线下门店-小计'!L15))</f>
        <v>0</v>
      </c>
      <c r="M96" s="45">
        <f>'线下门店-小计'!M28*(M15/('26年全渠道汇总'!M15-'线下门店-小计'!M15))</f>
        <v>0</v>
      </c>
      <c r="N96" s="45">
        <f>'线下门店-小计'!N28*(N15/('26年全渠道汇总'!N15-'线下门店-小计'!N15))</f>
        <v>0</v>
      </c>
      <c r="Q96" s="6"/>
    </row>
    <row r="97" ht="16.8" spans="2:17">
      <c r="B97" s="4" t="s">
        <v>42</v>
      </c>
      <c r="C97" s="45">
        <f>'线下门店-小计'!C29*(C15/('26年全渠道汇总'!C15-'线下门店-小计'!C15))</f>
        <v>0</v>
      </c>
      <c r="D97" s="45">
        <f>'线下门店-小计'!D29*(D15/('26年全渠道汇总'!D15-'线下门店-小计'!D15))</f>
        <v>0</v>
      </c>
      <c r="E97" s="45">
        <f>'线下门店-小计'!E29*(E15/('26年全渠道汇总'!E15-'线下门店-小计'!E15))</f>
        <v>0</v>
      </c>
      <c r="F97" s="45">
        <f>'线下门店-小计'!F29*(F15/('26年全渠道汇总'!F15-'线下门店-小计'!F15))</f>
        <v>0</v>
      </c>
      <c r="G97" s="45">
        <f>'线下门店-小计'!G29*(G15/('26年全渠道汇总'!G15-'线下门店-小计'!G15))</f>
        <v>0</v>
      </c>
      <c r="H97" s="45">
        <f>'线下门店-小计'!H29*(H15/('26年全渠道汇总'!H15-'线下门店-小计'!H15))</f>
        <v>0</v>
      </c>
      <c r="I97" s="45">
        <f>'线下门店-小计'!I29*(I15/('26年全渠道汇总'!I15-'线下门店-小计'!I15))</f>
        <v>0</v>
      </c>
      <c r="J97" s="45">
        <f>'线下门店-小计'!J29*(J15/('26年全渠道汇总'!J15-'线下门店-小计'!J15))</f>
        <v>0</v>
      </c>
      <c r="K97" s="45">
        <f>'线下门店-小计'!K29*(K15/('26年全渠道汇总'!K15-'线下门店-小计'!K15))</f>
        <v>0</v>
      </c>
      <c r="L97" s="45">
        <f>'线下门店-小计'!L29*(L15/('26年全渠道汇总'!L15-'线下门店-小计'!L15))</f>
        <v>0</v>
      </c>
      <c r="M97" s="45">
        <f>'线下门店-小计'!M29*(M15/('26年全渠道汇总'!M15-'线下门店-小计'!M15))</f>
        <v>0</v>
      </c>
      <c r="N97" s="45">
        <f>'线下门店-小计'!N29*(N15/('26年全渠道汇总'!N15-'线下门店-小计'!N15))</f>
        <v>0</v>
      </c>
      <c r="Q97" s="6"/>
    </row>
    <row r="98" ht="16.8" spans="2:17">
      <c r="B98" s="4" t="s">
        <v>43</v>
      </c>
      <c r="C98" s="45">
        <f>'线下门店-小计'!C30*(C15/('26年全渠道汇总'!C15-'线下门店-小计'!C15))</f>
        <v>0</v>
      </c>
      <c r="D98" s="45">
        <f>'线下门店-小计'!D30*(D15/('26年全渠道汇总'!D15-'线下门店-小计'!D15))</f>
        <v>0</v>
      </c>
      <c r="E98" s="45">
        <f>'线下门店-小计'!E30*(E15/('26年全渠道汇总'!E15-'线下门店-小计'!E15))</f>
        <v>0</v>
      </c>
      <c r="F98" s="45">
        <f>'线下门店-小计'!F30*(F15/('26年全渠道汇总'!F15-'线下门店-小计'!F15))</f>
        <v>0</v>
      </c>
      <c r="G98" s="45">
        <f>'线下门店-小计'!G30*(G15/('26年全渠道汇总'!G15-'线下门店-小计'!G15))</f>
        <v>0</v>
      </c>
      <c r="H98" s="45">
        <f>'线下门店-小计'!H30*(H15/('26年全渠道汇总'!H15-'线下门店-小计'!H15))</f>
        <v>0</v>
      </c>
      <c r="I98" s="45">
        <f>'线下门店-小计'!I30*(I15/('26年全渠道汇总'!I15-'线下门店-小计'!I15))</f>
        <v>0</v>
      </c>
      <c r="J98" s="45">
        <f>'线下门店-小计'!J30*(J15/('26年全渠道汇总'!J15-'线下门店-小计'!J15))</f>
        <v>0</v>
      </c>
      <c r="K98" s="45">
        <f>'线下门店-小计'!K30*(K15/('26年全渠道汇总'!K15-'线下门店-小计'!K15))</f>
        <v>0</v>
      </c>
      <c r="L98" s="45">
        <f>'线下门店-小计'!L30*(L15/('26年全渠道汇总'!L15-'线下门店-小计'!L15))</f>
        <v>0</v>
      </c>
      <c r="M98" s="45">
        <f>'线下门店-小计'!M30*(M15/('26年全渠道汇总'!M15-'线下门店-小计'!M15))</f>
        <v>0</v>
      </c>
      <c r="N98" s="45">
        <f>'线下门店-小计'!N30*(N15/('26年全渠道汇总'!N15-'线下门店-小计'!N15))</f>
        <v>0</v>
      </c>
      <c r="Q98" s="6"/>
    </row>
    <row r="99" ht="16.8" spans="2:17">
      <c r="B99" s="4" t="s">
        <v>44</v>
      </c>
      <c r="C99" s="45">
        <f>'线下门店-小计'!C31*(C15/('26年全渠道汇总'!C15-'线下门店-小计'!C15))</f>
        <v>0</v>
      </c>
      <c r="D99" s="45">
        <f>'线下门店-小计'!D31*(D15/('26年全渠道汇总'!D15-'线下门店-小计'!D15))</f>
        <v>0</v>
      </c>
      <c r="E99" s="45">
        <f>'线下门店-小计'!E31*(E15/('26年全渠道汇总'!E15-'线下门店-小计'!E15))</f>
        <v>0</v>
      </c>
      <c r="F99" s="45">
        <f>'线下门店-小计'!F31*(F15/('26年全渠道汇总'!F15-'线下门店-小计'!F15))</f>
        <v>0</v>
      </c>
      <c r="G99" s="45">
        <f>'线下门店-小计'!G31*(G15/('26年全渠道汇总'!G15-'线下门店-小计'!G15))</f>
        <v>0</v>
      </c>
      <c r="H99" s="45">
        <f>'线下门店-小计'!H31*(H15/('26年全渠道汇总'!H15-'线下门店-小计'!H15))</f>
        <v>0</v>
      </c>
      <c r="I99" s="45">
        <f>'线下门店-小计'!I31*(I15/('26年全渠道汇总'!I15-'线下门店-小计'!I15))</f>
        <v>0</v>
      </c>
      <c r="J99" s="45">
        <f>'线下门店-小计'!J31*(J15/('26年全渠道汇总'!J15-'线下门店-小计'!J15))</f>
        <v>0</v>
      </c>
      <c r="K99" s="45">
        <f>'线下门店-小计'!K31*(K15/('26年全渠道汇总'!K15-'线下门店-小计'!K15))</f>
        <v>0</v>
      </c>
      <c r="L99" s="45">
        <f>'线下门店-小计'!L31*(L15/('26年全渠道汇总'!L15-'线下门店-小计'!L15))</f>
        <v>0</v>
      </c>
      <c r="M99" s="45">
        <f>'线下门店-小计'!M31*(M15/('26年全渠道汇总'!M15-'线下门店-小计'!M15))</f>
        <v>0</v>
      </c>
      <c r="N99" s="45">
        <f>'线下门店-小计'!N31*(N15/('26年全渠道汇总'!N15-'线下门店-小计'!N15))</f>
        <v>0</v>
      </c>
      <c r="Q99" s="6"/>
    </row>
    <row r="100" spans="2:17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Q100" s="6"/>
    </row>
    <row r="101" spans="2:17">
      <c r="B101" s="6" t="s">
        <v>121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Q101" s="6"/>
    </row>
    <row r="102" ht="16.8" spans="2:17">
      <c r="B102" s="17" t="s">
        <v>39</v>
      </c>
      <c r="C102" s="37">
        <f t="shared" ref="C102:N102" si="35">SUM(C103:C107)</f>
        <v>168570.109615596</v>
      </c>
      <c r="D102" s="37">
        <f t="shared" si="35"/>
        <v>532447.373024253</v>
      </c>
      <c r="E102" s="37">
        <f t="shared" si="35"/>
        <v>883126.12206775</v>
      </c>
      <c r="F102" s="37">
        <f t="shared" si="35"/>
        <v>500640.532138189</v>
      </c>
      <c r="G102" s="37">
        <f t="shared" si="35"/>
        <v>1981935.87983296</v>
      </c>
      <c r="H102" s="37">
        <f t="shared" si="35"/>
        <v>1166787.80139558</v>
      </c>
      <c r="I102" s="37">
        <f t="shared" si="35"/>
        <v>253187.237628397</v>
      </c>
      <c r="J102" s="37">
        <f t="shared" si="35"/>
        <v>387998.129158402</v>
      </c>
      <c r="K102" s="37">
        <f t="shared" si="35"/>
        <v>277675.190903382</v>
      </c>
      <c r="L102" s="37">
        <f t="shared" si="35"/>
        <v>1087420.13960103</v>
      </c>
      <c r="M102" s="37">
        <f t="shared" si="35"/>
        <v>421659.330837558</v>
      </c>
      <c r="N102" s="37">
        <f t="shared" si="35"/>
        <v>291501.52091873</v>
      </c>
      <c r="Q102" s="6"/>
    </row>
    <row r="103" ht="16.8" spans="2:17">
      <c r="B103" s="4" t="s">
        <v>40</v>
      </c>
      <c r="C103" s="45">
        <f t="shared" ref="C103:N103" si="36">C95+C27</f>
        <v>0</v>
      </c>
      <c r="D103" s="45">
        <f t="shared" si="36"/>
        <v>0</v>
      </c>
      <c r="E103" s="45">
        <f t="shared" si="36"/>
        <v>15602.8990163316</v>
      </c>
      <c r="F103" s="45">
        <f t="shared" si="36"/>
        <v>13051.6668721372</v>
      </c>
      <c r="G103" s="45">
        <f t="shared" si="36"/>
        <v>27735.0520075346</v>
      </c>
      <c r="H103" s="45">
        <f t="shared" si="36"/>
        <v>24433.1065910955</v>
      </c>
      <c r="I103" s="45">
        <f t="shared" si="36"/>
        <v>15797.4118110978</v>
      </c>
      <c r="J103" s="45">
        <f t="shared" si="36"/>
        <v>21760.8195832023</v>
      </c>
      <c r="K103" s="45">
        <f t="shared" si="36"/>
        <v>17345.6130339325</v>
      </c>
      <c r="L103" s="45">
        <f t="shared" si="36"/>
        <v>29151.7299941448</v>
      </c>
      <c r="M103" s="45">
        <f t="shared" si="36"/>
        <v>22193.4166219888</v>
      </c>
      <c r="N103" s="45">
        <f t="shared" si="36"/>
        <v>0</v>
      </c>
      <c r="Q103" s="6"/>
    </row>
    <row r="104" ht="16.8" spans="2:17">
      <c r="B104" s="4" t="s">
        <v>41</v>
      </c>
      <c r="C104" s="45">
        <f t="shared" ref="C104:N104" si="37">C96+C28</f>
        <v>34415</v>
      </c>
      <c r="D104" s="45">
        <f t="shared" si="37"/>
        <v>34415</v>
      </c>
      <c r="E104" s="45">
        <f t="shared" si="37"/>
        <v>34415</v>
      </c>
      <c r="F104" s="45">
        <f t="shared" si="37"/>
        <v>50077.0002465647</v>
      </c>
      <c r="G104" s="45">
        <f t="shared" si="37"/>
        <v>200825.312045208</v>
      </c>
      <c r="H104" s="45">
        <f t="shared" si="37"/>
        <v>112600.941091506</v>
      </c>
      <c r="I104" s="45">
        <f t="shared" si="37"/>
        <v>34415</v>
      </c>
      <c r="J104" s="45">
        <f t="shared" si="37"/>
        <v>60527.9834998428</v>
      </c>
      <c r="K104" s="45">
        <f t="shared" si="37"/>
        <v>89920.9617085841</v>
      </c>
      <c r="L104" s="45">
        <f t="shared" si="37"/>
        <v>69397.0759929738</v>
      </c>
      <c r="M104" s="45">
        <f t="shared" si="37"/>
        <v>61047.0999463866</v>
      </c>
      <c r="N104" s="45">
        <f t="shared" si="37"/>
        <v>34415</v>
      </c>
      <c r="Q104" s="6"/>
    </row>
    <row r="105" ht="16.8" spans="2:17">
      <c r="B105" s="4" t="s">
        <v>42</v>
      </c>
      <c r="C105" s="45">
        <f t="shared" ref="C105:N105" si="38">C97+C29</f>
        <v>7639.47943358483</v>
      </c>
      <c r="D105" s="45">
        <f t="shared" si="38"/>
        <v>6240.70771331494</v>
      </c>
      <c r="E105" s="45">
        <f t="shared" si="38"/>
        <v>6241.15960653263</v>
      </c>
      <c r="F105" s="45">
        <f t="shared" si="38"/>
        <v>26103.3337442745</v>
      </c>
      <c r="G105" s="45">
        <f t="shared" si="38"/>
        <v>166410.312045208</v>
      </c>
      <c r="H105" s="45">
        <f t="shared" si="38"/>
        <v>107505.66900082</v>
      </c>
      <c r="I105" s="45">
        <f t="shared" si="38"/>
        <v>0</v>
      </c>
      <c r="J105" s="45">
        <f t="shared" si="38"/>
        <v>26112.9834998428</v>
      </c>
      <c r="K105" s="45">
        <f t="shared" si="38"/>
        <v>55505.9617085841</v>
      </c>
      <c r="L105" s="45">
        <f t="shared" si="38"/>
        <v>58303.4599882896</v>
      </c>
      <c r="M105" s="45">
        <f t="shared" si="38"/>
        <v>44386.8332439776</v>
      </c>
      <c r="N105" s="45">
        <f t="shared" si="38"/>
        <v>7761.91521310453</v>
      </c>
      <c r="Q105" s="6"/>
    </row>
    <row r="106" ht="16.8" spans="2:17">
      <c r="B106" s="4" t="s">
        <v>43</v>
      </c>
      <c r="C106" s="45">
        <f t="shared" ref="C106:N106" si="39">C98+C30</f>
        <v>7639.47943358483</v>
      </c>
      <c r="D106" s="45">
        <f t="shared" si="39"/>
        <v>6240.70771331494</v>
      </c>
      <c r="E106" s="45">
        <f t="shared" si="39"/>
        <v>49929.276852261</v>
      </c>
      <c r="F106" s="45">
        <f t="shared" si="39"/>
        <v>5220.66674885489</v>
      </c>
      <c r="G106" s="45">
        <f t="shared" si="39"/>
        <v>33282.0624090415</v>
      </c>
      <c r="H106" s="45">
        <f t="shared" si="39"/>
        <v>9773.24263643819</v>
      </c>
      <c r="I106" s="45">
        <f t="shared" si="39"/>
        <v>6318.96472443911</v>
      </c>
      <c r="J106" s="45">
        <f t="shared" si="39"/>
        <v>8704.32783328093</v>
      </c>
      <c r="K106" s="45">
        <f t="shared" si="39"/>
        <v>6938.24521357301</v>
      </c>
      <c r="L106" s="45">
        <f t="shared" si="39"/>
        <v>23321.3839953158</v>
      </c>
      <c r="M106" s="45">
        <f t="shared" si="39"/>
        <v>17754.733297591</v>
      </c>
      <c r="N106" s="45">
        <f t="shared" si="39"/>
        <v>7761.91521310453</v>
      </c>
      <c r="Q106" s="6"/>
    </row>
    <row r="107" ht="16.8" spans="2:17">
      <c r="B107" s="4" t="s">
        <v>44</v>
      </c>
      <c r="C107" s="45">
        <f t="shared" ref="C107:N107" si="40">C99+C31</f>
        <v>118876.150748426</v>
      </c>
      <c r="D107" s="45">
        <f t="shared" si="40"/>
        <v>485550.957597623</v>
      </c>
      <c r="E107" s="45">
        <f t="shared" si="40"/>
        <v>776937.786592625</v>
      </c>
      <c r="F107" s="45">
        <f t="shared" si="40"/>
        <v>406187.864526357</v>
      </c>
      <c r="G107" s="45">
        <f t="shared" si="40"/>
        <v>1553683.14132597</v>
      </c>
      <c r="H107" s="45">
        <f t="shared" si="40"/>
        <v>912474.842075719</v>
      </c>
      <c r="I107" s="45">
        <f t="shared" si="40"/>
        <v>196655.86109286</v>
      </c>
      <c r="J107" s="45">
        <f t="shared" si="40"/>
        <v>270892.014742233</v>
      </c>
      <c r="K107" s="45">
        <f t="shared" si="40"/>
        <v>107964.409238709</v>
      </c>
      <c r="L107" s="45">
        <f t="shared" si="40"/>
        <v>907246.489630304</v>
      </c>
      <c r="M107" s="45">
        <f t="shared" si="40"/>
        <v>276277.247727614</v>
      </c>
      <c r="N107" s="45">
        <f t="shared" si="40"/>
        <v>241562.690492521</v>
      </c>
      <c r="Q107" s="6"/>
    </row>
    <row r="108" spans="2:17">
      <c r="Q108" s="6"/>
    </row>
    <row r="109" spans="2:17">
      <c r="Q109" s="6"/>
    </row>
    <row r="110" spans="2:17">
      <c r="Q110" s="6"/>
    </row>
    <row r="111" spans="2:17">
      <c r="Q111" s="6"/>
    </row>
    <row r="112" spans="2:17">
      <c r="Q112" s="6"/>
    </row>
    <row r="113" spans="17:17">
      <c r="Q113" s="6"/>
    </row>
    <row r="114" spans="17:17">
      <c r="Q114" s="6"/>
    </row>
    <row r="115" spans="17:17">
      <c r="Q115" s="6"/>
    </row>
    <row r="116" spans="17:17">
      <c r="Q116" s="6"/>
    </row>
    <row r="117" spans="17:17">
      <c r="Q117" s="6"/>
    </row>
    <row r="118" spans="17:17">
      <c r="Q118" s="6"/>
    </row>
    <row r="119" spans="17:17">
      <c r="Q119" s="6"/>
    </row>
    <row r="120" spans="17:17">
      <c r="Q120" s="6"/>
    </row>
    <row r="121" spans="17:17">
      <c r="Q121" s="6"/>
    </row>
    <row r="122" spans="17:17">
      <c r="Q122" s="6"/>
    </row>
    <row r="123" spans="17:17">
      <c r="Q123" s="6"/>
    </row>
    <row r="124" spans="17:17">
      <c r="Q124" s="6"/>
    </row>
    <row r="125" spans="17:17">
      <c r="Q125" s="6"/>
    </row>
    <row r="126" spans="17:17">
      <c r="Q126" s="6"/>
    </row>
    <row r="127" spans="17:17">
      <c r="Q127" s="6"/>
    </row>
    <row r="128" spans="17:17">
      <c r="Q128" s="6"/>
    </row>
    <row r="129" spans="17:17">
      <c r="Q129" s="6"/>
    </row>
    <row r="130" spans="17:17">
      <c r="Q130" s="6"/>
    </row>
    <row r="131" spans="17:17">
      <c r="Q131" s="6"/>
    </row>
    <row r="132" spans="17:17">
      <c r="Q132" s="6"/>
    </row>
    <row r="133" spans="17:17">
      <c r="Q133" s="6"/>
    </row>
    <row r="134" spans="17:17">
      <c r="Q134" s="6"/>
    </row>
    <row r="135" spans="17:17">
      <c r="Q135" s="6"/>
    </row>
    <row r="136" spans="17:17">
      <c r="Q136" s="6"/>
    </row>
    <row r="137" spans="17:17">
      <c r="Q137" s="6"/>
    </row>
    <row r="138" spans="17:17">
      <c r="Q138" s="6"/>
    </row>
    <row r="139" spans="17:17">
      <c r="Q139" s="6"/>
    </row>
    <row r="140" spans="17:17">
      <c r="Q140" s="6"/>
    </row>
    <row r="141" spans="17:17">
      <c r="Q141" s="6"/>
    </row>
    <row r="142" spans="17:17">
      <c r="Q142" s="6"/>
    </row>
    <row r="143" spans="17:17">
      <c r="Q143" s="6"/>
    </row>
    <row r="144" spans="17:17">
      <c r="Q144" s="6"/>
    </row>
    <row r="145" spans="17:17">
      <c r="Q145" s="6"/>
    </row>
    <row r="146" spans="17:17">
      <c r="Q146" s="6"/>
    </row>
    <row r="147" spans="17:17">
      <c r="Q147" s="6"/>
    </row>
    <row r="148" spans="17:17">
      <c r="Q148" s="6"/>
    </row>
    <row r="149" spans="17:17">
      <c r="Q149" s="6"/>
    </row>
    <row r="150" spans="17:17">
      <c r="Q150" s="6"/>
    </row>
    <row r="151" spans="17:17">
      <c r="Q151" s="6"/>
    </row>
    <row r="152" spans="17:17">
      <c r="Q152" s="6"/>
    </row>
    <row r="153" spans="17:17">
      <c r="Q153" s="6"/>
    </row>
    <row r="154" spans="17:17">
      <c r="Q154" s="6"/>
    </row>
    <row r="155" spans="17:17">
      <c r="Q155" s="6"/>
    </row>
    <row r="156" spans="17:17">
      <c r="Q156" s="6"/>
    </row>
    <row r="157" spans="17:17">
      <c r="Q157" s="6"/>
    </row>
    <row r="158" spans="17:17">
      <c r="Q158" s="6"/>
    </row>
    <row r="159" spans="17:17">
      <c r="Q159" s="6"/>
    </row>
    <row r="160" spans="17:17">
      <c r="Q160" s="6"/>
    </row>
    <row r="161" spans="17:17">
      <c r="Q161" s="6"/>
    </row>
    <row r="162" spans="17:17">
      <c r="Q162" s="6"/>
    </row>
    <row r="163" spans="17:17">
      <c r="Q163" s="6"/>
    </row>
    <row r="164" spans="17:17">
      <c r="Q164" s="6"/>
    </row>
    <row r="165" spans="17:17">
      <c r="Q165" s="6"/>
    </row>
    <row r="166" spans="17:17">
      <c r="Q166" s="6"/>
    </row>
    <row r="167" spans="17:17">
      <c r="Q167" s="6"/>
    </row>
    <row r="168" spans="17:17">
      <c r="Q168" s="6"/>
    </row>
    <row r="169" spans="17:17">
      <c r="Q169" s="6"/>
    </row>
    <row r="170" spans="17:17">
      <c r="Q170" s="6"/>
    </row>
    <row r="171" spans="17:17">
      <c r="Q171" s="6"/>
    </row>
    <row r="172" spans="17:17">
      <c r="Q172" s="6"/>
    </row>
    <row r="173" spans="17:17">
      <c r="Q173" s="6"/>
    </row>
    <row r="174" spans="17:17">
      <c r="Q174" s="6"/>
    </row>
    <row r="175" spans="17:17">
      <c r="Q175" s="6"/>
    </row>
    <row r="176" spans="17:17">
      <c r="Q176" s="6"/>
    </row>
    <row r="177" spans="17:17">
      <c r="Q177" s="6"/>
    </row>
    <row r="178" spans="17:17">
      <c r="Q178" s="6"/>
    </row>
    <row r="179" spans="17:17">
      <c r="Q179" s="6"/>
    </row>
    <row r="180" spans="17:17">
      <c r="Q180" s="6"/>
    </row>
    <row r="181" spans="17:17">
      <c r="Q181" s="6"/>
    </row>
    <row r="182" spans="17:17">
      <c r="Q182" s="6"/>
    </row>
    <row r="183" spans="17:17">
      <c r="Q183" s="6"/>
    </row>
    <row r="184" spans="17:17">
      <c r="Q184" s="6"/>
    </row>
    <row r="185" spans="17:17">
      <c r="Q185" s="6"/>
    </row>
    <row r="186" spans="17:17">
      <c r="Q186" s="6"/>
    </row>
    <row r="187" spans="17:17">
      <c r="Q187" s="6"/>
    </row>
    <row r="188" spans="17:17">
      <c r="Q188" s="6"/>
    </row>
    <row r="189" spans="17:17">
      <c r="Q189" s="6"/>
    </row>
    <row r="190" spans="17:17">
      <c r="Q190" s="6"/>
    </row>
    <row r="191" spans="17:17">
      <c r="Q191" s="6"/>
    </row>
    <row r="192" spans="17:17">
      <c r="Q192" s="6"/>
    </row>
    <row r="193" spans="17:17">
      <c r="Q193" s="6"/>
    </row>
    <row r="194" spans="17:17">
      <c r="Q194" s="6"/>
    </row>
    <row r="195" spans="17:17">
      <c r="Q195" s="6"/>
    </row>
    <row r="196" spans="17:17">
      <c r="Q196" s="6"/>
    </row>
    <row r="197" spans="17:17">
      <c r="Q197" s="6"/>
    </row>
    <row r="198" spans="17:17">
      <c r="Q198" s="6"/>
    </row>
    <row r="199" spans="17:17">
      <c r="Q199" s="6"/>
    </row>
    <row r="200" spans="17:17">
      <c r="Q200" s="6"/>
    </row>
  </sheetData>
  <pageMargins left="0.75" right="0.75" top="1" bottom="1" header="0.5" footer="0.5"/>
  <headerFooter/>
  <picture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4C724"/>
    <outlinePr summaryBelow="0" summaryRight="0"/>
  </sheetPr>
  <dimension ref="A1:R201"/>
  <sheetViews>
    <sheetView workbookViewId="0">
      <selection activeCell="A1" sqref="A1"/>
    </sheetView>
  </sheetViews>
  <sheetFormatPr defaultColWidth="14" defaultRowHeight="14.4"/>
  <cols>
    <col min="1" max="1" width="9" customWidth="1"/>
    <col min="2" max="2" width="30" customWidth="1"/>
    <col min="3" max="15" width="19" customWidth="1"/>
    <col min="16" max="17" width="14" customWidth="1"/>
    <col min="18" max="18" width="11" customWidth="1"/>
    <col min="19" max="20" width="14" customWidth="1"/>
  </cols>
  <sheetData>
    <row r="1" ht="17" spans="1:18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</row>
    <row r="2" ht="16.8" spans="1:18">
      <c r="B2" s="4" t="s">
        <v>16</v>
      </c>
      <c r="C2" s="5">
        <f>PDD!C2+得物!C2+'视频号+官网+小程序'!C2+唯品会!C2</f>
        <v>7751.58690267551</v>
      </c>
      <c r="D2" s="5">
        <f>PDD!D2+得物!D2+'视频号+官网+小程序'!D2+唯品会!D2</f>
        <v>7070.12871342931</v>
      </c>
      <c r="E2" s="5">
        <f>PDD!E2+得物!E2+'视频号+官网+小程序'!E2+唯品会!E2</f>
        <v>8262.68054461016</v>
      </c>
      <c r="F2" s="5">
        <f>PDD!F2+得物!F2+'视频号+官网+小程序'!F2+唯品会!F2</f>
        <v>6857.17302928988</v>
      </c>
      <c r="G2" s="5">
        <f>PDD!G2+得物!G2+'视频号+官网+小程序'!G2+唯品会!G2</f>
        <v>11968.1094486364</v>
      </c>
      <c r="H2" s="5">
        <f>PDD!H2+得物!H2+'视频号+官网+小程序'!H2+唯品会!H2</f>
        <v>10349.6462491766</v>
      </c>
      <c r="I2" s="5">
        <f>PDD!I2+得物!I2+'视频号+官网+小程序'!I2+唯品会!I2</f>
        <v>6729.39961880621</v>
      </c>
      <c r="J2" s="5">
        <f>PDD!J2+得物!J2+'视频号+官网+小程序'!J2+唯品会!J2</f>
        <v>8458.59977401844</v>
      </c>
      <c r="K2" s="5">
        <f>PDD!K2+得物!K2+'视频号+官网+小程序'!K2+唯品会!K2</f>
        <v>9327.45896530735</v>
      </c>
      <c r="L2" s="5">
        <f>PDD!L2+得物!L2+'视频号+官网+小程序'!L2+唯品会!L2</f>
        <v>12359.9479074529</v>
      </c>
      <c r="M2" s="5">
        <f>PDD!M2+得物!M2+'视频号+官网+小程序'!M2+唯品会!M2</f>
        <v>9608.5604683714</v>
      </c>
      <c r="N2" s="5">
        <f>PDD!N2+得物!N2+'视频号+官网+小程序'!N2+唯品会!N2</f>
        <v>8586.3731845021</v>
      </c>
      <c r="O2" s="5">
        <f>SUM(C2:N2)</f>
        <v>107329.664806276</v>
      </c>
      <c r="P2" s="5"/>
      <c r="Q2" s="6"/>
    </row>
    <row r="3" ht="16.8" spans="1:18">
      <c r="A3" s="7"/>
      <c r="B3" s="8" t="s">
        <v>17</v>
      </c>
      <c r="C3" s="9">
        <f>PDD!C3+得物!C3+'视频号+官网+小程序'!C3+唯品会!C3</f>
        <v>3161873.16522477</v>
      </c>
      <c r="D3" s="9">
        <f>PDD!D3+得物!D3+'视频号+官网+小程序'!D3+唯品会!D3</f>
        <v>2602931.34817837</v>
      </c>
      <c r="E3" s="9">
        <f>PDD!E3+得物!E3+'视频号+官网+小程序'!E3+唯品会!E3</f>
        <v>3299315.62314699</v>
      </c>
      <c r="F3" s="9">
        <f>PDD!F3+得物!F3+'视频号+官网+小程序'!F3+唯品会!F3</f>
        <v>2805659.40057771</v>
      </c>
      <c r="G3" s="9">
        <f>PDD!G3+得物!G3+'视频号+官网+小程序'!G3+唯品会!G3</f>
        <v>4706232.79883993</v>
      </c>
      <c r="H3" s="9">
        <f>PDD!H3+得物!H3+'视频号+官网+小程序'!H3+唯品会!H3</f>
        <v>6790157.65536791</v>
      </c>
      <c r="I3" s="9">
        <f>PDD!I3+得物!I3+'视频号+官网+小程序'!I3+唯品会!I3</f>
        <v>4507070.20880344</v>
      </c>
      <c r="J3" s="9">
        <f>PDD!J3+得物!J3+'视频号+官网+小程序'!J3+唯品会!J3</f>
        <v>4763875.53616848</v>
      </c>
      <c r="K3" s="9">
        <f>PDD!K3+得物!K3+'视频号+官网+小程序'!K3+唯品会!K3</f>
        <v>4544876.75777011</v>
      </c>
      <c r="L3" s="9">
        <f>PDD!L3+得物!L3+'视频号+官网+小程序'!L3+唯品会!L3</f>
        <v>6418854.70686214</v>
      </c>
      <c r="M3" s="9">
        <f>PDD!M3+得物!M3+'视频号+官网+小程序'!M3+唯品会!M3</f>
        <v>8283927.88333861</v>
      </c>
      <c r="N3" s="9">
        <f>PDD!N3+得物!N3+'视频号+官网+小程序'!N3+唯品会!N3</f>
        <v>5886367.13818175</v>
      </c>
      <c r="O3" s="9">
        <f>SUM(C3:N3)</f>
        <v>57771142.2224602</v>
      </c>
      <c r="P3" s="9"/>
      <c r="Q3" s="10" t="s">
        <v>83</v>
      </c>
    </row>
    <row r="4" ht="16.8" spans="1:18">
      <c r="A4" s="7"/>
      <c r="B4" s="8" t="s">
        <v>84</v>
      </c>
      <c r="C4" s="9">
        <f>PDD!C4+得物!C4+'视频号+官网+小程序'!C4+唯品会!C4</f>
        <v>2437816.26628431</v>
      </c>
      <c r="D4" s="9">
        <f>PDD!D4+得物!D4+'视频号+官网+小程序'!D4+唯品会!D4</f>
        <v>2144589.86385145</v>
      </c>
      <c r="E4" s="9">
        <f>PDD!E4+得物!E4+'视频号+官网+小程序'!E4+唯品会!E4</f>
        <v>2636108.25998282</v>
      </c>
      <c r="F4" s="9">
        <f>PDD!F4+得物!F4+'视频号+官网+小程序'!F4+唯品会!F4</f>
        <v>2277709.81696321</v>
      </c>
      <c r="G4" s="9">
        <f>PDD!G4+得物!G4+'视频号+官网+小程序'!G4+唯品会!G4</f>
        <v>3650136.92267498</v>
      </c>
      <c r="H4" s="9">
        <f>PDD!H4+得物!H4+'视频号+官网+小程序'!H4+唯品会!H4</f>
        <v>5111166.33443968</v>
      </c>
      <c r="I4" s="9">
        <f>PDD!I4+得物!I4+'视频号+官网+小程序'!I4+唯品会!I4</f>
        <v>3540494.1306887</v>
      </c>
      <c r="J4" s="9">
        <f>PDD!J4+得物!J4+'视频号+官网+小程序'!J4+唯品会!J4</f>
        <v>3763986.40492204</v>
      </c>
      <c r="K4" s="9">
        <f>PDD!K4+得物!K4+'视频号+官网+小程序'!K4+唯品会!K4</f>
        <v>3573186.69135537</v>
      </c>
      <c r="L4" s="9">
        <f>PDD!L4+得物!L4+'视频号+官网+小程序'!L4+唯品会!L4</f>
        <v>4923973.02460047</v>
      </c>
      <c r="M4" s="9">
        <f>PDD!M4+得物!M4+'视频号+官网+小程序'!M4+唯品会!M4</f>
        <v>6225068.295224</v>
      </c>
      <c r="N4" s="9">
        <f>PDD!N4+得物!N4+'视频号+官网+小程序'!N4+唯品会!N4</f>
        <v>4533459.70301419</v>
      </c>
      <c r="O4" s="9">
        <f>SUM(C4:N4)</f>
        <v>44817695.7140012</v>
      </c>
      <c r="P4" s="9"/>
      <c r="Q4" s="10" t="s">
        <v>83</v>
      </c>
    </row>
    <row r="5" ht="16.8" spans="1:18">
      <c r="A5" s="7"/>
      <c r="B5" s="8" t="s">
        <v>18</v>
      </c>
      <c r="C5" s="9">
        <f>PDD!C5+得物!C5+'视频号+官网+小程序'!C5+唯品会!C5</f>
        <v>347096.011712647</v>
      </c>
      <c r="D5" s="9">
        <f>PDD!D5+得物!D5+'视频号+官网+小程序'!D5+唯品会!D5</f>
        <v>294779.149577717</v>
      </c>
      <c r="E5" s="9">
        <f>PDD!E5+得物!E5+'视频号+官网+小程序'!E5+唯品会!E5</f>
        <v>359505.614352423</v>
      </c>
      <c r="F5" s="9">
        <f>PDD!F5+得物!F5+'视频号+官网+小程序'!F5+唯品会!F5</f>
        <v>314078.749594482</v>
      </c>
      <c r="G5" s="9">
        <f>PDD!G5+得物!G5+'视频号+官网+小程序'!G5+唯品会!G5</f>
        <v>495111.208401247</v>
      </c>
      <c r="H5" s="9">
        <f>PDD!H5+得物!H5+'视频号+官网+小程序'!H5+唯品会!H5</f>
        <v>709165.620165952</v>
      </c>
      <c r="I5" s="9">
        <f>PDD!I5+得物!I5+'视频号+官网+小程序'!I5+唯品会!I5</f>
        <v>443996.396653305</v>
      </c>
      <c r="J5" s="9">
        <f>PDD!J5+得物!J5+'视频号+官网+小程序'!J5+唯品会!J5</f>
        <v>462191.220148305</v>
      </c>
      <c r="K5" s="9">
        <f>PDD!K5+得物!K5+'视频号+官网+小程序'!K5+唯品会!K5</f>
        <v>445667.378998305</v>
      </c>
      <c r="L5" s="9">
        <f>PDD!L5+得物!L5+'视频号+官网+小程序'!L5+唯品会!L5</f>
        <v>627020.82016507</v>
      </c>
      <c r="M5" s="9">
        <f>PDD!M5+得物!M5+'视频号+官网+小程序'!M5+唯品会!M5</f>
        <v>821850.914283599</v>
      </c>
      <c r="N5" s="9">
        <f>PDD!N5+得物!N5+'视频号+官网+小程序'!N5+唯品会!N5</f>
        <v>585610.920157129</v>
      </c>
      <c r="O5" s="9">
        <f>SUM(C5:N5)</f>
        <v>5906074.00421018</v>
      </c>
      <c r="P5" s="9"/>
      <c r="Q5" s="11" t="s">
        <v>83</v>
      </c>
    </row>
    <row r="6" ht="16.8" spans="1:18">
      <c r="A6" s="7"/>
      <c r="B6" s="12" t="s">
        <v>85</v>
      </c>
      <c r="C6" s="13">
        <f>PDD!C6+得物!C6+'视频号+官网+小程序'!C6+唯品会!C6</f>
        <v>2695925.52406939</v>
      </c>
      <c r="D6" s="13">
        <f>PDD!D6+得物!D6+'视频号+官网+小程序'!D6+唯品会!D6</f>
        <v>2224158.31295828</v>
      </c>
      <c r="E6" s="13">
        <f>PDD!E6+得物!E6+'视频号+官网+小程序'!E6+唯品会!E6</f>
        <v>2819418.27962494</v>
      </c>
      <c r="F6" s="13">
        <f>PDD!F6+得物!F6+'视频号+官网+小程序'!F6+唯品会!F6</f>
        <v>2396477.15740272</v>
      </c>
      <c r="G6" s="13">
        <f>PDD!G6+得物!G6+'视频号+官网+小程序'!G6+唯品会!G6</f>
        <v>4021964.54602061</v>
      </c>
      <c r="H6" s="13">
        <f>PDD!H6+得物!H6+'视频号+官网+小程序'!H6+唯品会!H6</f>
        <v>5795300.67406939</v>
      </c>
      <c r="I6" s="13">
        <f>PDD!I6+得物!I6+'视频号+官网+小程序'!I6+唯品会!I6</f>
        <v>3866009.67772793</v>
      </c>
      <c r="J6" s="13">
        <f>PDD!J6+得物!J6+'视频号+官网+小程序'!J6+唯品会!J6</f>
        <v>4090960.87284988</v>
      </c>
      <c r="K6" s="13">
        <f>PDD!K6+得物!K6+'视频号+官网+小程序'!K6+唯品会!K6</f>
        <v>3899478.57772793</v>
      </c>
      <c r="L6" s="13">
        <f>PDD!L6+得物!L6+'视频号+官网+小程序'!L6+唯品会!L6</f>
        <v>5501026.50117782</v>
      </c>
      <c r="M6" s="13">
        <f>PDD!M6+得物!M6+'视频号+官网+小程序'!M6+唯品会!M6</f>
        <v>7086338.70117782</v>
      </c>
      <c r="N6" s="13">
        <f>PDD!N6+得物!N6+'视频号+官网+小程序'!N6+唯品会!N6</f>
        <v>5041745.40117782</v>
      </c>
      <c r="O6" s="13">
        <f>SUM(C6:N6)</f>
        <v>49438804.2259845</v>
      </c>
      <c r="P6" s="13"/>
      <c r="Q6" s="11" t="s">
        <v>83</v>
      </c>
    </row>
    <row r="7" ht="16.8" spans="1:18">
      <c r="A7" s="7"/>
      <c r="B7" s="14" t="s">
        <v>20</v>
      </c>
      <c r="C7" s="15">
        <v>0.3</v>
      </c>
      <c r="D7" s="15">
        <v>0.3</v>
      </c>
      <c r="E7" s="15">
        <v>0.3</v>
      </c>
      <c r="F7" s="15">
        <v>0.3</v>
      </c>
      <c r="G7" s="15">
        <v>0.3</v>
      </c>
      <c r="H7" s="15">
        <v>0.3</v>
      </c>
      <c r="I7" s="15">
        <v>0.3</v>
      </c>
      <c r="J7" s="15">
        <v>0.3</v>
      </c>
      <c r="K7" s="15">
        <v>0.3</v>
      </c>
      <c r="L7" s="15">
        <v>0.3</v>
      </c>
      <c r="M7" s="15">
        <v>0.3</v>
      </c>
      <c r="N7" s="15">
        <v>0.3</v>
      </c>
      <c r="O7" s="15">
        <f>1-O8/O6</f>
        <v>0.223719600525591</v>
      </c>
      <c r="P7" s="15"/>
      <c r="Q7" s="6" t="s">
        <v>83</v>
      </c>
    </row>
    <row r="8" ht="16.8" spans="1:18">
      <c r="A8" s="7"/>
      <c r="B8" s="12" t="s">
        <v>86</v>
      </c>
      <c r="C8" s="13">
        <f>PDD!C8+得物!C8+'视频号+官网+小程序'!C8+唯品会!C8</f>
        <v>2079227.2</v>
      </c>
      <c r="D8" s="13">
        <f>PDD!D8+得物!D8+'视频号+官网+小程序'!D8+唯品会!D8</f>
        <v>1832818.0812804</v>
      </c>
      <c r="E8" s="13">
        <f>PDD!E8+得物!E8+'视频号+官网+小程序'!E8+唯品会!E8</f>
        <v>2253441.9812804</v>
      </c>
      <c r="F8" s="13">
        <f>PDD!F8+得物!F8+'视频号+官网+小程序'!F8+唯品会!F8</f>
        <v>1945969.9812804</v>
      </c>
      <c r="G8" s="13">
        <f>PDD!G8+得物!G8+'视频号+官网+小程序'!G8+唯品会!G8</f>
        <v>3121033.0812804</v>
      </c>
      <c r="H8" s="13">
        <f>PDD!H8+得物!H8+'视频号+官网+小程序'!H8+唯品会!H8</f>
        <v>4364608.0812804</v>
      </c>
      <c r="I8" s="13">
        <f>PDD!I8+得物!I8+'视频号+官网+小程序'!I8+唯品会!I8</f>
        <v>3039169.9812804</v>
      </c>
      <c r="J8" s="13">
        <f>PDD!J8+得物!J8+'视频号+官网+小程序'!J8+唯品会!J8</f>
        <v>3234805.0812804</v>
      </c>
      <c r="K8" s="13">
        <f>PDD!K8+得物!K8+'视频号+官网+小程序'!K8+唯品会!K8</f>
        <v>3068091.9812804</v>
      </c>
      <c r="L8" s="13">
        <f>PDD!L8+得物!L8+'视频号+官网+小程序'!L8+唯品会!L8</f>
        <v>4223627.0812804</v>
      </c>
      <c r="M8" s="13">
        <f>PDD!M8+得物!M8+'视频号+官网+小程序'!M8+唯品会!M8</f>
        <v>5329558.0812804</v>
      </c>
      <c r="N8" s="13">
        <f>PDD!N8+得物!N8+'视频号+官网+小程序'!N8+唯品会!N8</f>
        <v>3886024.0812804</v>
      </c>
      <c r="O8" s="13">
        <f>SUM(C8:N8)</f>
        <v>38378374.6940844</v>
      </c>
      <c r="P8" s="13"/>
      <c r="Q8" s="6" t="s">
        <v>83</v>
      </c>
    </row>
    <row r="9" ht="16.8" spans="1:18">
      <c r="B9" s="4"/>
      <c r="C9" s="5">
        <f>PDD!C9+得物!C9+'视频号+官网+小程序'!C9+唯品会!C9</f>
        <v>-0.0403250000381377</v>
      </c>
      <c r="D9" s="5">
        <f>PDD!D9+得物!D9+'视频号+官网+小程序'!D9+唯品会!D9</f>
        <v>-0.0303400000266265</v>
      </c>
      <c r="E9" s="5">
        <f>PDD!E9+得物!E9+'视频号+官网+小程序'!E9+唯品会!E9</f>
        <v>0.0397050000028685</v>
      </c>
      <c r="F9" s="5">
        <f>PDD!F9+得物!F9+'视频号+官网+小程序'!F9+唯品会!F9</f>
        <v>0.029804999998305</v>
      </c>
      <c r="G9" s="5">
        <f>PDD!G9+得物!G9+'视频号+官网+小程序'!G9+唯品会!G9</f>
        <v>-0.0303400000266265</v>
      </c>
      <c r="H9" s="5">
        <f>PDD!H9+得物!H9+'视频号+官网+小程序'!H9+唯品会!H9</f>
        <v>-0.0303400000266265</v>
      </c>
      <c r="I9" s="5">
        <f>PDD!I9+得物!I9+'视频号+官网+小程序'!I9+唯品会!I9</f>
        <v>0.029804999998305</v>
      </c>
      <c r="J9" s="5">
        <f>PDD!J9+得物!J9+'视频号+官网+小程序'!J9+唯品会!J9</f>
        <v>0.0295699999842327</v>
      </c>
      <c r="K9" s="5">
        <f>PDD!K9+得物!K9+'视频号+官网+小程序'!K9+唯品会!K9</f>
        <v>0.0397050000028685</v>
      </c>
      <c r="L9" s="5">
        <f>PDD!L9+得物!L9+'视频号+官网+小程序'!L9+唯品会!L9</f>
        <v>-0.0103700000036042</v>
      </c>
      <c r="M9" s="5">
        <f>PDD!M9+得物!M9+'视频号+官网+小程序'!M9+唯品会!M9</f>
        <v>-0.0303400000266265</v>
      </c>
      <c r="N9" s="5">
        <f>PDD!N9+得物!N9+'视频号+官网+小程序'!N9+唯品会!N9</f>
        <v>-0.000385000021196902</v>
      </c>
      <c r="O9" s="5">
        <f>O10-O14-O15</f>
        <v>-0.00384999066591263</v>
      </c>
      <c r="P9" s="5"/>
      <c r="Q9" s="6"/>
    </row>
    <row r="10" ht="16.8" spans="1:18">
      <c r="A10" s="7"/>
      <c r="B10" s="12" t="s">
        <v>22</v>
      </c>
      <c r="C10" s="13">
        <f>PDD!C10+得物!C10+'视频号+官网+小程序'!C10+唯品会!C10</f>
        <v>2698180.50692346</v>
      </c>
      <c r="D10" s="13">
        <f>PDD!D10+得物!D10+'视频号+官网+小程序'!D10+唯品会!D10</f>
        <v>2437586.46045154</v>
      </c>
      <c r="E10" s="13">
        <f>PDD!E10+得物!E10+'视频号+官网+小程序'!E10+唯品会!E10</f>
        <v>3023390.20256154</v>
      </c>
      <c r="F10" s="13">
        <f>PDD!F10+得物!F10+'视频号+官网+小程序'!F10+唯品会!F10</f>
        <v>2607568.11676154</v>
      </c>
      <c r="G10" s="13">
        <f>PDD!G10+得物!G10+'视频号+官网+小程序'!G10+唯品会!G10</f>
        <v>4213826.46045154</v>
      </c>
      <c r="H10" s="13">
        <f>PDD!H10+得物!H10+'视频号+官网+小程序'!H10+唯品会!H10</f>
        <v>5980094.46045154</v>
      </c>
      <c r="I10" s="13">
        <f>PDD!I10+得物!I10+'视频号+官网+小程序'!I10+唯品会!I10</f>
        <v>4026028.11676154</v>
      </c>
      <c r="J10" s="13">
        <f>PDD!J10+得物!J10+'视频号+官网+小程序'!J10+唯品会!J10</f>
        <v>4241408.97585154</v>
      </c>
      <c r="K10" s="13">
        <f>PDD!K10+得物!K10+'视频号+官网+小程序'!K10+唯品会!K10</f>
        <v>4057082.20256154</v>
      </c>
      <c r="L10" s="13">
        <f>PDD!L10+得物!L10+'视频号+官网+小程序'!L10+唯品会!L10</f>
        <v>5643370.63225154</v>
      </c>
      <c r="M10" s="13">
        <f>PDD!M10+得物!M10+'视频号+官网+小程序'!M10+唯品会!M10</f>
        <v>7227536.46045154</v>
      </c>
      <c r="N10" s="13">
        <f>PDD!N10+得物!N10+'视频号+官网+小程序'!N10+唯品会!N10</f>
        <v>5199602.71815154</v>
      </c>
      <c r="O10" s="13">
        <f>SUM(C10:N10)</f>
        <v>51355675.3136304</v>
      </c>
      <c r="P10" s="13"/>
      <c r="Q10" s="6"/>
    </row>
    <row r="11" ht="16.8" spans="1:18">
      <c r="B11" s="17" t="s">
        <v>23</v>
      </c>
      <c r="C11" s="18">
        <f>PDD!C11+得物!C11+'视频号+官网+小程序'!C11+唯品会!C11</f>
        <v>0</v>
      </c>
      <c r="D11" s="18">
        <f>PDD!D11+得物!D11+'视频号+官网+小程序'!D11+唯品会!D11</f>
        <v>0</v>
      </c>
      <c r="E11" s="18">
        <f>PDD!E11+得物!E11+'视频号+官网+小程序'!E11+唯品会!E11</f>
        <v>0</v>
      </c>
      <c r="F11" s="18">
        <f>PDD!F11+得物!F11+'视频号+官网+小程序'!F11+唯品会!F11</f>
        <v>0</v>
      </c>
      <c r="G11" s="18">
        <f>PDD!G11+得物!G11+'视频号+官网+小程序'!G11+唯品会!G11</f>
        <v>0</v>
      </c>
      <c r="H11" s="18">
        <f>PDD!H11+得物!H11+'视频号+官网+小程序'!H11+唯品会!H11</f>
        <v>0</v>
      </c>
      <c r="I11" s="18">
        <f>PDD!I11+得物!I11+'视频号+官网+小程序'!I11+唯品会!I11</f>
        <v>0</v>
      </c>
      <c r="J11" s="18">
        <f>PDD!J11+得物!J11+'视频号+官网+小程序'!J11+唯品会!J11</f>
        <v>0</v>
      </c>
      <c r="K11" s="18">
        <f>PDD!K11+得物!K11+'视频号+官网+小程序'!K11+唯品会!K11</f>
        <v>0</v>
      </c>
      <c r="L11" s="18">
        <f>PDD!L11+得物!L11+'视频号+官网+小程序'!L11+唯品会!L11</f>
        <v>0</v>
      </c>
      <c r="M11" s="18">
        <f>PDD!M11+得物!M11+'视频号+官网+小程序'!M11+唯品会!M11</f>
        <v>0</v>
      </c>
      <c r="N11" s="18">
        <f>PDD!N11+得物!N11+'视频号+官网+小程序'!N11+唯品会!N11</f>
        <v>0</v>
      </c>
      <c r="O11" s="18">
        <f>SUM(C11:N11)</f>
        <v>0</v>
      </c>
      <c r="P11" s="18"/>
      <c r="Q11" s="6" t="s">
        <v>88</v>
      </c>
    </row>
    <row r="12" ht="16.8" spans="1:18">
      <c r="B12" s="17" t="s">
        <v>25</v>
      </c>
      <c r="C12" s="18">
        <f>PDD!C12+得物!C12+'视频号+官网+小程序'!C12+唯品会!C12</f>
        <v>344422.439942647</v>
      </c>
      <c r="D12" s="18">
        <f>PDD!D12+得物!D12+'视频号+官网+小程序'!D12+唯品会!D12</f>
        <v>291938.479577717</v>
      </c>
      <c r="E12" s="18">
        <f>PDD!E12+得物!E12+'视频号+官网+小程序'!E12+唯品会!E12</f>
        <v>357166.238997423</v>
      </c>
      <c r="F12" s="18">
        <f>PDD!F12+得物!F12+'视频号+官网+小程序'!F12+唯品会!F12</f>
        <v>311906.472544482</v>
      </c>
      <c r="G12" s="18">
        <f>PDD!G12+得物!G12+'视频号+官网+小程序'!G12+唯品会!G12</f>
        <v>492270.538401247</v>
      </c>
      <c r="H12" s="18">
        <f>PDD!H12+得物!H12+'视频号+官网+小程序'!H12+唯品会!H12</f>
        <v>706324.950165952</v>
      </c>
      <c r="I12" s="18">
        <f>PDD!I12+得物!I12+'视频号+官网+小程序'!I12+唯品会!I12</f>
        <v>441824.119603305</v>
      </c>
      <c r="J12" s="18">
        <f>PDD!J12+得物!J12+'视频号+官网+小程序'!J12+唯品会!J12</f>
        <v>458347.960738305</v>
      </c>
      <c r="K12" s="18">
        <f>PDD!K12+得物!K12+'视频号+官网+小程序'!K12+唯品会!K12</f>
        <v>443328.003703305</v>
      </c>
      <c r="L12" s="18">
        <f>PDD!L12+得物!L12+'视频号+官网+小程序'!L12+唯品会!L12</f>
        <v>623845.95369007</v>
      </c>
      <c r="M12" s="18">
        <f>PDD!M12+得物!M12+'视频号+官网+小程序'!M12+唯品会!M12</f>
        <v>819010.2442836</v>
      </c>
      <c r="N12" s="18">
        <f>PDD!N12+得物!N12+'视频号+官网+小程序'!N12+唯品会!N12</f>
        <v>582268.955452129</v>
      </c>
      <c r="O12" s="18">
        <f>SUM(C12:N12)</f>
        <v>5872654.35710018</v>
      </c>
      <c r="P12" s="19">
        <v>0.1</v>
      </c>
      <c r="Q12" s="6" t="s">
        <v>83</v>
      </c>
      <c r="R12" s="20">
        <f>O12/$O$10</f>
        <v>0.114352587542384</v>
      </c>
    </row>
    <row r="13" ht="16.8" spans="1:18">
      <c r="B13" s="17" t="s">
        <v>27</v>
      </c>
      <c r="C13" s="18">
        <f>PDD!C13+得物!C13+'视频号+官网+小程序'!C13+唯品会!C13</f>
        <v>274530.90730581</v>
      </c>
      <c r="D13" s="18">
        <f>PDD!D13+得物!D13+'视频号+官网+小程序'!D13+唯品会!D13</f>
        <v>312829.929933422</v>
      </c>
      <c r="E13" s="18">
        <f>PDD!E13+得物!E13+'视频号+官网+小程序'!E13+唯品会!E13</f>
        <v>412781.942578716</v>
      </c>
      <c r="F13" s="18">
        <f>PDD!F13+得物!F13+'视频号+官网+小程序'!F13+唯品会!F13</f>
        <v>349691.633131657</v>
      </c>
      <c r="G13" s="18">
        <f>PDD!G13+得物!G13+'视频号+官网+小程序'!G13+唯品会!G13</f>
        <v>600522.871109892</v>
      </c>
      <c r="H13" s="18">
        <f>PDD!H13+得物!H13+'视频号+官网+小程序'!H13+唯品会!H13</f>
        <v>909161.459345186</v>
      </c>
      <c r="I13" s="18">
        <f>PDD!I13+得物!I13+'视频号+官网+小程序'!I13+唯品会!I13</f>
        <v>545033.986072833</v>
      </c>
      <c r="J13" s="18">
        <f>PDD!J13+得物!J13+'视频号+官网+小程序'!J13+唯品会!J13</f>
        <v>548255.904262833</v>
      </c>
      <c r="K13" s="18">
        <f>PDD!K13+得物!K13+'视频号+官网+小程序'!K13+唯品会!K13</f>
        <v>545662.177872833</v>
      </c>
      <c r="L13" s="18">
        <f>PDD!L13+得物!L13+'视频号+官网+小程序'!L13+唯品会!L13</f>
        <v>795897.607651069</v>
      </c>
      <c r="M13" s="18">
        <f>PDD!M13+得物!M13+'视频号+官网+小程序'!M13+唯品会!M13</f>
        <v>1078968.16522754</v>
      </c>
      <c r="N13" s="18">
        <f>PDD!N13+得物!N13+'视频号+官网+小程序'!N13+唯品会!N13</f>
        <v>731309.68180401</v>
      </c>
      <c r="O13" s="18">
        <f>O3*$P$12</f>
        <v>5777114.22224602</v>
      </c>
      <c r="P13" s="19">
        <v>0.1</v>
      </c>
      <c r="Q13" s="6" t="s">
        <v>83</v>
      </c>
      <c r="R13" s="20">
        <f>O13/$O$10</f>
        <v>0.112492225775731</v>
      </c>
    </row>
    <row r="14" ht="16.8" spans="1:18">
      <c r="B14" s="21" t="s">
        <v>28</v>
      </c>
      <c r="C14" s="22">
        <f>PDD!C14+得物!C14+'视频号+官网+小程序'!C14+唯品会!C14</f>
        <v>618953.347248457</v>
      </c>
      <c r="D14" s="22">
        <f>PDD!D14+得物!D14+'视频号+官网+小程序'!D14+唯品会!D14</f>
        <v>604768.409511139</v>
      </c>
      <c r="E14" s="22">
        <f>PDD!E14+得物!E14+'视频号+官网+小程序'!E14+唯品会!E14</f>
        <v>769948.181576139</v>
      </c>
      <c r="F14" s="22">
        <f>PDD!F14+得物!F14+'视频号+官网+小程序'!F14+唯品会!F14</f>
        <v>661598.105676139</v>
      </c>
      <c r="G14" s="22">
        <f>PDD!G14+得物!G14+'视频号+官网+小程序'!G14+唯品会!G14</f>
        <v>1092793.40951114</v>
      </c>
      <c r="H14" s="22">
        <f>PDD!H14+得物!H14+'视频号+官网+小程序'!H14+唯品会!H14</f>
        <v>1615486.40951114</v>
      </c>
      <c r="I14" s="22">
        <f>PDD!I14+得物!I14+'视频号+官网+小程序'!I14+唯品会!I14</f>
        <v>986858.105676139</v>
      </c>
      <c r="J14" s="22">
        <f>PDD!J14+得物!J14+'视频号+官网+小程序'!J14+唯品会!J14</f>
        <v>1006603.86500114</v>
      </c>
      <c r="K14" s="22">
        <f>PDD!K14+得物!K14+'视频号+官网+小程序'!K14+唯品会!K14</f>
        <v>988990.181576139</v>
      </c>
      <c r="L14" s="22">
        <f>PDD!L14+得物!L14+'视频号+官网+小程序'!L14+唯品会!L14</f>
        <v>1419743.56134114</v>
      </c>
      <c r="M14" s="22">
        <f>PDD!M14+得物!M14+'视频号+官网+小程序'!M14+唯品会!M14</f>
        <v>1897978.40951114</v>
      </c>
      <c r="N14" s="22">
        <f>PDD!N14+得物!N14+'视频号+官网+小程序'!N14+唯品会!N14</f>
        <v>1313578.63725614</v>
      </c>
      <c r="O14" s="22">
        <f>SUM(C14:N14)</f>
        <v>12977300.623396</v>
      </c>
      <c r="P14" s="22"/>
      <c r="Q14" s="6"/>
    </row>
    <row r="15" ht="16.8" spans="1:18">
      <c r="A15" s="7"/>
      <c r="B15" s="12" t="s">
        <v>29</v>
      </c>
      <c r="C15" s="13">
        <f>PDD!C15+得物!C15+'视频号+官网+小程序'!C15+唯品会!C15</f>
        <v>2079227.2</v>
      </c>
      <c r="D15" s="13">
        <f>PDD!D15+得物!D15+'视频号+官网+小程序'!D15+唯品会!D15</f>
        <v>1832818.0812804</v>
      </c>
      <c r="E15" s="13">
        <f>PDD!E15+得物!E15+'视频号+官网+小程序'!E15+唯品会!E15</f>
        <v>2253441.9812804</v>
      </c>
      <c r="F15" s="13">
        <f>PDD!F15+得物!F15+'视频号+官网+小程序'!F15+唯品会!F15</f>
        <v>1945969.9812804</v>
      </c>
      <c r="G15" s="13">
        <f>PDD!G15+得物!G15+'视频号+官网+小程序'!G15+唯品会!G15</f>
        <v>3121033.0812804</v>
      </c>
      <c r="H15" s="13">
        <f>PDD!H15+得物!H15+'视频号+官网+小程序'!H15+唯品会!H15</f>
        <v>4364608.0812804</v>
      </c>
      <c r="I15" s="13">
        <f>PDD!I15+得物!I15+'视频号+官网+小程序'!I15+唯品会!I15</f>
        <v>3039169.9812804</v>
      </c>
      <c r="J15" s="13">
        <f>PDD!J15+得物!J15+'视频号+官网+小程序'!J15+唯品会!J15</f>
        <v>3234805.0812804</v>
      </c>
      <c r="K15" s="13">
        <f>PDD!K15+得物!K15+'视频号+官网+小程序'!K15+唯品会!K15</f>
        <v>3068091.9812804</v>
      </c>
      <c r="L15" s="13">
        <f>PDD!L15+得物!L15+'视频号+官网+小程序'!L15+唯品会!L15</f>
        <v>4223627.0812804</v>
      </c>
      <c r="M15" s="13">
        <f>PDD!M15+得物!M15+'视频号+官网+小程序'!M15+唯品会!M15</f>
        <v>5329558.0812804</v>
      </c>
      <c r="N15" s="13">
        <f>PDD!N15+得物!N15+'视频号+官网+小程序'!N15+唯品会!N15</f>
        <v>3886024.0812804</v>
      </c>
      <c r="O15" s="13">
        <f>SUM(C15:N15)</f>
        <v>38378374.6940844</v>
      </c>
      <c r="P15" s="13"/>
      <c r="Q15" s="6"/>
    </row>
    <row r="16" ht="16.8" spans="1:18">
      <c r="A16" s="7"/>
      <c r="B16" s="12" t="s">
        <v>30</v>
      </c>
      <c r="C16" s="13">
        <f>PDD!C16+得物!C16+'视频号+官网+小程序'!C16+唯品会!C16</f>
        <v>1840024.07079646</v>
      </c>
      <c r="D16" s="13">
        <f>PDD!D16+得物!D16+'视频号+官网+小程序'!D16+唯品会!D16</f>
        <v>1621962.90378796</v>
      </c>
      <c r="E16" s="13">
        <f>PDD!E16+得物!E16+'视频号+官网+小程序'!E16+唯品会!E16</f>
        <v>1994196.44361097</v>
      </c>
      <c r="F16" s="13">
        <f>PDD!F16+得物!F16+'视频号+官网+小程序'!F16+唯品会!F16</f>
        <v>1722097.32856672</v>
      </c>
      <c r="G16" s="13">
        <f>PDD!G16+得物!G16+'视频号+官网+小程序'!G16+唯品会!G16</f>
        <v>2761976.17812425</v>
      </c>
      <c r="H16" s="13">
        <f>PDD!H16+得物!H16+'视频号+官网+小程序'!H16+唯品会!H16</f>
        <v>3862485.02768177</v>
      </c>
      <c r="I16" s="13">
        <f>PDD!I16+得物!I16+'视频号+官网+小程序'!I16+唯品会!I16</f>
        <v>2689530.95688531</v>
      </c>
      <c r="J16" s="13">
        <f>PDD!J16+得物!J16+'视频号+官网+小程序'!J16+唯品会!J16</f>
        <v>2862659.36396495</v>
      </c>
      <c r="K16" s="13">
        <f>PDD!K16+得物!K16+'视频号+官网+小程序'!K16+唯品会!K16</f>
        <v>2715125.64715079</v>
      </c>
      <c r="L16" s="13">
        <f>PDD!L16+得物!L16+'视频号+官网+小程序'!L16+唯品会!L16</f>
        <v>3737723.08077911</v>
      </c>
      <c r="M16" s="13">
        <f>PDD!M16+得物!M16+'视频号+官网+小程序'!M16+唯品会!M16</f>
        <v>4716423.08077911</v>
      </c>
      <c r="N16" s="13">
        <f>PDD!N16+得物!N16+'视频号+官网+小程序'!N16+唯品会!N16</f>
        <v>3438959.36396495</v>
      </c>
      <c r="O16" s="13">
        <f>SUM(C16:N16)</f>
        <v>33963163.4460924</v>
      </c>
      <c r="P16" s="13"/>
      <c r="Q16" s="6"/>
    </row>
    <row r="17" spans="1:17">
      <c r="C17">
        <f>PDD!C17+得物!C17+'视频号+官网+小程序'!C17+唯品会!C17</f>
        <v>0</v>
      </c>
      <c r="D17">
        <f>PDD!D17+得物!D17+'视频号+官网+小程序'!D17+唯品会!D17</f>
        <v>0</v>
      </c>
      <c r="E17">
        <f>PDD!E17+得物!E17+'视频号+官网+小程序'!E17+唯品会!E17</f>
        <v>0</v>
      </c>
      <c r="F17">
        <f>PDD!F17+得物!F17+'视频号+官网+小程序'!F17+唯品会!F17</f>
        <v>0</v>
      </c>
      <c r="G17">
        <f>PDD!G17+得物!G17+'视频号+官网+小程序'!G17+唯品会!G17</f>
        <v>0</v>
      </c>
      <c r="H17">
        <f>PDD!H17+得物!H17+'视频号+官网+小程序'!H17+唯品会!H17</f>
        <v>0</v>
      </c>
      <c r="I17">
        <f>PDD!I17+得物!I17+'视频号+官网+小程序'!I17+唯品会!I17</f>
        <v>0</v>
      </c>
      <c r="J17">
        <f>PDD!J17+得物!J17+'视频号+官网+小程序'!J17+唯品会!J17</f>
        <v>0</v>
      </c>
      <c r="K17">
        <f>PDD!K17+得物!K17+'视频号+官网+小程序'!K17+唯品会!K17</f>
        <v>0</v>
      </c>
      <c r="L17">
        <f>PDD!L17+得物!L17+'视频号+官网+小程序'!L17+唯品会!L17</f>
        <v>0</v>
      </c>
      <c r="M17">
        <f>PDD!M17+得物!M17+'视频号+官网+小程序'!M17+唯品会!M17</f>
        <v>0</v>
      </c>
      <c r="N17">
        <f>PDD!N17+得物!N17+'视频号+官网+小程序'!N17+唯品会!N17</f>
        <v>0</v>
      </c>
      <c r="Q17" s="6"/>
    </row>
    <row r="18" ht="16.8" spans="1:17">
      <c r="B18" s="17" t="s">
        <v>31</v>
      </c>
      <c r="C18" s="18">
        <f>PDD!C18+得物!C18+'视频号+官网+小程序'!C18+唯品会!C18</f>
        <v>900658.154282597</v>
      </c>
      <c r="D18" s="18">
        <f>PDD!D18+得物!D18+'视频号+官网+小程序'!D18+唯品会!D18</f>
        <v>790548.118897557</v>
      </c>
      <c r="E18" s="18">
        <f>PDD!E18+得物!E18+'视频号+官网+小程序'!E18+唯品会!E18</f>
        <v>1025477.59401707</v>
      </c>
      <c r="F18" s="18">
        <f>PDD!F18+得物!F18+'视频号+官网+小程序'!F18+唯品会!F18</f>
        <v>887951.008264921</v>
      </c>
      <c r="G18" s="18">
        <f>PDD!G18+得物!G18+'视频号+官网+小程序'!G18+唯品会!G18</f>
        <v>1268645.22166817</v>
      </c>
      <c r="H18" s="18">
        <f>PDD!H18+得物!H18+'视频号+官网+小程序'!H18+唯品会!H18</f>
        <v>1802243.11359438</v>
      </c>
      <c r="I18" s="18">
        <f>PDD!I18+得物!I18+'视频号+官网+小程序'!I18+唯品会!I18</f>
        <v>1159255.4320236</v>
      </c>
      <c r="J18" s="18">
        <f>PDD!J18+得物!J18+'视频号+官网+小程序'!J18+唯品会!J18</f>
        <v>1230500.81041472</v>
      </c>
      <c r="K18" s="18">
        <f>PDD!K18+得物!K18+'视频号+官网+小程序'!K18+唯品会!K18</f>
        <v>1146907.45542139</v>
      </c>
      <c r="L18" s="18">
        <f>PDD!L18+得物!L18+'视频号+官网+小程序'!L18+唯品会!L18</f>
        <v>1553396.21203138</v>
      </c>
      <c r="M18" s="18">
        <f>PDD!M18+得物!M18+'视频号+官网+小程序'!M18+唯品会!M18</f>
        <v>1914995.85067883</v>
      </c>
      <c r="N18" s="18">
        <f>PDD!N18+得物!N18+'视频号+官网+小程序'!N18+唯品会!N18</f>
        <v>1382489.70883472</v>
      </c>
      <c r="O18" s="18">
        <f>SUM(C18:N18)</f>
        <v>15063068.6801293</v>
      </c>
      <c r="P18" s="23">
        <f>O18/O16</f>
        <v>0.443511945052999</v>
      </c>
      <c r="Q18" s="6"/>
    </row>
    <row r="19" ht="16.8" spans="1:17">
      <c r="B19" s="21" t="s">
        <v>32</v>
      </c>
      <c r="C19" s="22">
        <f>PDD!C19+得物!C19+'视频号+官网+小程序'!C19+唯品会!C19</f>
        <v>939365.916513864</v>
      </c>
      <c r="D19" s="22">
        <f>PDD!D19+得物!D19+'视频号+官网+小程序'!D19+唯品会!D19</f>
        <v>831414.784890405</v>
      </c>
      <c r="E19" s="22">
        <f>PDD!E19+得物!E19+'视频号+官网+小程序'!E19+唯品会!E19</f>
        <v>968718.8495939</v>
      </c>
      <c r="F19" s="22">
        <f>PDD!F19+得物!F19+'视频号+官网+小程序'!F19+唯品会!F19</f>
        <v>834146.320301803</v>
      </c>
      <c r="G19" s="22">
        <f>PDD!G19+得物!G19+'视频号+官网+小程序'!G19+唯品会!G19</f>
        <v>1493330.95645607</v>
      </c>
      <c r="H19" s="22">
        <f>PDD!H19+得物!H19+'视频号+官网+小程序'!H19+唯品会!H19</f>
        <v>2060241.91408739</v>
      </c>
      <c r="I19" s="22">
        <f>PDD!I19+得物!I19+'视频号+官网+小程序'!I19+唯品会!I19</f>
        <v>1530275.52486171</v>
      </c>
      <c r="J19" s="22">
        <f>PDD!J19+得物!J19+'视频号+官网+小程序'!J19+唯品会!J19</f>
        <v>1632158.55355024</v>
      </c>
      <c r="K19" s="22">
        <f>PDD!K19+得物!K19+'视频号+官网+小程序'!K19+唯品会!K19</f>
        <v>1568218.1917294</v>
      </c>
      <c r="L19" s="22">
        <f>PDD!L19+得物!L19+'视频号+官网+小程序'!L19+唯品会!L19</f>
        <v>2184326.86874774</v>
      </c>
      <c r="M19" s="22">
        <f>PDD!M19+得物!M19+'视频号+官网+小程序'!M19+唯品会!M19</f>
        <v>2801427.23010029</v>
      </c>
      <c r="N19" s="22">
        <f>PDD!N19+得物!N19+'视频号+官网+小程序'!N19+唯品会!N19</f>
        <v>2056469.65513024</v>
      </c>
      <c r="O19" s="22">
        <f>SUM(C19:N19)</f>
        <v>18900094.765963</v>
      </c>
      <c r="P19" s="24">
        <f>O19/$O$16</f>
        <v>0.556488054947001</v>
      </c>
      <c r="Q19" s="6"/>
    </row>
    <row r="20" ht="16.8" spans="1:17">
      <c r="A20" s="5"/>
      <c r="B20" s="4" t="s">
        <v>33</v>
      </c>
      <c r="C20" s="25">
        <f>PDD!C20+得物!C20+'视频号+官网+小程序'!C20+唯品会!C20</f>
        <v>42983.9601769912</v>
      </c>
      <c r="D20" s="25">
        <f>PDD!D20+得物!D20+'视频号+官网+小程序'!D20+唯品会!D20</f>
        <v>37343.8911787699</v>
      </c>
      <c r="E20" s="25">
        <f>PDD!E20+得物!E20+'视频号+官网+小程序'!E20+唯品会!E20</f>
        <v>47215.351355761</v>
      </c>
      <c r="F20" s="25">
        <f>PDD!F20+得物!F20+'视频号+官网+小程序'!F20+唯品会!F20</f>
        <v>40601.4133026637</v>
      </c>
      <c r="G20" s="25">
        <f>PDD!G20+得物!G20+'视频号+官网+小程序'!G20+唯品会!G20</f>
        <v>65844.2230371769</v>
      </c>
      <c r="H20" s="25">
        <f>PDD!H20+得物!H20+'视频号+官网+小程序'!H20+唯品会!H20</f>
        <v>93356.944276115</v>
      </c>
      <c r="I20" s="25">
        <f>PDD!I20+得物!I20+'视频号+官网+小程序'!I20+唯品会!I20</f>
        <v>64787.2540106283</v>
      </c>
      <c r="J20" s="25">
        <f>PDD!J20+得物!J20+'视频号+官网+小程序'!J20+唯品会!J20</f>
        <v>67230.0637451415</v>
      </c>
      <c r="K20" s="25">
        <f>PDD!K20+得物!K20+'视频号+官网+小程序'!K20+唯品会!K20</f>
        <v>65238.5814442566</v>
      </c>
      <c r="L20" s="25">
        <f>PDD!L20+得物!L20+'视频号+官网+小程序'!L20+唯品会!L20</f>
        <v>89860.8159575309</v>
      </c>
      <c r="M20" s="25">
        <f>PDD!M20+得物!M20+'视频号+官网+小程序'!M20+唯品会!M20</f>
        <v>114705.395603549</v>
      </c>
      <c r="N20" s="25">
        <f>PDD!N20+得物!N20+'视频号+官网+小程序'!N20+唯品会!N20</f>
        <v>82203.1832141681</v>
      </c>
      <c r="O20" s="25">
        <f>SUM(C20:N20)</f>
        <v>811371.077302752</v>
      </c>
      <c r="P20" s="26">
        <v>0.025</v>
      </c>
      <c r="Q20" s="6"/>
    </row>
    <row r="21" ht="16.8" spans="1:17">
      <c r="B21" s="21" t="s">
        <v>35</v>
      </c>
      <c r="C21" s="22">
        <f>PDD!C21+得物!C21+'视频号+官网+小程序'!C21+唯品会!C21</f>
        <v>943642.114459588</v>
      </c>
      <c r="D21" s="22">
        <f>PDD!D21+得物!D21+'视频号+官网+小程序'!D21+唯品会!D21</f>
        <v>827892.010076327</v>
      </c>
      <c r="E21" s="22">
        <f>PDD!E21+得物!E21+'视频号+官网+小程序'!E21+唯品会!E21</f>
        <v>1072692.94537283</v>
      </c>
      <c r="F21" s="22">
        <f>PDD!F21+得物!F21+'视频号+官网+小程序'!F21+唯品会!F21</f>
        <v>928552.421567585</v>
      </c>
      <c r="G21" s="22">
        <f>PDD!G21+得物!G21+'视频号+官网+小程序'!G21+唯品会!G21</f>
        <v>1334489.44470535</v>
      </c>
      <c r="H21" s="22">
        <f>PDD!H21+得物!H21+'视频号+官网+小程序'!H21+唯品会!H21</f>
        <v>1895600.05787049</v>
      </c>
      <c r="I21" s="22">
        <f>PDD!I21+得物!I21+'视频号+官网+小程序'!I21+唯品会!I21</f>
        <v>1224042.68603423</v>
      </c>
      <c r="J21" s="22">
        <f>PDD!J21+得物!J21+'视频号+官网+小程序'!J21+唯品会!J21</f>
        <v>1297730.87415986</v>
      </c>
      <c r="K21" s="22">
        <f>PDD!K21+得物!K21+'视频号+官网+小程序'!K21+唯品会!K21</f>
        <v>1212146.03686565</v>
      </c>
      <c r="L21" s="22">
        <f>PDD!L21+得物!L21+'视频号+官网+小程序'!L21+唯品会!L21</f>
        <v>1643257.02798891</v>
      </c>
      <c r="M21" s="22">
        <f>PDD!M21+得物!M21+'视频号+官网+小程序'!M21+唯品会!M21</f>
        <v>2029701.24628237</v>
      </c>
      <c r="N21" s="22">
        <f>PDD!N21+得物!N21+'视频号+官网+小程序'!N21+唯品会!N21</f>
        <v>1464692.89204889</v>
      </c>
      <c r="O21" s="22">
        <f>SUM(C21:N21)</f>
        <v>15874439.7574321</v>
      </c>
      <c r="P21" s="24">
        <f>O21/$O$16</f>
        <v>0.467401683080217</v>
      </c>
      <c r="Q21" s="6"/>
    </row>
    <row r="22" ht="16.8" spans="1:17">
      <c r="A22" s="7"/>
      <c r="B22" s="12" t="s">
        <v>36</v>
      </c>
      <c r="C22" s="13">
        <f>PDD!C22+得物!C22+'视频号+官网+小程序'!C22+唯品会!C22</f>
        <v>896381.956336873</v>
      </c>
      <c r="D22" s="13">
        <f>PDD!D22+得物!D22+'视频号+官网+小程序'!D22+唯品会!D22</f>
        <v>794070.893711636</v>
      </c>
      <c r="E22" s="13">
        <f>PDD!E22+得物!E22+'视频号+官网+小程序'!E22+唯品会!E22</f>
        <v>921503.498238139</v>
      </c>
      <c r="F22" s="13">
        <f>PDD!F22+得物!F22+'视频号+官网+小程序'!F22+唯品会!F22</f>
        <v>793544.906999139</v>
      </c>
      <c r="G22" s="13">
        <f>PDD!G22+得物!G22+'视频号+官网+小程序'!G22+唯品会!G22</f>
        <v>1427486.73341889</v>
      </c>
      <c r="H22" s="13">
        <f>PDD!H22+得物!H22+'视频号+官网+小程序'!H22+唯品会!H22</f>
        <v>1966884.96981127</v>
      </c>
      <c r="I22" s="13">
        <f>PDD!I22+得物!I22+'视频号+官网+小程序'!I22+唯品会!I22</f>
        <v>1465488.27085108</v>
      </c>
      <c r="J22" s="13">
        <f>PDD!J22+得物!J22+'视频号+官网+小程序'!J22+唯品会!J22</f>
        <v>1564928.48980509</v>
      </c>
      <c r="K22" s="13">
        <f>PDD!K22+得物!K22+'视频号+官网+小程序'!K22+唯品会!K22</f>
        <v>1502979.61028515</v>
      </c>
      <c r="L22" s="13">
        <f>PDD!L22+得物!L22+'视频号+官网+小程序'!L22+唯品会!L22</f>
        <v>2094466.05279021</v>
      </c>
      <c r="M22" s="13">
        <f>PDD!M22+得物!M22+'视频号+官网+小程序'!M22+唯品会!M22</f>
        <v>2686721.83449674</v>
      </c>
      <c r="N22" s="13">
        <f>PDD!N22+得物!N22+'视频号+官网+小程序'!N22+唯品会!N22</f>
        <v>1974266.47191607</v>
      </c>
      <c r="O22" s="13">
        <f>SUM(C22:N22)</f>
        <v>18088723.6886603</v>
      </c>
      <c r="P22" s="27">
        <f>O22/$O$16</f>
        <v>0.532598316919783</v>
      </c>
      <c r="Q22" s="6"/>
    </row>
    <row r="23" ht="16.8" spans="1:17">
      <c r="B23" s="14" t="s">
        <v>37</v>
      </c>
      <c r="C23" s="44">
        <f t="shared" ref="C23:O23" si="0">C19/C16</f>
        <v>0.510518276050191</v>
      </c>
      <c r="D23" s="44">
        <f t="shared" si="0"/>
        <v>0.512597904026475</v>
      </c>
      <c r="E23" s="44">
        <f t="shared" si="0"/>
        <v>0.485769018743109</v>
      </c>
      <c r="F23" s="44">
        <f t="shared" si="0"/>
        <v>0.484378151260504</v>
      </c>
      <c r="G23" s="44">
        <f t="shared" si="0"/>
        <v>0.54067481402763</v>
      </c>
      <c r="H23" s="44">
        <f t="shared" si="0"/>
        <v>0.533398032438181</v>
      </c>
      <c r="I23" s="44">
        <f t="shared" si="0"/>
        <v>0.56897486937049</v>
      </c>
      <c r="J23" s="44">
        <f t="shared" si="0"/>
        <v>0.570154652032926</v>
      </c>
      <c r="K23" s="44">
        <f t="shared" si="0"/>
        <v>0.577585863613738</v>
      </c>
      <c r="L23" s="44">
        <f t="shared" si="0"/>
        <v>0.584400401404917</v>
      </c>
      <c r="M23" s="44">
        <f t="shared" si="0"/>
        <v>0.59397284385215</v>
      </c>
      <c r="N23" s="44">
        <f t="shared" si="0"/>
        <v>0.597991845056065</v>
      </c>
      <c r="O23" s="44">
        <f t="shared" si="0"/>
        <v>0.556488054947001</v>
      </c>
      <c r="P23" s="29"/>
      <c r="Q23" s="6"/>
    </row>
    <row r="24" ht="16.8" spans="1:17">
      <c r="B24" s="14" t="s">
        <v>38</v>
      </c>
      <c r="C24" s="28">
        <f t="shared" ref="C24:O24" si="1">IFERROR(1-C21/C16,0)</f>
        <v>0.487157733729467</v>
      </c>
      <c r="D24" s="28">
        <f t="shared" si="1"/>
        <v>0.489574016678894</v>
      </c>
      <c r="E24" s="28">
        <f t="shared" si="1"/>
        <v>0.462092639464112</v>
      </c>
      <c r="F24" s="28">
        <f t="shared" si="1"/>
        <v>0.460801427326756</v>
      </c>
      <c r="G24" s="28">
        <f t="shared" si="1"/>
        <v>0.51683528074031</v>
      </c>
      <c r="H24" s="28">
        <f t="shared" si="1"/>
        <v>0.509227856086159</v>
      </c>
      <c r="I24" s="28">
        <f t="shared" si="1"/>
        <v>0.544886188091411</v>
      </c>
      <c r="J24" s="28">
        <f t="shared" si="1"/>
        <v>0.546669474372101</v>
      </c>
      <c r="K24" s="28">
        <f t="shared" si="1"/>
        <v>0.553558032153078</v>
      </c>
      <c r="L24" s="28">
        <f t="shared" si="1"/>
        <v>0.560358808698483</v>
      </c>
      <c r="M24" s="28">
        <f t="shared" si="1"/>
        <v>0.569652422711178</v>
      </c>
      <c r="N24" s="28">
        <f t="shared" si="1"/>
        <v>0.574088339805165</v>
      </c>
      <c r="O24" s="28">
        <f t="shared" si="1"/>
        <v>0.532598316919783</v>
      </c>
      <c r="P24" s="29"/>
      <c r="Q24" s="6"/>
    </row>
    <row r="25" ht="16.8" spans="1:17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29"/>
      <c r="Q25" s="6"/>
    </row>
    <row r="26" ht="16.8" spans="1:17">
      <c r="B26" s="17" t="s">
        <v>39</v>
      </c>
      <c r="C26" s="18">
        <f>PDD!C26+得物!C26+'视频号+官网+小程序'!C26+唯品会!C26</f>
        <v>33257.0675871544</v>
      </c>
      <c r="D26" s="18">
        <f>PDD!D26+得物!D26+'视频号+官网+小程序'!D26+唯品会!D26</f>
        <v>117011.315260575</v>
      </c>
      <c r="E26" s="18">
        <f>PDD!E26+得物!E26+'视频号+官网+小程序'!E26+唯品会!E26</f>
        <v>208221.788789145</v>
      </c>
      <c r="F26" s="18">
        <f>PDD!F26+得物!F26+'视频号+官网+小程序'!F26+唯品会!F26</f>
        <v>116952.868534557</v>
      </c>
      <c r="G26" s="18">
        <f>PDD!G26+得物!G26+'视频号+官网+小程序'!G26+唯品会!G26</f>
        <v>505320.56586335</v>
      </c>
      <c r="H26" s="18">
        <f>PDD!H26+得物!H26+'视频号+官网+小程序'!H26+唯品会!H26</f>
        <v>296302.692372495</v>
      </c>
      <c r="I26" s="18">
        <f>PDD!I26+得物!I26+'视频号+官网+小程序'!I26+唯品会!I26</f>
        <v>54416.7151565278</v>
      </c>
      <c r="J26" s="18">
        <f>PDD!J26+得物!J26+'视频号+官网+小程序'!J26+唯品会!J26</f>
        <v>93506.5943197145</v>
      </c>
      <c r="K26" s="18">
        <f>PDD!K26+得物!K26+'视频号+官网+小程序'!K26+唯品会!K26</f>
        <v>75046.4288426825</v>
      </c>
      <c r="L26" s="18">
        <f>PDD!L26+得物!L26+'视频号+官网+小程序'!L26+唯品会!L26</f>
        <v>266551.168565861</v>
      </c>
      <c r="M26" s="18">
        <f>PDD!M26+得物!M26+'视频号+官网+小程序'!M26+唯品会!M26</f>
        <v>105979.775030359</v>
      </c>
      <c r="N26" s="18">
        <f>PDD!N26+得物!N26+'视频号+官网+小程序'!N26+唯品会!N26</f>
        <v>62417.9385867546</v>
      </c>
      <c r="O26" s="18">
        <f t="shared" ref="O26:O31" si="2">SUM(C26:N26)</f>
        <v>1934984.91890918</v>
      </c>
      <c r="P26" s="23">
        <f t="shared" ref="P26:P31" si="3">O26/$O$16</f>
        <v>0.0569730473423201</v>
      </c>
      <c r="Q26" s="6"/>
    </row>
    <row r="27" ht="16.8" spans="1:17">
      <c r="A27" s="5"/>
      <c r="B27" s="4" t="s">
        <v>40</v>
      </c>
      <c r="C27" s="30">
        <f>PDD!C27+得物!C27+'视频号+官网+小程序'!C27+唯品会!C27</f>
        <v>0</v>
      </c>
      <c r="D27" s="30">
        <f>PDD!D27+得物!D27+'视频号+官网+小程序'!D27+唯品会!D27</f>
        <v>0</v>
      </c>
      <c r="E27" s="30">
        <f>PDD!E27+得物!E27+'视频号+官网+小程序'!E27+唯品会!E27</f>
        <v>5689.11991227172</v>
      </c>
      <c r="F27" s="30">
        <f>PDD!F27+得物!F27+'视频号+官网+小程序'!F27+唯品会!F27</f>
        <v>4754.18164774623</v>
      </c>
      <c r="G27" s="30">
        <f>PDD!G27+得物!G27+'视频号+官网+小程序'!G27+唯品会!G27</f>
        <v>10066.1467303456</v>
      </c>
      <c r="H27" s="30">
        <f>PDD!H27+得物!H27+'视频号+官网+小程序'!H27+唯品会!H27</f>
        <v>8978.86946583319</v>
      </c>
      <c r="I27" s="30">
        <f>PDD!I27+得物!I27+'视频号+官网+小程序'!I27+唯品会!I27</f>
        <v>5789.01225069445</v>
      </c>
      <c r="J27" s="30">
        <f>PDD!J27+得物!J27+'视频号+官网+小程序'!J27+唯品会!J27</f>
        <v>7924.28765421309</v>
      </c>
      <c r="K27" s="30">
        <f>PDD!K27+得物!K27+'视频号+官网+小程序'!K27+唯品会!K27</f>
        <v>6359.86685107478</v>
      </c>
      <c r="L27" s="30">
        <f>PDD!L27+得物!L27+'视频号+官网+小程序'!L27+唯品会!L27</f>
        <v>10662.0467426344</v>
      </c>
      <c r="M27" s="30">
        <f>PDD!M27+得物!M27+'视频号+官网+小程序'!M27+唯品会!M27</f>
        <v>8152.29038695073</v>
      </c>
      <c r="N27" s="30">
        <f>PDD!N27+得物!N27+'视频号+官网+小程序'!N27+唯品会!N27</f>
        <v>0</v>
      </c>
      <c r="O27" s="5">
        <f t="shared" si="2"/>
        <v>68375.8216417643</v>
      </c>
      <c r="P27" s="29">
        <f t="shared" si="3"/>
        <v>0.00201323477273526</v>
      </c>
      <c r="Q27" s="4"/>
    </row>
    <row r="28" ht="16.8" spans="1:17">
      <c r="A28" s="5"/>
      <c r="B28" s="4" t="s">
        <v>41</v>
      </c>
      <c r="C28" s="30">
        <f>PDD!C28+得物!C28+'视频号+官网+小程序'!C28+唯品会!C28</f>
        <v>0</v>
      </c>
      <c r="D28" s="30">
        <f>PDD!D28+得物!D28+'视频号+官网+小程序'!D28+唯品会!D28</f>
        <v>0</v>
      </c>
      <c r="E28" s="30">
        <f>PDD!E28+得物!E28+'视频号+官网+小程序'!E28+唯品会!E28</f>
        <v>0</v>
      </c>
      <c r="F28" s="30">
        <f>PDD!F28+得物!F28+'视频号+官网+小程序'!F28+唯品会!F28</f>
        <v>5705.01797729547</v>
      </c>
      <c r="G28" s="30">
        <f>PDD!G28+得物!G28+'视频号+官网+小程序'!G28+唯品会!G28</f>
        <v>60396.8803820737</v>
      </c>
      <c r="H28" s="30">
        <f>PDD!H28+得物!H28+'视频号+官网+小程序'!H28+唯品会!H28</f>
        <v>28732.3822906662</v>
      </c>
      <c r="I28" s="30">
        <f>PDD!I28+得物!I28+'视频号+官网+小程序'!I28+唯品会!I28</f>
        <v>0</v>
      </c>
      <c r="J28" s="30">
        <f>PDD!J28+得物!J28+'视频号+官网+小程序'!J28+唯品会!J28</f>
        <v>9509.14518505571</v>
      </c>
      <c r="K28" s="30">
        <f>PDD!K28+得物!K28+'视频号+官网+小程序'!K28+唯品会!K28</f>
        <v>20351.5739234393</v>
      </c>
      <c r="L28" s="30">
        <f>PDD!L28+得物!L28+'视频号+官网+小程序'!L28+唯品会!L28</f>
        <v>12794.4560911613</v>
      </c>
      <c r="M28" s="30">
        <f>PDD!M28+得物!M28+'视频号+官网+小程序'!M28+唯品会!M28</f>
        <v>9782.74846434087</v>
      </c>
      <c r="N28" s="30">
        <f>PDD!N28+得物!N28+'视频号+官网+小程序'!N28+唯品会!N28</f>
        <v>0</v>
      </c>
      <c r="O28" s="5">
        <f t="shared" si="2"/>
        <v>147272.204314033</v>
      </c>
      <c r="P28" s="29">
        <f t="shared" si="3"/>
        <v>0.00433623341794379</v>
      </c>
      <c r="Q28" s="4"/>
    </row>
    <row r="29" ht="16.8" spans="1:17">
      <c r="A29" s="5"/>
      <c r="B29" s="4" t="s">
        <v>42</v>
      </c>
      <c r="C29" s="30">
        <f>PDD!C29+得物!C29+'视频号+官网+小程序'!C29+唯品会!C29</f>
        <v>2771.42229892953</v>
      </c>
      <c r="D29" s="30">
        <f>PDD!D29+得物!D29+'视频号+官网+小程序'!D29+唯品会!D29</f>
        <v>2250.21760116491</v>
      </c>
      <c r="E29" s="30">
        <f>PDD!E29+得物!E29+'视频号+官网+小程序'!E29+唯品会!E29</f>
        <v>2275.64796490869</v>
      </c>
      <c r="F29" s="30">
        <f>PDD!F29+得物!F29+'视频号+官网+小程序'!F29+唯品会!F29</f>
        <v>9508.36329549246</v>
      </c>
      <c r="G29" s="30">
        <f>PDD!G29+得物!G29+'视频号+官网+小程序'!G29+唯品会!G29</f>
        <v>60396.8803820737</v>
      </c>
      <c r="H29" s="30">
        <f>PDD!H29+得物!H29+'视频号+官网+小程序'!H29+唯品会!H29</f>
        <v>39507.0256496661</v>
      </c>
      <c r="I29" s="30">
        <f>PDD!I29+得物!I29+'视频号+官网+小程序'!I29+唯品会!I29</f>
        <v>0</v>
      </c>
      <c r="J29" s="30">
        <f>PDD!J29+得物!J29+'视频号+官网+小程序'!J29+唯品会!J29</f>
        <v>9509.14518505571</v>
      </c>
      <c r="K29" s="30">
        <f>PDD!K29+得物!K29+'视频号+官网+小程序'!K29+唯品会!K29</f>
        <v>20351.5739234393</v>
      </c>
      <c r="L29" s="30">
        <f>PDD!L29+得物!L29+'视频号+官网+小程序'!L29+唯品会!L29</f>
        <v>21324.0934852689</v>
      </c>
      <c r="M29" s="30">
        <f>PDD!M29+得物!M29+'视频号+官网+小程序'!M29+唯品会!M29</f>
        <v>16304.5807739015</v>
      </c>
      <c r="N29" s="30">
        <f>PDD!N29+得物!N29+'视频号+官网+小程序'!N29+唯品会!N29</f>
        <v>2837.17902667066</v>
      </c>
      <c r="O29" s="5">
        <f t="shared" si="2"/>
        <v>187036.129586571</v>
      </c>
      <c r="P29" s="29">
        <f t="shared" si="3"/>
        <v>0.00550702910473703</v>
      </c>
      <c r="Q29" s="6"/>
    </row>
    <row r="30" ht="16.8" spans="1:17">
      <c r="A30" s="5"/>
      <c r="B30" s="4" t="s">
        <v>43</v>
      </c>
      <c r="C30" s="30">
        <f>PDD!C30+得物!C30+'视频号+官网+小程序'!C30+唯品会!C30</f>
        <v>2771.42229892953</v>
      </c>
      <c r="D30" s="30">
        <f>PDD!D30+得物!D30+'视频号+官网+小程序'!D30+唯品会!D30</f>
        <v>2250.21760116491</v>
      </c>
      <c r="E30" s="30">
        <f>PDD!E30+得物!E30+'视频号+官网+小程序'!E30+唯品会!E30</f>
        <v>18205.1837192695</v>
      </c>
      <c r="F30" s="30">
        <f>PDD!F30+得物!F30+'视频号+官网+小程序'!F30+唯品会!F30</f>
        <v>1901.67265909849</v>
      </c>
      <c r="G30" s="30">
        <f>PDD!G30+得物!G30+'视频号+官网+小程序'!G30+唯品会!G30</f>
        <v>12079.3760764147</v>
      </c>
      <c r="H30" s="30">
        <f>PDD!H30+得物!H30+'视频号+官网+小程序'!H30+唯品会!H30</f>
        <v>3591.54778633328</v>
      </c>
      <c r="I30" s="30">
        <f>PDD!I30+得物!I30+'视频号+官网+小程序'!I30+唯品会!I30</f>
        <v>2315.60490027778</v>
      </c>
      <c r="J30" s="30">
        <f>PDD!J30+得物!J30+'视频号+官网+小程序'!J30+唯品会!J30</f>
        <v>3169.71506168524</v>
      </c>
      <c r="K30" s="30">
        <f>PDD!K30+得物!K30+'视频号+官网+小程序'!K30+唯品会!K30</f>
        <v>2543.94674042991</v>
      </c>
      <c r="L30" s="30">
        <f>PDD!L30+得物!L30+'视频号+官网+小程序'!L30+唯品会!L30</f>
        <v>8529.63739410755</v>
      </c>
      <c r="M30" s="30">
        <f>PDD!M30+得物!M30+'视频号+官网+小程序'!M30+唯品会!M30</f>
        <v>6521.83230956058</v>
      </c>
      <c r="N30" s="30">
        <f>PDD!N30+得物!N30+'视频号+官网+小程序'!N30+唯品会!N30</f>
        <v>2837.17902667066</v>
      </c>
      <c r="O30" s="5">
        <f t="shared" si="2"/>
        <v>66717.3355739422</v>
      </c>
      <c r="P30" s="29">
        <f t="shared" si="3"/>
        <v>0.00196440286488149</v>
      </c>
      <c r="Q30" s="6"/>
    </row>
    <row r="31" ht="16.8" spans="1:17">
      <c r="A31" s="5"/>
      <c r="B31" s="4" t="s">
        <v>44</v>
      </c>
      <c r="C31" s="30">
        <f>PDD!C31+得物!C31+'视频号+官网+小程序'!C31+唯品会!C31</f>
        <v>27714.2229892953</v>
      </c>
      <c r="D31" s="30">
        <f>PDD!D31+得物!D31+'视频号+官网+小程序'!D31+唯品会!D31</f>
        <v>112510.880058246</v>
      </c>
      <c r="E31" s="30">
        <f>PDD!E31+得物!E31+'视频号+官网+小程序'!E31+唯品会!E31</f>
        <v>182051.837192695</v>
      </c>
      <c r="F31" s="30">
        <f>PDD!F31+得物!F31+'视频号+官网+小程序'!F31+唯品会!F31</f>
        <v>95083.6329549245</v>
      </c>
      <c r="G31" s="30">
        <f>PDD!G31+得物!G31+'视频号+官网+小程序'!G31+唯品会!G31</f>
        <v>362381.282292442</v>
      </c>
      <c r="H31" s="30">
        <f>PDD!H31+得物!H31+'视频号+官网+小程序'!H31+唯品会!H31</f>
        <v>215492.867179997</v>
      </c>
      <c r="I31" s="30">
        <f>PDD!I31+得物!I31+'视频号+官网+小程序'!I31+唯品会!I31</f>
        <v>46312.0980055556</v>
      </c>
      <c r="J31" s="30">
        <f>PDD!J31+得物!J31+'视频号+官网+小程序'!J31+唯品会!J31</f>
        <v>63394.3012337047</v>
      </c>
      <c r="K31" s="30">
        <f>PDD!K31+得物!K31+'视频号+官网+小程序'!K31+唯品会!K31</f>
        <v>25439.4674042991</v>
      </c>
      <c r="L31" s="30">
        <f>PDD!L31+得物!L31+'视频号+官网+小程序'!L31+唯品会!L31</f>
        <v>213240.934852689</v>
      </c>
      <c r="M31" s="30">
        <f>PDD!M31+得物!M31+'视频号+官网+小程序'!M31+唯品会!M31</f>
        <v>65218.3230956058</v>
      </c>
      <c r="N31" s="30">
        <f>PDD!N31+得物!N31+'视频号+官网+小程序'!N31+唯品会!N31</f>
        <v>56743.5805334133</v>
      </c>
      <c r="O31" s="5">
        <f t="shared" si="2"/>
        <v>1465583.42779287</v>
      </c>
      <c r="P31" s="29">
        <f t="shared" si="3"/>
        <v>0.0431521471820226</v>
      </c>
      <c r="Q31" s="6"/>
    </row>
    <row r="32" ht="16.8" outlineLevel="1" spans="1:17">
      <c r="A32" s="5"/>
      <c r="B32" s="4" t="s">
        <v>45</v>
      </c>
      <c r="C32" s="5">
        <f>PDD!C32+得物!C32+'视频号+官网+小程序'!C32+唯品会!C32</f>
        <v>0</v>
      </c>
      <c r="D32" s="5">
        <f>PDD!D32+得物!D32+'视频号+官网+小程序'!D32+唯品会!D32</f>
        <v>0</v>
      </c>
      <c r="E32" s="5">
        <f>PDD!E32+得物!E32+'视频号+官网+小程序'!E32+唯品会!E32</f>
        <v>0</v>
      </c>
      <c r="F32" s="5">
        <f>PDD!F32+得物!F32+'视频号+官网+小程序'!F32+唯品会!F32</f>
        <v>0</v>
      </c>
      <c r="G32" s="5">
        <f>PDD!G32+得物!G32+'视频号+官网+小程序'!G32+唯品会!G32</f>
        <v>0</v>
      </c>
      <c r="H32" s="5">
        <f>PDD!H32+得物!H32+'视频号+官网+小程序'!H32+唯品会!H32</f>
        <v>0</v>
      </c>
      <c r="I32" s="5">
        <f>PDD!I32+得物!I32+'视频号+官网+小程序'!I32+唯品会!I32</f>
        <v>0</v>
      </c>
      <c r="J32" s="5">
        <f>PDD!J32+得物!J32+'视频号+官网+小程序'!J32+唯品会!J32</f>
        <v>0</v>
      </c>
      <c r="K32" s="5">
        <f>PDD!K32+得物!K32+'视频号+官网+小程序'!K32+唯品会!K32</f>
        <v>0</v>
      </c>
      <c r="L32" s="5">
        <f>PDD!L32+得物!L32+'视频号+官网+小程序'!L32+唯品会!L32</f>
        <v>0</v>
      </c>
      <c r="M32" s="5">
        <f>PDD!M32+得物!M32+'视频号+官网+小程序'!M32+唯品会!M32</f>
        <v>0</v>
      </c>
      <c r="N32" s="5">
        <f>PDD!N32+得物!N32+'视频号+官网+小程序'!N32+唯品会!N32</f>
        <v>0</v>
      </c>
      <c r="O32" s="5"/>
      <c r="P32" s="29"/>
      <c r="Q32" s="6"/>
    </row>
    <row r="33" ht="16.8" outlineLevel="1" spans="1:17">
      <c r="A33" s="5"/>
      <c r="B33" s="4" t="s">
        <v>46</v>
      </c>
      <c r="C33" s="5">
        <f>PDD!C33+得物!C33+'视频号+官网+小程序'!C33+唯品会!C33</f>
        <v>0</v>
      </c>
      <c r="D33" s="5">
        <f>PDD!D33+得物!D33+'视频号+官网+小程序'!D33+唯品会!D33</f>
        <v>0</v>
      </c>
      <c r="E33" s="5">
        <f>PDD!E33+得物!E33+'视频号+官网+小程序'!E33+唯品会!E33</f>
        <v>0</v>
      </c>
      <c r="F33" s="5">
        <f>PDD!F33+得物!F33+'视频号+官网+小程序'!F33+唯品会!F33</f>
        <v>0</v>
      </c>
      <c r="G33" s="5">
        <f>PDD!G33+得物!G33+'视频号+官网+小程序'!G33+唯品会!G33</f>
        <v>0</v>
      </c>
      <c r="H33" s="5">
        <f>PDD!H33+得物!H33+'视频号+官网+小程序'!H33+唯品会!H33</f>
        <v>0</v>
      </c>
      <c r="I33" s="5">
        <f>PDD!I33+得物!I33+'视频号+官网+小程序'!I33+唯品会!I33</f>
        <v>0</v>
      </c>
      <c r="J33" s="5">
        <f>PDD!J33+得物!J33+'视频号+官网+小程序'!J33+唯品会!J33</f>
        <v>0</v>
      </c>
      <c r="K33" s="5">
        <f>PDD!K33+得物!K33+'视频号+官网+小程序'!K33+唯品会!K33</f>
        <v>0</v>
      </c>
      <c r="L33" s="5">
        <f>PDD!L33+得物!L33+'视频号+官网+小程序'!L33+唯品会!L33</f>
        <v>0</v>
      </c>
      <c r="M33" s="5">
        <f>PDD!M33+得物!M33+'视频号+官网+小程序'!M33+唯品会!M33</f>
        <v>0</v>
      </c>
      <c r="N33" s="5">
        <f>PDD!N33+得物!N33+'视频号+官网+小程序'!N33+唯品会!N33</f>
        <v>0</v>
      </c>
      <c r="O33" s="5"/>
      <c r="P33" s="29"/>
      <c r="Q33" s="6"/>
    </row>
    <row r="34" ht="16.8" outlineLevel="1" spans="1:17">
      <c r="A34" s="5"/>
      <c r="B34" s="4" t="s">
        <v>47</v>
      </c>
      <c r="C34" s="5">
        <f>PDD!C34+得物!C34+'视频号+官网+小程序'!C34+唯品会!C34</f>
        <v>0</v>
      </c>
      <c r="D34" s="5">
        <f>PDD!D34+得物!D34+'视频号+官网+小程序'!D34+唯品会!D34</f>
        <v>0</v>
      </c>
      <c r="E34" s="5">
        <f>PDD!E34+得物!E34+'视频号+官网+小程序'!E34+唯品会!E34</f>
        <v>0</v>
      </c>
      <c r="F34" s="5">
        <f>PDD!F34+得物!F34+'视频号+官网+小程序'!F34+唯品会!F34</f>
        <v>0</v>
      </c>
      <c r="G34" s="5">
        <f>PDD!G34+得物!G34+'视频号+官网+小程序'!G34+唯品会!G34</f>
        <v>0</v>
      </c>
      <c r="H34" s="5">
        <f>PDD!H34+得物!H34+'视频号+官网+小程序'!H34+唯品会!H34</f>
        <v>0</v>
      </c>
      <c r="I34" s="5">
        <f>PDD!I34+得物!I34+'视频号+官网+小程序'!I34+唯品会!I34</f>
        <v>0</v>
      </c>
      <c r="J34" s="5">
        <f>PDD!J34+得物!J34+'视频号+官网+小程序'!J34+唯品会!J34</f>
        <v>0</v>
      </c>
      <c r="K34" s="5">
        <f>PDD!K34+得物!K34+'视频号+官网+小程序'!K34+唯品会!K34</f>
        <v>0</v>
      </c>
      <c r="L34" s="5">
        <f>PDD!L34+得物!L34+'视频号+官网+小程序'!L34+唯品会!L34</f>
        <v>0</v>
      </c>
      <c r="M34" s="5">
        <f>PDD!M34+得物!M34+'视频号+官网+小程序'!M34+唯品会!M34</f>
        <v>0</v>
      </c>
      <c r="N34" s="5">
        <f>PDD!N34+得物!N34+'视频号+官网+小程序'!N34+唯品会!N34</f>
        <v>0</v>
      </c>
      <c r="O34" s="5"/>
      <c r="P34" s="29"/>
      <c r="Q34" s="6"/>
    </row>
    <row r="35" ht="16.8" outlineLevel="1" spans="1:17">
      <c r="A35" s="5"/>
      <c r="B35" s="4" t="s">
        <v>48</v>
      </c>
      <c r="C35" s="5">
        <f>PDD!C35+得物!C35+'视频号+官网+小程序'!C35+唯品会!C35</f>
        <v>0</v>
      </c>
      <c r="D35" s="5">
        <f>PDD!D35+得物!D35+'视频号+官网+小程序'!D35+唯品会!D35</f>
        <v>0</v>
      </c>
      <c r="E35" s="5">
        <f>PDD!E35+得物!E35+'视频号+官网+小程序'!E35+唯品会!E35</f>
        <v>0</v>
      </c>
      <c r="F35" s="5">
        <f>PDD!F35+得物!F35+'视频号+官网+小程序'!F35+唯品会!F35</f>
        <v>0</v>
      </c>
      <c r="G35" s="5">
        <f>PDD!G35+得物!G35+'视频号+官网+小程序'!G35+唯品会!G35</f>
        <v>0</v>
      </c>
      <c r="H35" s="5">
        <f>PDD!H35+得物!H35+'视频号+官网+小程序'!H35+唯品会!H35</f>
        <v>0</v>
      </c>
      <c r="I35" s="5">
        <f>PDD!I35+得物!I35+'视频号+官网+小程序'!I35+唯品会!I35</f>
        <v>0</v>
      </c>
      <c r="J35" s="5">
        <f>PDD!J35+得物!J35+'视频号+官网+小程序'!J35+唯品会!J35</f>
        <v>0</v>
      </c>
      <c r="K35" s="5">
        <f>PDD!K35+得物!K35+'视频号+官网+小程序'!K35+唯品会!K35</f>
        <v>0</v>
      </c>
      <c r="L35" s="5">
        <f>PDD!L35+得物!L35+'视频号+官网+小程序'!L35+唯品会!L35</f>
        <v>0</v>
      </c>
      <c r="M35" s="5">
        <f>PDD!M35+得物!M35+'视频号+官网+小程序'!M35+唯品会!M35</f>
        <v>0</v>
      </c>
      <c r="N35" s="5">
        <f>PDD!N35+得物!N35+'视频号+官网+小程序'!N35+唯品会!N35</f>
        <v>0</v>
      </c>
      <c r="O35" s="5"/>
      <c r="P35" s="29"/>
      <c r="Q35" s="6"/>
    </row>
    <row r="36" ht="16.8" outlineLevel="1" spans="1:17">
      <c r="A36" s="5"/>
      <c r="B36" s="4" t="s">
        <v>49</v>
      </c>
      <c r="C36" s="16">
        <f>PDD!C36+得物!C36+'视频号+官网+小程序'!C36+唯品会!C36</f>
        <v>0</v>
      </c>
      <c r="D36" s="16">
        <f>PDD!D36+得物!D36+'视频号+官网+小程序'!D36+唯品会!D36</f>
        <v>0</v>
      </c>
      <c r="E36" s="16">
        <f>PDD!E36+得物!E36+'视频号+官网+小程序'!E36+唯品会!E36</f>
        <v>0</v>
      </c>
      <c r="F36" s="16">
        <f>PDD!F36+得物!F36+'视频号+官网+小程序'!F36+唯品会!F36</f>
        <v>0</v>
      </c>
      <c r="G36" s="16">
        <f>PDD!G36+得物!G36+'视频号+官网+小程序'!G36+唯品会!G36</f>
        <v>0</v>
      </c>
      <c r="H36" s="16">
        <f>PDD!H36+得物!H36+'视频号+官网+小程序'!H36+唯品会!H36</f>
        <v>0</v>
      </c>
      <c r="I36" s="16">
        <f>PDD!I36+得物!I36+'视频号+官网+小程序'!I36+唯品会!I36</f>
        <v>0</v>
      </c>
      <c r="J36" s="16">
        <f>PDD!J36+得物!J36+'视频号+官网+小程序'!J36+唯品会!J36</f>
        <v>0</v>
      </c>
      <c r="K36" s="16">
        <f>PDD!K36+得物!K36+'视频号+官网+小程序'!K36+唯品会!K36</f>
        <v>0</v>
      </c>
      <c r="L36" s="16">
        <f>PDD!L36+得物!L36+'视频号+官网+小程序'!L36+唯品会!L36</f>
        <v>0</v>
      </c>
      <c r="M36" s="16">
        <f>PDD!M36+得物!M36+'视频号+官网+小程序'!M36+唯品会!M36</f>
        <v>0</v>
      </c>
      <c r="N36" s="16">
        <f>PDD!N36+得物!N36+'视频号+官网+小程序'!N36+唯品会!N36</f>
        <v>0</v>
      </c>
      <c r="O36" s="5"/>
      <c r="P36" s="29"/>
      <c r="Q36" s="6"/>
    </row>
    <row r="37" ht="16.8" spans="1:17">
      <c r="B37" s="17" t="s">
        <v>50</v>
      </c>
      <c r="C37" s="18">
        <f>PDD!C37+得物!C37+'视频号+官网+小程序'!C37+唯品会!C37</f>
        <v>128529.053214582</v>
      </c>
      <c r="D37" s="18">
        <f>PDD!D37+得物!D37+'视频号+官网+小程序'!D37+唯品会!D37</f>
        <v>135615.130754641</v>
      </c>
      <c r="E37" s="18">
        <f>PDD!E37+得物!E37+'视频号+官网+小程序'!E37+唯品会!E37</f>
        <v>170822.002163942</v>
      </c>
      <c r="F37" s="18">
        <f>PDD!F37+得物!F37+'视频号+官网+小程序'!F37+唯品会!F37</f>
        <v>140223.540714239</v>
      </c>
      <c r="G37" s="18">
        <f>PDD!G37+得物!G37+'视频号+官网+小程序'!G37+唯品会!G37</f>
        <v>255787.873499463</v>
      </c>
      <c r="H37" s="18">
        <f>PDD!H37+得物!H37+'视频号+官网+小程序'!H37+唯品会!H37</f>
        <v>325010.283702483</v>
      </c>
      <c r="I37" s="18">
        <f>PDD!I37+得物!I37+'视频号+官网+小程序'!I37+唯品会!I37</f>
        <v>311136.259784168</v>
      </c>
      <c r="J37" s="18">
        <f>PDD!J37+得物!J37+'视频号+官网+小程序'!J37+唯品会!J37</f>
        <v>354983.098850494</v>
      </c>
      <c r="K37" s="18">
        <f>PDD!K37+得物!K37+'视频号+官网+小程序'!K37+唯品会!K37</f>
        <v>319532.743097483</v>
      </c>
      <c r="L37" s="18">
        <f>PDD!L37+得物!L37+'视频号+官网+小程序'!L37+唯品会!L37</f>
        <v>414216.877537937</v>
      </c>
      <c r="M37" s="18">
        <f>PDD!M37+得物!M37+'视频号+官网+小程序'!M37+唯品会!M37</f>
        <v>460237.376112961</v>
      </c>
      <c r="N37" s="18">
        <f>PDD!N37+得物!N37+'视频号+官网+小程序'!N37+唯品会!N37</f>
        <v>395706.780802837</v>
      </c>
      <c r="O37" s="18">
        <f>SUM(C37:N37)</f>
        <v>3411801.02023523</v>
      </c>
      <c r="P37" s="23">
        <f>O37/$O$16</f>
        <v>0.100455925598644</v>
      </c>
      <c r="Q37" s="6"/>
    </row>
    <row r="38" ht="16.8" spans="1:17">
      <c r="A38" s="5"/>
      <c r="B38" s="4" t="s">
        <v>51</v>
      </c>
      <c r="C38" s="31">
        <f>PDD!C38+得物!C38+'视频号+官网+小程序'!C38+唯品会!C38</f>
        <v>128529.053214582</v>
      </c>
      <c r="D38" s="31">
        <f>PDD!D38+得物!D38+'视频号+官网+小程序'!D38+唯品会!D38</f>
        <v>135615.130754641</v>
      </c>
      <c r="E38" s="31">
        <f>PDD!E38+得物!E38+'视频号+官网+小程序'!E38+唯品会!E38</f>
        <v>170822.002163942</v>
      </c>
      <c r="F38" s="31">
        <f>PDD!F38+得物!F38+'视频号+官网+小程序'!F38+唯品会!F38</f>
        <v>140223.540714239</v>
      </c>
      <c r="G38" s="31">
        <f>PDD!G38+得物!G38+'视频号+官网+小程序'!G38+唯品会!G38</f>
        <v>255787.873499463</v>
      </c>
      <c r="H38" s="31">
        <f>PDD!H38+得物!H38+'视频号+官网+小程序'!H38+唯品会!H38</f>
        <v>325010.283702483</v>
      </c>
      <c r="I38" s="31">
        <f>PDD!I38+得物!I38+'视频号+官网+小程序'!I38+唯品会!I38</f>
        <v>311136.259784168</v>
      </c>
      <c r="J38" s="31">
        <f>PDD!J38+得物!J38+'视频号+官网+小程序'!J38+唯品会!J38</f>
        <v>354983.098850494</v>
      </c>
      <c r="K38" s="31">
        <f>PDD!K38+得物!K38+'视频号+官网+小程序'!K38+唯品会!K38</f>
        <v>319532.743097483</v>
      </c>
      <c r="L38" s="31">
        <f>PDD!L38+得物!L38+'视频号+官网+小程序'!L38+唯品会!L38</f>
        <v>414216.877537937</v>
      </c>
      <c r="M38" s="31">
        <f>PDD!M38+得物!M38+'视频号+官网+小程序'!M38+唯品会!M38</f>
        <v>460237.376112961</v>
      </c>
      <c r="N38" s="31">
        <f>PDD!N38+得物!N38+'视频号+官网+小程序'!N38+唯品会!N38</f>
        <v>395706.780802837</v>
      </c>
      <c r="O38" s="5">
        <f>SUM(C38:N38)</f>
        <v>3411801.02023523</v>
      </c>
      <c r="P38" s="29">
        <f>O38/$O$16</f>
        <v>0.100455925598644</v>
      </c>
      <c r="Q38" s="6" t="s">
        <v>91</v>
      </c>
    </row>
    <row r="39" ht="16.8" spans="1:17">
      <c r="A39" s="5"/>
      <c r="B39" s="4" t="s">
        <v>53</v>
      </c>
      <c r="C39" s="31">
        <f>PDD!C39+得物!C39+'视频号+官网+小程序'!C39+唯品会!C39</f>
        <v>0</v>
      </c>
      <c r="D39" s="31">
        <f>PDD!D39+得物!D39+'视频号+官网+小程序'!D39+唯品会!D39</f>
        <v>0</v>
      </c>
      <c r="E39" s="31">
        <f>PDD!E39+得物!E39+'视频号+官网+小程序'!E39+唯品会!E39</f>
        <v>0</v>
      </c>
      <c r="F39" s="31">
        <f>PDD!F39+得物!F39+'视频号+官网+小程序'!F39+唯品会!F39</f>
        <v>0</v>
      </c>
      <c r="G39" s="31">
        <f>PDD!G39+得物!G39+'视频号+官网+小程序'!G39+唯品会!G39</f>
        <v>0</v>
      </c>
      <c r="H39" s="31">
        <f>PDD!H39+得物!H39+'视频号+官网+小程序'!H39+唯品会!H39</f>
        <v>0</v>
      </c>
      <c r="I39" s="31">
        <f>PDD!I39+得物!I39+'视频号+官网+小程序'!I39+唯品会!I39</f>
        <v>0</v>
      </c>
      <c r="J39" s="31">
        <f>PDD!J39+得物!J39+'视频号+官网+小程序'!J39+唯品会!J39</f>
        <v>0</v>
      </c>
      <c r="K39" s="31">
        <f>PDD!K39+得物!K39+'视频号+官网+小程序'!K39+唯品会!K39</f>
        <v>0</v>
      </c>
      <c r="L39" s="31">
        <f>PDD!L39+得物!L39+'视频号+官网+小程序'!L39+唯品会!L39</f>
        <v>0</v>
      </c>
      <c r="M39" s="31">
        <f>PDD!M39+得物!M39+'视频号+官网+小程序'!M39+唯品会!M39</f>
        <v>0</v>
      </c>
      <c r="N39" s="31">
        <f>PDD!N39+得物!N39+'视频号+官网+小程序'!N39+唯品会!N39</f>
        <v>0</v>
      </c>
      <c r="O39" s="5">
        <f>SUM(C39:N39)</f>
        <v>0</v>
      </c>
      <c r="P39" s="29">
        <f>O39/$O$16</f>
        <v>0</v>
      </c>
      <c r="Q39" s="6" t="s">
        <v>91</v>
      </c>
    </row>
    <row r="40" ht="16.8" spans="1:17">
      <c r="A40" s="5"/>
      <c r="B40" s="4" t="s">
        <v>55</v>
      </c>
      <c r="C40" s="31">
        <f>PDD!C40+得物!C40+'视频号+官网+小程序'!C40+唯品会!C40</f>
        <v>0</v>
      </c>
      <c r="D40" s="31">
        <f>PDD!D40+得物!D40+'视频号+官网+小程序'!D40+唯品会!D40</f>
        <v>0</v>
      </c>
      <c r="E40" s="31">
        <f>PDD!E40+得物!E40+'视频号+官网+小程序'!E40+唯品会!E40</f>
        <v>0</v>
      </c>
      <c r="F40" s="31">
        <f>PDD!F40+得物!F40+'视频号+官网+小程序'!F40+唯品会!F40</f>
        <v>0</v>
      </c>
      <c r="G40" s="31">
        <f>PDD!G40+得物!G40+'视频号+官网+小程序'!G40+唯品会!G40</f>
        <v>0</v>
      </c>
      <c r="H40" s="31">
        <f>PDD!H40+得物!H40+'视频号+官网+小程序'!H40+唯品会!H40</f>
        <v>0</v>
      </c>
      <c r="I40" s="31">
        <f>PDD!I40+得物!I40+'视频号+官网+小程序'!I40+唯品会!I40</f>
        <v>0</v>
      </c>
      <c r="J40" s="31">
        <f>PDD!J40+得物!J40+'视频号+官网+小程序'!J40+唯品会!J40</f>
        <v>0</v>
      </c>
      <c r="K40" s="31">
        <f>PDD!K40+得物!K40+'视频号+官网+小程序'!K40+唯品会!K40</f>
        <v>0</v>
      </c>
      <c r="L40" s="31">
        <f>PDD!L40+得物!L40+'视频号+官网+小程序'!L40+唯品会!L40</f>
        <v>0</v>
      </c>
      <c r="M40" s="31">
        <f>PDD!M40+得物!M40+'视频号+官网+小程序'!M40+唯品会!M40</f>
        <v>0</v>
      </c>
      <c r="N40" s="31">
        <f>PDD!N40+得物!N40+'视频号+官网+小程序'!N40+唯品会!N40</f>
        <v>0</v>
      </c>
      <c r="O40" s="5">
        <f>SUM(C40:N40)</f>
        <v>0</v>
      </c>
      <c r="P40" s="29">
        <f>O40/$O$16</f>
        <v>0</v>
      </c>
      <c r="Q40" s="6" t="s">
        <v>91</v>
      </c>
    </row>
    <row r="41" ht="16.8" outlineLevel="1" spans="1:17">
      <c r="A41" s="5"/>
      <c r="B41" s="4" t="s">
        <v>57</v>
      </c>
      <c r="C41" s="16">
        <f>PDD!C41+得物!C41+'视频号+官网+小程序'!C41+唯品会!C41</f>
        <v>0</v>
      </c>
      <c r="D41" s="16">
        <f>PDD!D41+得物!D41+'视频号+官网+小程序'!D41+唯品会!D41</f>
        <v>0</v>
      </c>
      <c r="E41" s="16">
        <f>PDD!E41+得物!E41+'视频号+官网+小程序'!E41+唯品会!E41</f>
        <v>0</v>
      </c>
      <c r="F41" s="16">
        <f>PDD!F41+得物!F41+'视频号+官网+小程序'!F41+唯品会!F41</f>
        <v>0</v>
      </c>
      <c r="G41" s="16">
        <f>PDD!G41+得物!G41+'视频号+官网+小程序'!G41+唯品会!G41</f>
        <v>0</v>
      </c>
      <c r="H41" s="16">
        <f>PDD!H41+得物!H41+'视频号+官网+小程序'!H41+唯品会!H41</f>
        <v>0</v>
      </c>
      <c r="I41" s="16">
        <f>PDD!I41+得物!I41+'视频号+官网+小程序'!I41+唯品会!I41</f>
        <v>0</v>
      </c>
      <c r="J41" s="16">
        <f>PDD!J41+得物!J41+'视频号+官网+小程序'!J41+唯品会!J41</f>
        <v>0</v>
      </c>
      <c r="K41" s="16">
        <f>PDD!K41+得物!K41+'视频号+官网+小程序'!K41+唯品会!K41</f>
        <v>0</v>
      </c>
      <c r="L41" s="16">
        <f>PDD!L41+得物!L41+'视频号+官网+小程序'!L41+唯品会!L41</f>
        <v>0</v>
      </c>
      <c r="M41" s="16">
        <f>PDD!M41+得物!M41+'视频号+官网+小程序'!M41+唯品会!M41</f>
        <v>0</v>
      </c>
      <c r="N41" s="16">
        <f>PDD!N41+得物!N41+'视频号+官网+小程序'!N41+唯品会!N41</f>
        <v>0</v>
      </c>
      <c r="O41" s="29">
        <f>O38/$O$16</f>
        <v>0.100455925598644</v>
      </c>
      <c r="Q41" s="6" t="s">
        <v>91</v>
      </c>
    </row>
    <row r="42" ht="16.8" outlineLevel="1" spans="1:17">
      <c r="A42" s="5"/>
      <c r="B42" s="4" t="s">
        <v>58</v>
      </c>
      <c r="C42" s="16">
        <f>PDD!C42+得物!C42+'视频号+官网+小程序'!C42+唯品会!C42</f>
        <v>0</v>
      </c>
      <c r="D42" s="16">
        <f>PDD!D42+得物!D42+'视频号+官网+小程序'!D42+唯品会!D42</f>
        <v>0</v>
      </c>
      <c r="E42" s="16">
        <f>PDD!E42+得物!E42+'视频号+官网+小程序'!E42+唯品会!E42</f>
        <v>0</v>
      </c>
      <c r="F42" s="16">
        <f>PDD!F42+得物!F42+'视频号+官网+小程序'!F42+唯品会!F42</f>
        <v>0</v>
      </c>
      <c r="G42" s="16">
        <f>PDD!G42+得物!G42+'视频号+官网+小程序'!G42+唯品会!G42</f>
        <v>0</v>
      </c>
      <c r="H42" s="16">
        <f>PDD!H42+得物!H42+'视频号+官网+小程序'!H42+唯品会!H42</f>
        <v>0</v>
      </c>
      <c r="I42" s="16">
        <f>PDD!I42+得物!I42+'视频号+官网+小程序'!I42+唯品会!I42</f>
        <v>0</v>
      </c>
      <c r="J42" s="16">
        <f>PDD!J42+得物!J42+'视频号+官网+小程序'!J42+唯品会!J42</f>
        <v>0</v>
      </c>
      <c r="K42" s="16">
        <f>PDD!K42+得物!K42+'视频号+官网+小程序'!K42+唯品会!K42</f>
        <v>0</v>
      </c>
      <c r="L42" s="16">
        <f>PDD!L42+得物!L42+'视频号+官网+小程序'!L42+唯品会!L42</f>
        <v>0</v>
      </c>
      <c r="M42" s="16">
        <f>PDD!M42+得物!M42+'视频号+官网+小程序'!M42+唯品会!M42</f>
        <v>0</v>
      </c>
      <c r="N42" s="16">
        <f>PDD!N42+得物!N42+'视频号+官网+小程序'!N42+唯品会!N42</f>
        <v>0</v>
      </c>
      <c r="O42" s="29">
        <f>O39/$O$16</f>
        <v>0</v>
      </c>
      <c r="Q42" s="6" t="s">
        <v>91</v>
      </c>
    </row>
    <row r="43" ht="16.8" outlineLevel="1" spans="1:17">
      <c r="A43" s="5"/>
      <c r="B43" s="4" t="s">
        <v>59</v>
      </c>
      <c r="C43" s="16">
        <f>PDD!C43+得物!C43+'视频号+官网+小程序'!C43+唯品会!C43</f>
        <v>0</v>
      </c>
      <c r="D43" s="16">
        <f>PDD!D43+得物!D43+'视频号+官网+小程序'!D43+唯品会!D43</f>
        <v>0</v>
      </c>
      <c r="E43" s="16">
        <f>PDD!E43+得物!E43+'视频号+官网+小程序'!E43+唯品会!E43</f>
        <v>0</v>
      </c>
      <c r="F43" s="16">
        <f>PDD!F43+得物!F43+'视频号+官网+小程序'!F43+唯品会!F43</f>
        <v>0</v>
      </c>
      <c r="G43" s="16">
        <f>PDD!G43+得物!G43+'视频号+官网+小程序'!G43+唯品会!G43</f>
        <v>0</v>
      </c>
      <c r="H43" s="16">
        <f>PDD!H43+得物!H43+'视频号+官网+小程序'!H43+唯品会!H43</f>
        <v>0</v>
      </c>
      <c r="I43" s="16">
        <f>PDD!I43+得物!I43+'视频号+官网+小程序'!I43+唯品会!I43</f>
        <v>0</v>
      </c>
      <c r="J43" s="16">
        <f>PDD!J43+得物!J43+'视频号+官网+小程序'!J43+唯品会!J43</f>
        <v>0</v>
      </c>
      <c r="K43" s="16">
        <f>PDD!K43+得物!K43+'视频号+官网+小程序'!K43+唯品会!K43</f>
        <v>0</v>
      </c>
      <c r="L43" s="16">
        <f>PDD!L43+得物!L43+'视频号+官网+小程序'!L43+唯品会!L43</f>
        <v>0</v>
      </c>
      <c r="M43" s="16">
        <f>PDD!M43+得物!M43+'视频号+官网+小程序'!M43+唯品会!M43</f>
        <v>0</v>
      </c>
      <c r="N43" s="16">
        <f>PDD!N43+得物!N43+'视频号+官网+小程序'!N43+唯品会!N43</f>
        <v>0</v>
      </c>
      <c r="O43" s="29">
        <f>O40/$O$16</f>
        <v>0</v>
      </c>
      <c r="Q43" s="6" t="s">
        <v>91</v>
      </c>
    </row>
    <row r="44" ht="16.8" spans="1:17">
      <c r="B44" s="17" t="s">
        <v>60</v>
      </c>
      <c r="C44" s="18">
        <f>PDD!C44+得物!C44+'视频号+官网+小程序'!C44+唯品会!C44</f>
        <v>5115.04424778762</v>
      </c>
      <c r="D44" s="18">
        <f>PDD!D44+得物!D44+'视频号+官网+小程序'!D44+唯品会!D44</f>
        <v>6876.72566371681</v>
      </c>
      <c r="E44" s="18">
        <f>PDD!E44+得物!E44+'视频号+官网+小程序'!E44+唯品会!E44</f>
        <v>8462.38938053097</v>
      </c>
      <c r="F44" s="18">
        <f>PDD!F44+得物!F44+'视频号+官网+小程序'!F44+唯品会!F44</f>
        <v>6890.26548672566</v>
      </c>
      <c r="G44" s="18">
        <f>PDD!G44+得物!G44+'视频号+官网+小程序'!G44+唯品会!G44</f>
        <v>11606.6371681416</v>
      </c>
      <c r="H44" s="18">
        <f>PDD!H44+得物!H44+'视频号+官网+小程序'!H44+唯品会!H44</f>
        <v>12373.8938053097</v>
      </c>
      <c r="I44" s="18">
        <f>PDD!I44+得物!I44+'视频号+官网+小程序'!I44+唯品会!I44</f>
        <v>17488.9380530973</v>
      </c>
      <c r="J44" s="18">
        <f>PDD!J44+得物!J44+'视频号+官网+小程序'!J44+唯品会!J44</f>
        <v>20646.7256637168</v>
      </c>
      <c r="K44" s="18">
        <f>PDD!K44+得物!K44+'视频号+官网+小程序'!K44+唯品会!K44</f>
        <v>18090.7079646018</v>
      </c>
      <c r="L44" s="18">
        <f>PDD!L44+得物!L44+'视频号+官网+小程序'!L44+唯品会!L44</f>
        <v>22069.9115044248</v>
      </c>
      <c r="M44" s="18">
        <f>PDD!M44+得物!M44+'视频号+官网+小程序'!M44+唯品会!M44</f>
        <v>22069.9115044248</v>
      </c>
      <c r="N44" s="18">
        <f>PDD!N44+得物!N44+'视频号+官网+小程序'!N44+唯品会!N44</f>
        <v>19061.0619469027</v>
      </c>
      <c r="O44" s="18">
        <f t="shared" ref="O44:O54" si="4">SUM(C44:N44)</f>
        <v>170752.21238938</v>
      </c>
      <c r="P44" s="23">
        <f>O44/$O$16</f>
        <v>0.00502757090517804</v>
      </c>
      <c r="Q44" s="6"/>
    </row>
    <row r="45" ht="16.8" spans="1:17">
      <c r="A45" s="5"/>
      <c r="B45" s="4" t="s">
        <v>61</v>
      </c>
      <c r="C45" s="30">
        <f>PDD!C45+得物!C45+'视频号+官网+小程序'!C45+唯品会!C45</f>
        <v>0</v>
      </c>
      <c r="D45" s="30">
        <f>PDD!D45+得物!D45+'视频号+官网+小程序'!D45+唯品会!D45</f>
        <v>0</v>
      </c>
      <c r="E45" s="30">
        <f>PDD!E45+得物!E45+'视频号+官网+小程序'!E45+唯品会!E45</f>
        <v>0</v>
      </c>
      <c r="F45" s="30">
        <f>PDD!F45+得物!F45+'视频号+官网+小程序'!F45+唯品会!F45</f>
        <v>0</v>
      </c>
      <c r="G45" s="30">
        <f>PDD!G45+得物!G45+'视频号+官网+小程序'!G45+唯品会!G45</f>
        <v>0</v>
      </c>
      <c r="H45" s="30">
        <f>PDD!H45+得物!H45+'视频号+官网+小程序'!H45+唯品会!H45</f>
        <v>0</v>
      </c>
      <c r="I45" s="30">
        <f>PDD!I45+得物!I45+'视频号+官网+小程序'!I45+唯品会!I45</f>
        <v>0</v>
      </c>
      <c r="J45" s="30">
        <f>PDD!J45+得物!J45+'视频号+官网+小程序'!J45+唯品会!J45</f>
        <v>0</v>
      </c>
      <c r="K45" s="30">
        <f>PDD!K45+得物!K45+'视频号+官网+小程序'!K45+唯品会!K45</f>
        <v>0</v>
      </c>
      <c r="L45" s="30">
        <f>PDD!L45+得物!L45+'视频号+官网+小程序'!L45+唯品会!L45</f>
        <v>0</v>
      </c>
      <c r="M45" s="30">
        <f>PDD!M45+得物!M45+'视频号+官网+小程序'!M45+唯品会!M45</f>
        <v>0</v>
      </c>
      <c r="N45" s="30">
        <f>PDD!N45+得物!N45+'视频号+官网+小程序'!N45+唯品会!N45</f>
        <v>0</v>
      </c>
      <c r="O45" s="5">
        <f t="shared" si="4"/>
        <v>0</v>
      </c>
      <c r="P45" s="29"/>
      <c r="Q45" s="6" t="s">
        <v>92</v>
      </c>
    </row>
    <row r="46" ht="16.8" spans="1:17">
      <c r="A46" s="5"/>
      <c r="B46" s="4" t="s">
        <v>63</v>
      </c>
      <c r="C46" s="30">
        <f>PDD!C46+得物!C46+'视频号+官网+小程序'!C46+唯品会!C46</f>
        <v>5115.04424778762</v>
      </c>
      <c r="D46" s="30">
        <f>PDD!D46+得物!D46+'视频号+官网+小程序'!D46+唯品会!D46</f>
        <v>6876.72566371681</v>
      </c>
      <c r="E46" s="30">
        <f>PDD!E46+得物!E46+'视频号+官网+小程序'!E46+唯品会!E46</f>
        <v>8462.38938053097</v>
      </c>
      <c r="F46" s="30">
        <f>PDD!F46+得物!F46+'视频号+官网+小程序'!F46+唯品会!F46</f>
        <v>6890.26548672566</v>
      </c>
      <c r="G46" s="30">
        <f>PDD!G46+得物!G46+'视频号+官网+小程序'!G46+唯品会!G46</f>
        <v>11606.6371681416</v>
      </c>
      <c r="H46" s="30">
        <f>PDD!H46+得物!H46+'视频号+官网+小程序'!H46+唯品会!H46</f>
        <v>12373.8938053097</v>
      </c>
      <c r="I46" s="30">
        <f>PDD!I46+得物!I46+'视频号+官网+小程序'!I46+唯品会!I46</f>
        <v>17488.9380530973</v>
      </c>
      <c r="J46" s="30">
        <f>PDD!J46+得物!J46+'视频号+官网+小程序'!J46+唯品会!J46</f>
        <v>20646.7256637168</v>
      </c>
      <c r="K46" s="30">
        <f>PDD!K46+得物!K46+'视频号+官网+小程序'!K46+唯品会!K46</f>
        <v>18090.7079646018</v>
      </c>
      <c r="L46" s="30">
        <f>PDD!L46+得物!L46+'视频号+官网+小程序'!L46+唯品会!L46</f>
        <v>22069.9115044248</v>
      </c>
      <c r="M46" s="30">
        <f>PDD!M46+得物!M46+'视频号+官网+小程序'!M46+唯品会!M46</f>
        <v>22069.9115044248</v>
      </c>
      <c r="N46" s="30">
        <f>PDD!N46+得物!N46+'视频号+官网+小程序'!N46+唯品会!N46</f>
        <v>19061.0619469027</v>
      </c>
      <c r="O46" s="5">
        <f t="shared" si="4"/>
        <v>170752.21238938</v>
      </c>
      <c r="P46" s="23"/>
      <c r="Q46" s="4" t="s">
        <v>83</v>
      </c>
    </row>
    <row r="47" ht="16.8" spans="1:17">
      <c r="B47" s="17" t="s">
        <v>65</v>
      </c>
      <c r="C47" s="18">
        <f>PDD!C47+得物!C47+'视频号+官网+小程序'!C47+唯品会!C47</f>
        <v>0</v>
      </c>
      <c r="D47" s="18">
        <f>PDD!D47+得物!D47+'视频号+官网+小程序'!D47+唯品会!D47</f>
        <v>0</v>
      </c>
      <c r="E47" s="18">
        <f>PDD!E47+得物!E47+'视频号+官网+小程序'!E47+唯品会!E47</f>
        <v>0</v>
      </c>
      <c r="F47" s="18">
        <f>PDD!F47+得物!F47+'视频号+官网+小程序'!F47+唯品会!F47</f>
        <v>0</v>
      </c>
      <c r="G47" s="18">
        <f>PDD!G47+得物!G47+'视频号+官网+小程序'!G47+唯品会!G47</f>
        <v>0</v>
      </c>
      <c r="H47" s="18">
        <f>PDD!H47+得物!H47+'视频号+官网+小程序'!H47+唯品会!H47</f>
        <v>0</v>
      </c>
      <c r="I47" s="18">
        <f>PDD!I47+得物!I47+'视频号+官网+小程序'!I47+唯品会!I47</f>
        <v>0</v>
      </c>
      <c r="J47" s="18">
        <f>PDD!J47+得物!J47+'视频号+官网+小程序'!J47+唯品会!J47</f>
        <v>0</v>
      </c>
      <c r="K47" s="18">
        <f>PDD!K47+得物!K47+'视频号+官网+小程序'!K47+唯品会!K47</f>
        <v>0</v>
      </c>
      <c r="L47" s="18">
        <f>PDD!L47+得物!L47+'视频号+官网+小程序'!L47+唯品会!L47</f>
        <v>0</v>
      </c>
      <c r="M47" s="18">
        <f>PDD!M47+得物!M47+'视频号+官网+小程序'!M47+唯品会!M47</f>
        <v>0</v>
      </c>
      <c r="N47" s="18">
        <f>PDD!N47+得物!N47+'视频号+官网+小程序'!N47+唯品会!N47</f>
        <v>0</v>
      </c>
      <c r="O47" s="18">
        <f t="shared" si="4"/>
        <v>0</v>
      </c>
      <c r="P47" s="23">
        <f t="shared" ref="P47:P53" si="5">O47/$O$16</f>
        <v>0</v>
      </c>
      <c r="Q47" s="6"/>
    </row>
    <row r="48" ht="16.8" spans="1:17">
      <c r="A48" s="5"/>
      <c r="B48" s="4" t="s">
        <v>66</v>
      </c>
      <c r="C48" s="30">
        <f>PDD!C48+得物!C48+'视频号+官网+小程序'!C48+唯品会!C48</f>
        <v>0</v>
      </c>
      <c r="D48" s="30">
        <f>PDD!D48+得物!D48+'视频号+官网+小程序'!D48+唯品会!D48</f>
        <v>0</v>
      </c>
      <c r="E48" s="30">
        <f>PDD!E48+得物!E48+'视频号+官网+小程序'!E48+唯品会!E48</f>
        <v>0</v>
      </c>
      <c r="F48" s="30">
        <f>PDD!F48+得物!F48+'视频号+官网+小程序'!F48+唯品会!F48</f>
        <v>0</v>
      </c>
      <c r="G48" s="30">
        <f>PDD!G48+得物!G48+'视频号+官网+小程序'!G48+唯品会!G48</f>
        <v>0</v>
      </c>
      <c r="H48" s="30">
        <f>PDD!H48+得物!H48+'视频号+官网+小程序'!H48+唯品会!H48</f>
        <v>0</v>
      </c>
      <c r="I48" s="30">
        <f>PDD!I48+得物!I48+'视频号+官网+小程序'!I48+唯品会!I48</f>
        <v>0</v>
      </c>
      <c r="J48" s="30">
        <f>PDD!J48+得物!J48+'视频号+官网+小程序'!J48+唯品会!J48</f>
        <v>0</v>
      </c>
      <c r="K48" s="30">
        <f>PDD!K48+得物!K48+'视频号+官网+小程序'!K48+唯品会!K48</f>
        <v>0</v>
      </c>
      <c r="L48" s="30">
        <f>PDD!L48+得物!L48+'视频号+官网+小程序'!L48+唯品会!L48</f>
        <v>0</v>
      </c>
      <c r="M48" s="30">
        <f>PDD!M48+得物!M48+'视频号+官网+小程序'!M48+唯品会!M48</f>
        <v>0</v>
      </c>
      <c r="N48" s="30">
        <f>PDD!N48+得物!N48+'视频号+官网+小程序'!N48+唯品会!N48</f>
        <v>0</v>
      </c>
      <c r="O48" s="5">
        <f t="shared" si="4"/>
        <v>0</v>
      </c>
      <c r="P48" s="29">
        <f t="shared" si="5"/>
        <v>0</v>
      </c>
      <c r="Q48" s="4" t="s">
        <v>95</v>
      </c>
    </row>
    <row r="49" ht="16.8" spans="1:18">
      <c r="A49" s="5"/>
      <c r="B49" s="4" t="s">
        <v>67</v>
      </c>
      <c r="C49" s="30">
        <f>PDD!C49+得物!C49+'视频号+官网+小程序'!C49+唯品会!C49</f>
        <v>0</v>
      </c>
      <c r="D49" s="30">
        <f>PDD!D49+得物!D49+'视频号+官网+小程序'!D49+唯品会!D49</f>
        <v>0</v>
      </c>
      <c r="E49" s="30">
        <f>PDD!E49+得物!E49+'视频号+官网+小程序'!E49+唯品会!E49</f>
        <v>0</v>
      </c>
      <c r="F49" s="30">
        <f>PDD!F49+得物!F49+'视频号+官网+小程序'!F49+唯品会!F49</f>
        <v>0</v>
      </c>
      <c r="G49" s="30">
        <f>PDD!G49+得物!G49+'视频号+官网+小程序'!G49+唯品会!G49</f>
        <v>0</v>
      </c>
      <c r="H49" s="30">
        <f>PDD!H49+得物!H49+'视频号+官网+小程序'!H49+唯品会!H49</f>
        <v>0</v>
      </c>
      <c r="I49" s="30">
        <f>PDD!I49+得物!I49+'视频号+官网+小程序'!I49+唯品会!I49</f>
        <v>0</v>
      </c>
      <c r="J49" s="30">
        <f>PDD!J49+得物!J49+'视频号+官网+小程序'!J49+唯品会!J49</f>
        <v>0</v>
      </c>
      <c r="K49" s="30">
        <f>PDD!K49+得物!K49+'视频号+官网+小程序'!K49+唯品会!K49</f>
        <v>0</v>
      </c>
      <c r="L49" s="30">
        <f>PDD!L49+得物!L49+'视频号+官网+小程序'!L49+唯品会!L49</f>
        <v>0</v>
      </c>
      <c r="M49" s="30">
        <f>PDD!M49+得物!M49+'视频号+官网+小程序'!M49+唯品会!M49</f>
        <v>0</v>
      </c>
      <c r="N49" s="30">
        <f>PDD!N49+得物!N49+'视频号+官网+小程序'!N49+唯品会!N49</f>
        <v>0</v>
      </c>
      <c r="O49" s="5">
        <f t="shared" si="4"/>
        <v>0</v>
      </c>
      <c r="P49" s="29">
        <f t="shared" si="5"/>
        <v>0</v>
      </c>
      <c r="Q49" s="4" t="s">
        <v>95</v>
      </c>
    </row>
    <row r="50" ht="16.8" spans="1:18">
      <c r="A50" s="5"/>
      <c r="B50" s="4" t="s">
        <v>68</v>
      </c>
      <c r="C50" s="30">
        <f>PDD!C50+得物!C50+'视频号+官网+小程序'!C50+唯品会!C50</f>
        <v>0</v>
      </c>
      <c r="D50" s="30">
        <f>PDD!D50+得物!D50+'视频号+官网+小程序'!D50+唯品会!D50</f>
        <v>0</v>
      </c>
      <c r="E50" s="30">
        <f>PDD!E50+得物!E50+'视频号+官网+小程序'!E50+唯品会!E50</f>
        <v>0</v>
      </c>
      <c r="F50" s="30">
        <f>PDD!F50+得物!F50+'视频号+官网+小程序'!F50+唯品会!F50</f>
        <v>0</v>
      </c>
      <c r="G50" s="30">
        <f>PDD!G50+得物!G50+'视频号+官网+小程序'!G50+唯品会!G50</f>
        <v>0</v>
      </c>
      <c r="H50" s="30">
        <f>PDD!H50+得物!H50+'视频号+官网+小程序'!H50+唯品会!H50</f>
        <v>0</v>
      </c>
      <c r="I50" s="30">
        <f>PDD!I50+得物!I50+'视频号+官网+小程序'!I50+唯品会!I50</f>
        <v>0</v>
      </c>
      <c r="J50" s="30">
        <f>PDD!J50+得物!J50+'视频号+官网+小程序'!J50+唯品会!J50</f>
        <v>0</v>
      </c>
      <c r="K50" s="30">
        <f>PDD!K50+得物!K50+'视频号+官网+小程序'!K50+唯品会!K50</f>
        <v>0</v>
      </c>
      <c r="L50" s="30">
        <f>PDD!L50+得物!L50+'视频号+官网+小程序'!L50+唯品会!L50</f>
        <v>0</v>
      </c>
      <c r="M50" s="30">
        <f>PDD!M50+得物!M50+'视频号+官网+小程序'!M50+唯品会!M50</f>
        <v>0</v>
      </c>
      <c r="N50" s="30">
        <f>PDD!N50+得物!N50+'视频号+官网+小程序'!N50+唯品会!N50</f>
        <v>0</v>
      </c>
      <c r="O50" s="5">
        <f t="shared" si="4"/>
        <v>0</v>
      </c>
      <c r="P50" s="29">
        <f t="shared" si="5"/>
        <v>0</v>
      </c>
      <c r="Q50" s="4" t="s">
        <v>95</v>
      </c>
    </row>
    <row r="51" ht="16.8" spans="1:18">
      <c r="B51" s="4" t="s">
        <v>69</v>
      </c>
      <c r="C51" s="30">
        <f>PDD!C51+得物!C51+'视频号+官网+小程序'!C51+唯品会!C51</f>
        <v>0</v>
      </c>
      <c r="D51" s="30">
        <f>PDD!D51+得物!D51+'视频号+官网+小程序'!D51+唯品会!D51</f>
        <v>0</v>
      </c>
      <c r="E51" s="30">
        <f>PDD!E51+得物!E51+'视频号+官网+小程序'!E51+唯品会!E51</f>
        <v>0</v>
      </c>
      <c r="F51" s="30">
        <f>PDD!F51+得物!F51+'视频号+官网+小程序'!F51+唯品会!F51</f>
        <v>0</v>
      </c>
      <c r="G51" s="30">
        <f>PDD!G51+得物!G51+'视频号+官网+小程序'!G51+唯品会!G51</f>
        <v>0</v>
      </c>
      <c r="H51" s="30">
        <f>PDD!H51+得物!H51+'视频号+官网+小程序'!H51+唯品会!H51</f>
        <v>0</v>
      </c>
      <c r="I51" s="30">
        <f>PDD!I51+得物!I51+'视频号+官网+小程序'!I51+唯品会!I51</f>
        <v>0</v>
      </c>
      <c r="J51" s="30">
        <f>PDD!J51+得物!J51+'视频号+官网+小程序'!J51+唯品会!J51</f>
        <v>0</v>
      </c>
      <c r="K51" s="30">
        <f>PDD!K51+得物!K51+'视频号+官网+小程序'!K51+唯品会!K51</f>
        <v>0</v>
      </c>
      <c r="L51" s="30">
        <f>PDD!L51+得物!L51+'视频号+官网+小程序'!L51+唯品会!L51</f>
        <v>0</v>
      </c>
      <c r="M51" s="30">
        <f>PDD!M51+得物!M51+'视频号+官网+小程序'!M51+唯品会!M51</f>
        <v>0</v>
      </c>
      <c r="N51" s="30">
        <f>PDD!N51+得物!N51+'视频号+官网+小程序'!N51+唯品会!N51</f>
        <v>0</v>
      </c>
      <c r="O51" s="5">
        <f t="shared" si="4"/>
        <v>0</v>
      </c>
      <c r="P51" s="29">
        <f t="shared" si="5"/>
        <v>0</v>
      </c>
      <c r="Q51" s="4" t="s">
        <v>95</v>
      </c>
    </row>
    <row r="52" ht="16.8" spans="1:18">
      <c r="B52" s="21" t="s">
        <v>70</v>
      </c>
      <c r="C52" s="22">
        <f>PDD!C52+得物!C52+'视频号+官网+小程序'!C52+唯品会!C52</f>
        <v>166901.165049524</v>
      </c>
      <c r="D52" s="22">
        <f>PDD!D52+得物!D52+'视频号+官网+小程序'!D52+唯品会!D52</f>
        <v>259503.171678933</v>
      </c>
      <c r="E52" s="22">
        <f>PDD!E52+得物!E52+'视频号+官网+小程序'!E52+唯品会!E52</f>
        <v>387506.180333617</v>
      </c>
      <c r="F52" s="22">
        <f>PDD!F52+得物!F52+'视频号+官网+小程序'!F52+唯品会!F52</f>
        <v>264066.674735522</v>
      </c>
      <c r="G52" s="22">
        <f>PDD!G52+得物!G52+'视频号+官网+小程序'!G52+唯品会!G52</f>
        <v>772715.076530955</v>
      </c>
      <c r="H52" s="22">
        <f>PDD!H52+得物!H52+'视频号+官网+小程序'!H52+唯品会!H52</f>
        <v>633686.869880288</v>
      </c>
      <c r="I52" s="22">
        <f>PDD!I52+得物!I52+'视频号+官网+小程序'!I52+唯品会!I52</f>
        <v>383041.912993794</v>
      </c>
      <c r="J52" s="22">
        <f>PDD!J52+得物!J52+'视频号+官网+小程序'!J52+唯品会!J52</f>
        <v>469136.418833925</v>
      </c>
      <c r="K52" s="22">
        <f>PDD!K52+得物!K52+'视频号+官网+小程序'!K52+唯品会!K52</f>
        <v>412669.879904767</v>
      </c>
      <c r="L52" s="22">
        <f>PDD!L52+得物!L52+'视频号+官网+小程序'!L52+唯品会!L52</f>
        <v>702837.957608222</v>
      </c>
      <c r="M52" s="22">
        <f>PDD!M52+得物!M52+'视频号+官网+小程序'!M52+唯品会!M52</f>
        <v>588287.062647745</v>
      </c>
      <c r="N52" s="22">
        <f>PDD!N52+得物!N52+'视频号+官网+小程序'!N52+唯品会!N52</f>
        <v>477185.781336494</v>
      </c>
      <c r="O52" s="22">
        <f t="shared" si="4"/>
        <v>5517538.15153379</v>
      </c>
      <c r="P52" s="24">
        <f t="shared" si="5"/>
        <v>0.162456543846142</v>
      </c>
      <c r="Q52" s="6"/>
    </row>
    <row r="53" ht="16.8" spans="1:18">
      <c r="A53" s="5"/>
      <c r="B53" s="4" t="s">
        <v>71</v>
      </c>
      <c r="C53" s="30">
        <f>PDD!C53+得物!C53+'视频号+官网+小程序'!C53+唯品会!C53</f>
        <v>67006.8380530974</v>
      </c>
      <c r="D53" s="30">
        <f>PDD!D53+得物!D53+'视频号+官网+小程序'!D53+唯品会!D53</f>
        <v>64061.9017982389</v>
      </c>
      <c r="E53" s="30">
        <f>PDD!E53+得物!E53+'视频号+官网+小程序'!E53+唯品会!E53</f>
        <v>71555.4363115132</v>
      </c>
      <c r="F53" s="30">
        <f>PDD!F53+得物!F53+'视频号+官网+小程序'!F53+唯品会!F53</f>
        <v>62511.7460460265</v>
      </c>
      <c r="G53" s="30">
        <f>PDD!G53+得物!G53+'视频号+官网+小程序'!G53+唯品会!G53</f>
        <v>96250.4814442566</v>
      </c>
      <c r="H53" s="30">
        <f>PDD!H53+得物!H53+'视频号+官网+小程序'!H53+唯品会!H53</f>
        <v>124250.636311513</v>
      </c>
      <c r="I53" s="30">
        <f>PDD!I53+得物!I53+'视频号+官网+小程序'!I53+唯品会!I53</f>
        <v>94690.5956035486</v>
      </c>
      <c r="J53" s="30">
        <f>PDD!J53+得物!J53+'视频号+官网+小程序'!J53+唯品会!J53</f>
        <v>111665.118612398</v>
      </c>
      <c r="K53" s="30">
        <f>PDD!K53+得物!K53+'视频号+官网+小程序'!K53+唯品会!K53</f>
        <v>96799.9053380619</v>
      </c>
      <c r="L53" s="30">
        <f>PDD!L53+得物!L53+'视频号+官网+小程序'!L53+唯品会!L53</f>
        <v>130483.835426558</v>
      </c>
      <c r="M53" s="30">
        <f>PDD!M53+得物!M53+'视频号+官网+小程序'!M53+唯品会!M53</f>
        <v>152915.105338062</v>
      </c>
      <c r="N53" s="30">
        <f>PDD!N53+得物!N53+'视频号+官网+小程序'!N53+唯品会!N53</f>
        <v>121776.22038231</v>
      </c>
      <c r="O53" s="5">
        <f t="shared" si="4"/>
        <v>1193967.82066558</v>
      </c>
      <c r="P53" s="29">
        <f t="shared" si="5"/>
        <v>0.0351547882917531</v>
      </c>
      <c r="Q53" s="6"/>
    </row>
    <row r="54" ht="16.8" spans="1:18">
      <c r="A54" s="5"/>
      <c r="B54" s="4" t="s">
        <v>73</v>
      </c>
      <c r="C54" s="30">
        <f>PDD!C54+得物!C54+'视频号+官网+小程序'!C54+唯品会!C54</f>
        <v>25362.140300885</v>
      </c>
      <c r="D54" s="30">
        <f>PDD!D54+得物!D54+'视频号+官网+小程序'!D54+唯品会!D54</f>
        <v>22284.3967061288</v>
      </c>
      <c r="E54" s="30">
        <f>PDD!E54+得物!E54+'视频号+官网+小程序'!E54+唯品会!E54</f>
        <v>27570.3283255978</v>
      </c>
      <c r="F54" s="30">
        <f>PDD!F54+得物!F54+'视频号+官网+小程序'!F54+唯品会!F54</f>
        <v>23785.8279716155</v>
      </c>
      <c r="G54" s="30">
        <f>PDD!G54+得物!G54+'视频号+官网+小程序'!G54+唯品会!G54</f>
        <v>38244.5825468368</v>
      </c>
      <c r="H54" s="30">
        <f>PDD!H54+得物!H54+'视频号+官网+小程序'!H54+唯品会!H54</f>
        <v>53651.7064406421</v>
      </c>
      <c r="I54" s="30">
        <f>PDD!I54+得物!I54+'视频号+官网+小程序'!I54+唯品会!I54</f>
        <v>37329.8987680757</v>
      </c>
      <c r="J54" s="30">
        <f>PDD!J54+得物!J54+'视频号+官网+小程序'!J54+唯品会!J54</f>
        <v>39504.8236087837</v>
      </c>
      <c r="K54" s="30">
        <f>PDD!K54+得物!K54+'视频号+官网+小程序'!K54+唯品会!K54</f>
        <v>37663.3371751554</v>
      </c>
      <c r="L54" s="30">
        <f>PDD!L54+得物!L54+'视频号+官网+小程序'!L54+唯品会!L54</f>
        <v>51855.2646707306</v>
      </c>
      <c r="M54" s="30">
        <f>PDD!M54+得物!M54+'视频号+官网+小程序'!M54+唯品会!M54</f>
        <v>65606.8391840049</v>
      </c>
      <c r="N54" s="30">
        <f>PDD!N54+得物!N54+'视频号+官网+小程序'!N54+唯品会!N54</f>
        <v>47647.6853786952</v>
      </c>
      <c r="O54" s="5">
        <f t="shared" si="4"/>
        <v>470506.831077152</v>
      </c>
      <c r="P54" s="29">
        <v>0.014</v>
      </c>
      <c r="Q54" s="6"/>
    </row>
    <row r="55" ht="16.8" spans="1:18">
      <c r="A55" s="5"/>
      <c r="B55" s="4" t="s">
        <v>75</v>
      </c>
      <c r="C55" s="30">
        <f>PDD!C55+得物!C55+'视频号+官网+小程序'!C55+唯品会!C55</f>
        <v>179982.896996116</v>
      </c>
      <c r="D55" s="30">
        <f>PDD!D55+得物!D55+'视频号+官网+小程序'!D55+唯品会!D55</f>
        <v>117692.846645361</v>
      </c>
      <c r="E55" s="30">
        <f>PDD!E55+得物!E55+'视频号+官网+小程序'!E55+唯品会!E55</f>
        <v>91799.5038772398</v>
      </c>
      <c r="F55" s="30">
        <f>PDD!F55+得物!F55+'视频号+官网+小程序'!F55+唯品会!F55</f>
        <v>141274.226010406</v>
      </c>
      <c r="G55" s="30">
        <f>PDD!G55+得物!G55+'视频号+官网+小程序'!G55+唯品会!G55</f>
        <v>121325.907656726</v>
      </c>
      <c r="H55" s="30">
        <f>PDD!H55+得物!H55+'视频号+官网+小程序'!H55+唯品会!H55</f>
        <v>84997.171440399</v>
      </c>
      <c r="I55" s="30">
        <f>PDD!I55+得物!I55+'视频号+官网+小程序'!I55+唯品会!I55</f>
        <v>118424.60354754</v>
      </c>
      <c r="J55" s="30">
        <f>PDD!J55+得物!J55+'视频号+官网+小程序'!J55+唯品会!J55</f>
        <v>91619.524557684</v>
      </c>
      <c r="K55" s="30">
        <f>PDD!K55+得物!K55+'视频号+官网+小程序'!K55+唯品会!K55</f>
        <v>126245.910238922</v>
      </c>
      <c r="L55" s="30">
        <f>PDD!L55+得物!L55+'视频号+官网+小程序'!L55+唯品会!L55</f>
        <v>99649.2597369757</v>
      </c>
      <c r="M55" s="30">
        <f>PDD!M55+得物!M55+'视频号+官网+小程序'!M55+唯品会!M55</f>
        <v>87281.1115608765</v>
      </c>
      <c r="N55" s="30">
        <f>PDD!N55+得物!N55+'视频号+官网+小程序'!N55+唯品会!N55</f>
        <v>85158.1562553353</v>
      </c>
      <c r="O55" s="5"/>
      <c r="P55" s="29">
        <v>0.03</v>
      </c>
      <c r="Q55" s="6"/>
    </row>
    <row r="56" ht="16.8" spans="1:18">
      <c r="A56" s="5"/>
      <c r="B56" s="4" t="s">
        <v>77</v>
      </c>
      <c r="C56" s="30">
        <f>PDD!C56+得物!C56+'视频号+官网+小程序'!C56+唯品会!C56</f>
        <v>264.996938053098</v>
      </c>
      <c r="D56" s="30">
        <f>PDD!D56+得物!D56+'视频号+官网+小程序'!D56+唯品会!D56</f>
        <v>328.271628318584</v>
      </c>
      <c r="E56" s="30">
        <f>PDD!E56+得物!E56+'视频号+官网+小程序'!E56+唯品会!E56</f>
        <v>361.628911504425</v>
      </c>
      <c r="F56" s="30">
        <f>PDD!F56+得物!F56+'视频号+官网+小程序'!F56+唯品会!F56</f>
        <v>307.832097345133</v>
      </c>
      <c r="G56" s="30">
        <f>PDD!G56+得物!G56+'视频号+官网+小程序'!G56+唯品会!G56</f>
        <v>474.501716814159</v>
      </c>
      <c r="H56" s="30">
        <f>PDD!H56+得物!H56+'视频号+官网+小程序'!H56+唯品会!H56</f>
        <v>494.811451327434</v>
      </c>
      <c r="I56" s="30">
        <f>PDD!I56+得物!I56+'视频号+官网+小程序'!I56+唯品会!I56</f>
        <v>627.146256637168</v>
      </c>
      <c r="J56" s="30">
        <f>PDD!J56+得物!J56+'视频号+官网+小程序'!J56+唯品会!J56</f>
        <v>777.649858407079</v>
      </c>
      <c r="K56" s="30">
        <f>PDD!K56+得物!K56+'视频号+官网+小程序'!K56+唯品会!K56</f>
        <v>650.478469026549</v>
      </c>
      <c r="L56" s="30">
        <f>PDD!L56+得物!L56+'视频号+官网+小程序'!L56+唯品会!L56</f>
        <v>797.604194690266</v>
      </c>
      <c r="M56" s="30">
        <f>PDD!M56+得物!M56+'视频号+官网+小程序'!M56+唯品会!M56</f>
        <v>787.04596460177</v>
      </c>
      <c r="N56" s="30">
        <f>PDD!N56+得物!N56+'视频号+官网+小程序'!N56+唯品会!N56</f>
        <v>712.61782300885</v>
      </c>
      <c r="O56" s="5">
        <f>SUM(C56:N56)</f>
        <v>6584.58530973451</v>
      </c>
      <c r="P56" s="29"/>
      <c r="Q56" s="6"/>
    </row>
    <row r="57" ht="16.8" spans="1:18">
      <c r="A57" s="5"/>
      <c r="B57" s="4" t="s">
        <v>79</v>
      </c>
      <c r="C57" s="30">
        <f>PDD!C57+得物!C57+'视频号+官网+小程序'!C57+唯品会!C57</f>
        <v>21295.5684139437</v>
      </c>
      <c r="D57" s="30">
        <f>PDD!N57+得物!D57+'视频号+官网+小程序'!D57+唯品会!D57</f>
        <v>20259.8167124072</v>
      </c>
      <c r="E57" s="30">
        <f>PDD!E57+得物!E57+'视频号+官网+小程序'!E57+唯品会!E57</f>
        <v>0</v>
      </c>
      <c r="F57" s="30">
        <f>PDD!F57+得物!F57+'视频号+官网+小程序'!F57+唯品会!F57</f>
        <v>0</v>
      </c>
      <c r="G57" s="30">
        <f>PDD!G57+得物!G57+'视频号+官网+小程序'!G57+唯品会!G57</f>
        <v>8518.22736557748</v>
      </c>
      <c r="H57" s="30">
        <f>PDD!H57+得物!H57+'视频号+官网+小程序'!H57+唯品会!H57</f>
        <v>0</v>
      </c>
      <c r="I57" s="30">
        <f>PDD!I57+得物!I57+'视频号+官网+小程序'!I57+唯品会!I57</f>
        <v>0</v>
      </c>
      <c r="J57" s="30">
        <f>PDD!J57+得物!J57+'视频号+官网+小程序'!J57+唯品会!J57</f>
        <v>0</v>
      </c>
      <c r="K57" s="30">
        <f>PDD!K57+得物!K57+'视频号+官网+小程序'!K57+唯品会!K57</f>
        <v>0</v>
      </c>
      <c r="L57" s="30">
        <f>PDD!L57+得物!L57+'视频号+官网+小程序'!L57+唯品会!L57</f>
        <v>8518.22736557748</v>
      </c>
      <c r="M57" s="30">
        <f>PDD!M57+得物!M57+'视频号+官网+小程序'!M57+唯品会!M57</f>
        <v>0</v>
      </c>
      <c r="N57" s="30">
        <f>PDD!N57+得物!N57+'视频号+官网+小程序'!N57+唯品会!N57</f>
        <v>25554.6820967325</v>
      </c>
      <c r="O57" s="5">
        <f>SUM(C57:N57)</f>
        <v>84146.5219542384</v>
      </c>
      <c r="P57" s="29">
        <f>O57/$O$16</f>
        <v>0.00247758198637176</v>
      </c>
      <c r="Q57" s="4"/>
    </row>
    <row r="58" ht="16.8" spans="1:18">
      <c r="B58" s="21" t="s">
        <v>80</v>
      </c>
      <c r="C58" s="22">
        <f>PDD!C58+得物!C58+'视频号+官网+小程序'!C58+唯品会!C58</f>
        <v>293912.440702096</v>
      </c>
      <c r="D58" s="22">
        <f>PDD!D58+得物!D58+'视频号+官网+小程序'!D58+唯品会!D58</f>
        <v>204367.416778048</v>
      </c>
      <c r="E58" s="22">
        <f>PDD!E58+得物!E58+'视频号+官网+小程序'!E58+唯品会!E58</f>
        <v>191286.897425855</v>
      </c>
      <c r="F58" s="22">
        <f>PDD!F58+得物!F58+'视频号+官网+小程序'!F58+唯品会!F58</f>
        <v>227879.632125393</v>
      </c>
      <c r="G58" s="22">
        <f>PDD!G58+得物!G58+'视频号+官网+小程序'!G58+唯品会!G58</f>
        <v>264813.700730211</v>
      </c>
      <c r="H58" s="22">
        <f>PDD!H58+得物!H58+'视频号+官网+小程序'!H58+唯品会!H58</f>
        <v>263394.325643882</v>
      </c>
      <c r="I58" s="22">
        <f>PDD!I58+得物!I58+'视频号+官网+小程序'!I58+唯品会!I58</f>
        <v>251072.244175802</v>
      </c>
      <c r="J58" s="22">
        <f>PDD!J58+得物!J58+'视频号+官网+小程序'!J58+唯品会!J58</f>
        <v>243567.116637273</v>
      </c>
      <c r="K58" s="22">
        <f>PDD!K58+得物!K58+'视频号+官网+小程序'!K58+唯品会!K58</f>
        <v>261359.631221166</v>
      </c>
      <c r="L58" s="22">
        <f>PDD!L58+得物!L58+'视频号+官网+小程序'!L58+唯品会!L58</f>
        <v>291304.191394532</v>
      </c>
      <c r="M58" s="22">
        <f>PDD!M58+得物!M58+'视频号+官网+小程序'!M58+唯品会!M58</f>
        <v>306590.102047545</v>
      </c>
      <c r="N58" s="22">
        <f>PDD!N58+得物!N58+'视频号+官网+小程序'!N58+唯品会!N58</f>
        <v>280849.361936082</v>
      </c>
      <c r="O58" s="22">
        <f>SUM(C58:N58)</f>
        <v>3080397.06081788</v>
      </c>
      <c r="P58" s="24">
        <f>O58/$O$16</f>
        <v>0.0906981785046969</v>
      </c>
      <c r="Q58" s="6"/>
    </row>
    <row r="59" ht="16.8" spans="1:18">
      <c r="A59" s="7"/>
      <c r="B59" s="12" t="s">
        <v>81</v>
      </c>
      <c r="C59" s="13">
        <f>PDD!C59+得物!C59+'视频号+官网+小程序'!C59+唯品会!C59</f>
        <v>460813.605751619</v>
      </c>
      <c r="D59" s="13">
        <f>PDD!D59+得物!D59+'视频号+官网+小程序'!D59+唯品会!D59</f>
        <v>463870.588456981</v>
      </c>
      <c r="E59" s="13">
        <f>PDD!E59+得物!E59+'视频号+官网+小程序'!E59+唯品会!E59</f>
        <v>578793.077759473</v>
      </c>
      <c r="F59" s="13">
        <f>PDD!F59+得物!F59+'视频号+官网+小程序'!F59+唯品会!F59</f>
        <v>491946.306860915</v>
      </c>
      <c r="G59" s="13">
        <f>PDD!G59+得物!G59+'视频号+官网+小程序'!G59+唯品会!G59</f>
        <v>1037528.77726117</v>
      </c>
      <c r="H59" s="13">
        <f>PDD!H59+得物!H59+'视频号+官网+小程序'!H59+唯品会!H59</f>
        <v>897081.19552417</v>
      </c>
      <c r="I59" s="13">
        <f>PDD!I59+得物!I59+'视频号+官网+小程序'!I59+唯品会!I59</f>
        <v>634114.157169595</v>
      </c>
      <c r="J59" s="13">
        <f>PDD!J59+得物!J59+'视频号+官网+小程序'!J59+唯品会!J59</f>
        <v>712703.535471198</v>
      </c>
      <c r="K59" s="13">
        <f>PDD!K59+得物!K59+'视频号+官网+小程序'!K59+唯品会!K59</f>
        <v>674029.511125934</v>
      </c>
      <c r="L59" s="13">
        <f>PDD!L59+得物!L59+'视频号+官网+小程序'!L59+唯品会!L59</f>
        <v>994142.149002754</v>
      </c>
      <c r="M59" s="13">
        <f>PDD!M59+得物!M59+'视频号+官网+小程序'!M59+唯品会!M59</f>
        <v>894877.164695291</v>
      </c>
      <c r="N59" s="13">
        <f>PDD!N59+得物!N59+'视频号+官网+小程序'!N59+唯品会!N59</f>
        <v>758035.143272575</v>
      </c>
      <c r="O59" s="13">
        <f>SUM(C59:N59)</f>
        <v>8597935.21235167</v>
      </c>
      <c r="P59" s="27">
        <f>O59/$O$16</f>
        <v>0.253154722350839</v>
      </c>
      <c r="Q59" s="32"/>
      <c r="R59" s="33"/>
    </row>
    <row r="60" ht="16.8" spans="1:18">
      <c r="A60" s="7"/>
      <c r="B60" s="12" t="s">
        <v>82</v>
      </c>
      <c r="C60" s="13">
        <f>PDD!C60+得物!C60+'视频号+官网+小程序'!C60+唯品会!C60</f>
        <v>435568.350585253</v>
      </c>
      <c r="D60" s="13">
        <f>PDD!D60+得物!D60+'视频号+官网+小程序'!D60+唯品会!D60</f>
        <v>330200.305254655</v>
      </c>
      <c r="E60" s="13">
        <f>PDD!E60+得物!E60+'视频号+官网+小程序'!E60+唯品会!E60</f>
        <v>342710.420478666</v>
      </c>
      <c r="F60" s="13">
        <f>PDD!F60+得物!F60+'视频号+官网+小程序'!F60+唯品会!F60</f>
        <v>301598.600138224</v>
      </c>
      <c r="G60" s="13">
        <f>PDD!G60+得物!G60+'视频号+官网+小程序'!G60+唯品会!G60</f>
        <v>389957.956157729</v>
      </c>
      <c r="H60" s="13">
        <f>PDD!H60+得物!H60+'视频号+官网+小程序'!H60+唯品会!H60</f>
        <v>1069803.7742871</v>
      </c>
      <c r="I60" s="13">
        <f>PDD!I60+得物!I60+'视频号+官网+小程序'!I60+唯品会!I60</f>
        <v>831374.113681484</v>
      </c>
      <c r="J60" s="13">
        <f>PDD!J60+得物!J60+'视频号+官网+小程序'!J60+唯品会!J60</f>
        <v>852224.954333896</v>
      </c>
      <c r="K60" s="13">
        <f>PDD!K60+得物!K60+'视频号+官网+小程序'!K60+唯品会!K60</f>
        <v>828950.099159211</v>
      </c>
      <c r="L60" s="13">
        <f>PDD!L60+得物!L60+'视频号+官网+小程序'!L60+唯品会!L60</f>
        <v>1100323.90378745</v>
      </c>
      <c r="M60" s="13">
        <f>PDD!M60+得物!M60+'视频号+官网+小程序'!M60+唯品会!M60</f>
        <v>1791844.66980145</v>
      </c>
      <c r="N60" s="13">
        <f>PDD!N60+得物!N60+'视频号+官网+小程序'!N60+唯品会!N60</f>
        <v>1216231.32864349</v>
      </c>
      <c r="O60" s="13">
        <f>SUM(C60:N60)</f>
        <v>9490788.47630862</v>
      </c>
      <c r="P60" s="27">
        <f>O60/$O$16</f>
        <v>0.279443594568944</v>
      </c>
      <c r="Q60" s="32"/>
      <c r="R60" s="34"/>
    </row>
    <row r="61" spans="1:18">
      <c r="O61">
        <f>O60-PDD!O60-得物!O60-'视频号+官网+小程序'!O60-唯品会!O60</f>
        <v>-1.39698386192322e-9</v>
      </c>
      <c r="Q61" s="6"/>
    </row>
    <row r="62" spans="1:18"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Q62" s="6"/>
    </row>
    <row r="63" spans="1:18">
      <c r="Q63" s="6"/>
    </row>
    <row r="64" spans="1:18">
      <c r="Q64" s="6"/>
    </row>
    <row r="65" spans="17:17">
      <c r="Q65" s="6"/>
    </row>
    <row r="66" spans="17:17">
      <c r="Q66" s="6"/>
    </row>
    <row r="67" spans="17:17">
      <c r="Q67" s="6"/>
    </row>
    <row r="68" spans="17:17">
      <c r="Q68" s="6"/>
    </row>
    <row r="69" spans="17:17">
      <c r="Q69" s="6"/>
    </row>
    <row r="70" spans="17:17">
      <c r="Q70" s="6"/>
    </row>
    <row r="71" spans="17:17">
      <c r="Q71" s="6"/>
    </row>
    <row r="72" spans="17:17">
      <c r="Q72" s="6"/>
    </row>
    <row r="73" spans="17:17">
      <c r="Q73" s="6"/>
    </row>
    <row r="74" spans="17:17">
      <c r="Q74" s="6"/>
    </row>
    <row r="75" spans="17:17">
      <c r="Q75" s="6"/>
    </row>
    <row r="76" spans="17:17">
      <c r="Q76" s="6"/>
    </row>
    <row r="77" spans="17:17">
      <c r="Q77" s="6"/>
    </row>
    <row r="78" spans="17:17">
      <c r="Q78" s="6"/>
    </row>
    <row r="79" spans="17:17">
      <c r="Q79" s="6"/>
    </row>
    <row r="80" spans="17:17">
      <c r="Q80" s="6"/>
    </row>
    <row r="81" spans="3:17">
      <c r="Q81" s="6"/>
    </row>
    <row r="82" spans="3:17">
      <c r="C82" s="35">
        <f t="shared" ref="C82:O82" si="6">C16-C18-C20-C26-C37-C44-C47-C58-C60</f>
        <v>0</v>
      </c>
      <c r="D82" s="35">
        <f t="shared" si="6"/>
        <v>0</v>
      </c>
      <c r="E82" s="35">
        <f t="shared" si="6"/>
        <v>0</v>
      </c>
      <c r="F82" s="35">
        <f t="shared" si="6"/>
        <v>0</v>
      </c>
      <c r="G82" s="35">
        <f t="shared" si="6"/>
        <v>0</v>
      </c>
      <c r="H82" s="35">
        <f t="shared" si="6"/>
        <v>0</v>
      </c>
      <c r="I82" s="35">
        <f t="shared" si="6"/>
        <v>0</v>
      </c>
      <c r="J82" s="35">
        <f t="shared" si="6"/>
        <v>0</v>
      </c>
      <c r="K82" s="35">
        <f t="shared" si="6"/>
        <v>0</v>
      </c>
      <c r="L82" s="35">
        <f t="shared" si="6"/>
        <v>0</v>
      </c>
      <c r="M82" s="35">
        <f t="shared" si="6"/>
        <v>0</v>
      </c>
      <c r="N82" s="35">
        <f t="shared" si="6"/>
        <v>0</v>
      </c>
      <c r="O82" s="35">
        <f t="shared" si="6"/>
        <v>0</v>
      </c>
      <c r="Q82" s="6"/>
    </row>
    <row r="83" spans="3:17">
      <c r="Q83" s="6"/>
    </row>
    <row r="84" spans="3:17">
      <c r="Q84" s="6"/>
    </row>
    <row r="85" spans="3:17">
      <c r="Q85" s="6"/>
    </row>
    <row r="86" spans="3:17">
      <c r="Q86" s="6"/>
    </row>
    <row r="87" spans="3:17">
      <c r="Q87" s="6"/>
    </row>
    <row r="88" spans="3:17">
      <c r="Q88" s="6"/>
    </row>
    <row r="89" spans="3:17">
      <c r="Q89" s="6"/>
    </row>
    <row r="90" spans="3:17">
      <c r="Q90" s="6"/>
    </row>
    <row r="91" spans="3:17">
      <c r="Q91" s="6"/>
    </row>
    <row r="92" spans="3:17">
      <c r="Q92" s="6"/>
    </row>
    <row r="93" spans="3:17">
      <c r="Q93" s="6"/>
    </row>
    <row r="94" spans="3:17">
      <c r="Q94" s="6"/>
    </row>
    <row r="95" spans="3:17">
      <c r="Q95" s="6"/>
    </row>
    <row r="96" spans="3:17">
      <c r="Q96" s="6"/>
    </row>
    <row r="97" spans="17:17">
      <c r="Q97" s="6"/>
    </row>
    <row r="98" spans="17:17">
      <c r="Q98" s="6"/>
    </row>
    <row r="99" spans="17:17">
      <c r="Q99" s="6"/>
    </row>
    <row r="100" spans="17:17">
      <c r="Q100" s="6"/>
    </row>
    <row r="101" spans="17:17">
      <c r="Q101" s="6"/>
    </row>
    <row r="102" spans="17:17">
      <c r="Q102" s="6"/>
    </row>
    <row r="103" spans="17:17">
      <c r="Q103" s="6"/>
    </row>
    <row r="104" spans="17:17">
      <c r="Q104" s="6"/>
    </row>
    <row r="105" spans="17:17">
      <c r="Q105" s="6"/>
    </row>
    <row r="106" spans="17:17">
      <c r="Q106" s="6"/>
    </row>
    <row r="107" spans="17:17">
      <c r="Q107" s="6"/>
    </row>
    <row r="108" spans="17:17">
      <c r="Q108" s="6"/>
    </row>
    <row r="109" spans="17:17">
      <c r="Q109" s="6"/>
    </row>
    <row r="110" spans="17:17">
      <c r="Q110" s="6"/>
    </row>
    <row r="111" spans="17:17">
      <c r="Q111" s="6"/>
    </row>
    <row r="112" spans="17:17">
      <c r="Q112" s="6"/>
    </row>
    <row r="113" spans="17:17">
      <c r="Q113" s="6"/>
    </row>
    <row r="114" spans="17:17">
      <c r="Q114" s="6"/>
    </row>
    <row r="115" spans="17:17">
      <c r="Q115" s="6"/>
    </row>
    <row r="116" spans="17:17">
      <c r="Q116" s="6"/>
    </row>
    <row r="117" spans="17:17">
      <c r="Q117" s="6"/>
    </row>
    <row r="118" spans="17:17">
      <c r="Q118" s="6"/>
    </row>
    <row r="119" spans="17:17">
      <c r="Q119" s="6"/>
    </row>
    <row r="120" spans="17:17">
      <c r="Q120" s="6"/>
    </row>
    <row r="121" spans="17:17">
      <c r="Q121" s="6"/>
    </row>
    <row r="122" spans="17:17">
      <c r="Q122" s="6"/>
    </row>
    <row r="123" spans="17:17">
      <c r="Q123" s="6"/>
    </row>
    <row r="124" spans="17:17">
      <c r="Q124" s="6"/>
    </row>
    <row r="125" spans="17:17">
      <c r="Q125" s="6"/>
    </row>
    <row r="126" spans="17:17">
      <c r="Q126" s="6"/>
    </row>
    <row r="127" spans="17:17">
      <c r="Q127" s="6"/>
    </row>
    <row r="128" spans="17:17">
      <c r="Q128" s="6"/>
    </row>
    <row r="129" spans="17:17">
      <c r="Q129" s="6"/>
    </row>
    <row r="130" spans="17:17">
      <c r="Q130" s="6"/>
    </row>
    <row r="131" spans="17:17">
      <c r="Q131" s="6"/>
    </row>
    <row r="132" spans="17:17">
      <c r="Q132" s="6"/>
    </row>
    <row r="133" spans="17:17">
      <c r="Q133" s="6"/>
    </row>
    <row r="134" spans="17:17">
      <c r="Q134" s="6"/>
    </row>
    <row r="135" spans="17:17">
      <c r="Q135" s="6"/>
    </row>
    <row r="136" spans="17:17">
      <c r="Q136" s="6"/>
    </row>
    <row r="137" spans="17:17">
      <c r="Q137" s="6"/>
    </row>
    <row r="138" spans="17:17">
      <c r="Q138" s="6"/>
    </row>
    <row r="139" spans="17:17">
      <c r="Q139" s="6"/>
    </row>
    <row r="140" spans="17:17">
      <c r="Q140" s="6"/>
    </row>
    <row r="141" spans="17:17">
      <c r="Q141" s="6"/>
    </row>
    <row r="142" spans="17:17">
      <c r="Q142" s="6"/>
    </row>
    <row r="143" spans="17:17">
      <c r="Q143" s="6"/>
    </row>
    <row r="144" spans="17:17">
      <c r="Q144" s="6"/>
    </row>
    <row r="145" spans="17:17">
      <c r="Q145" s="6"/>
    </row>
    <row r="146" spans="17:17">
      <c r="Q146" s="6"/>
    </row>
    <row r="147" spans="17:17">
      <c r="Q147" s="6"/>
    </row>
    <row r="148" spans="17:17">
      <c r="Q148" s="6"/>
    </row>
    <row r="149" spans="17:17">
      <c r="Q149" s="6"/>
    </row>
    <row r="150" spans="17:17">
      <c r="Q150" s="6"/>
    </row>
    <row r="151" spans="17:17">
      <c r="Q151" s="6"/>
    </row>
    <row r="152" spans="17:17">
      <c r="Q152" s="6"/>
    </row>
    <row r="153" spans="17:17">
      <c r="Q153" s="6"/>
    </row>
    <row r="154" spans="17:17">
      <c r="Q154" s="6"/>
    </row>
    <row r="155" spans="17:17">
      <c r="Q155" s="6"/>
    </row>
    <row r="156" spans="17:17">
      <c r="Q156" s="6"/>
    </row>
    <row r="157" spans="17:17">
      <c r="Q157" s="6"/>
    </row>
    <row r="158" spans="17:17">
      <c r="Q158" s="6"/>
    </row>
    <row r="159" spans="17:17">
      <c r="Q159" s="6"/>
    </row>
    <row r="160" spans="17:17">
      <c r="Q160" s="6"/>
    </row>
    <row r="161" spans="17:17">
      <c r="Q161" s="6"/>
    </row>
    <row r="162" spans="17:17">
      <c r="Q162" s="6"/>
    </row>
    <row r="163" spans="17:17">
      <c r="Q163" s="6"/>
    </row>
    <row r="164" spans="17:17">
      <c r="Q164" s="6"/>
    </row>
    <row r="165" spans="17:17">
      <c r="Q165" s="6"/>
    </row>
    <row r="166" spans="17:17">
      <c r="Q166" s="6"/>
    </row>
    <row r="167" spans="17:17">
      <c r="Q167" s="6"/>
    </row>
    <row r="168" spans="17:17">
      <c r="Q168" s="6"/>
    </row>
    <row r="169" spans="17:17">
      <c r="Q169" s="6"/>
    </row>
    <row r="170" spans="17:17">
      <c r="Q170" s="6"/>
    </row>
    <row r="171" spans="17:17">
      <c r="Q171" s="6"/>
    </row>
    <row r="172" spans="17:17">
      <c r="Q172" s="6"/>
    </row>
    <row r="173" spans="17:17">
      <c r="Q173" s="6"/>
    </row>
    <row r="174" spans="17:17">
      <c r="Q174" s="6"/>
    </row>
    <row r="175" spans="17:17">
      <c r="Q175" s="6"/>
    </row>
    <row r="176" spans="17:17">
      <c r="Q176" s="6"/>
    </row>
    <row r="177" spans="17:17">
      <c r="Q177" s="6"/>
    </row>
    <row r="178" spans="17:17">
      <c r="Q178" s="6"/>
    </row>
    <row r="179" spans="17:17">
      <c r="Q179" s="6"/>
    </row>
    <row r="180" spans="17:17">
      <c r="Q180" s="6"/>
    </row>
    <row r="181" spans="17:17">
      <c r="Q181" s="6"/>
    </row>
    <row r="182" spans="17:17">
      <c r="Q182" s="6"/>
    </row>
    <row r="183" spans="17:17">
      <c r="Q183" s="6"/>
    </row>
    <row r="184" spans="17:17">
      <c r="Q184" s="6"/>
    </row>
    <row r="185" spans="17:17">
      <c r="Q185" s="6"/>
    </row>
    <row r="186" spans="17:17">
      <c r="Q186" s="6"/>
    </row>
    <row r="187" spans="17:17">
      <c r="Q187" s="6"/>
    </row>
    <row r="188" spans="17:17">
      <c r="Q188" s="6"/>
    </row>
    <row r="189" spans="17:17">
      <c r="Q189" s="6"/>
    </row>
    <row r="190" spans="17:17">
      <c r="Q190" s="6"/>
    </row>
    <row r="191" spans="17:17">
      <c r="Q191" s="6"/>
    </row>
    <row r="192" spans="17:17">
      <c r="Q192" s="6"/>
    </row>
    <row r="193" spans="17:17">
      <c r="Q193" s="6"/>
    </row>
    <row r="194" spans="17:17">
      <c r="Q194" s="6"/>
    </row>
    <row r="195" spans="17:17">
      <c r="Q195" s="6"/>
    </row>
    <row r="196" spans="17:17">
      <c r="Q196" s="6"/>
    </row>
    <row r="197" spans="17:17">
      <c r="Q197" s="6"/>
    </row>
    <row r="198" spans="17:17">
      <c r="Q198" s="6"/>
    </row>
    <row r="199" spans="17:17">
      <c r="Q199" s="6"/>
    </row>
    <row r="200" spans="17:17">
      <c r="Q200" s="6"/>
    </row>
    <row r="201" spans="17:17">
      <c r="Q201" s="6"/>
    </row>
  </sheetData>
  <pageMargins left="0.75" right="0.75" top="1" bottom="1" header="0.5" footer="0.5"/>
  <headerFooter/>
  <picture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4.4"/>
  <cols>
    <col min="1" max="1" width="9" customWidth="1"/>
    <col min="2" max="2" width="30" customWidth="1"/>
    <col min="3" max="15" width="19" customWidth="1"/>
    <col min="16" max="17" width="14" customWidth="1"/>
    <col min="18" max="18" width="11" customWidth="1"/>
    <col min="19" max="20" width="14" customWidth="1"/>
  </cols>
  <sheetData>
    <row r="1" ht="17" spans="1:20">
      <c r="A1" s="67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67"/>
      <c r="S1" s="67"/>
      <c r="T1" s="67"/>
    </row>
    <row r="2" ht="16.8" spans="1:20">
      <c r="A2" s="67"/>
      <c r="B2" s="4" t="s">
        <v>16</v>
      </c>
      <c r="C2" s="5">
        <v>6145.47773609686</v>
      </c>
      <c r="D2" s="5">
        <v>5605.21595709933</v>
      </c>
      <c r="E2" s="5">
        <v>6550.674070345</v>
      </c>
      <c r="F2" s="5">
        <v>5436.3841511626</v>
      </c>
      <c r="G2" s="5">
        <v>9488.34749364405</v>
      </c>
      <c r="H2" s="5">
        <v>8205.22576852492</v>
      </c>
      <c r="I2" s="5">
        <v>5335.08506760057</v>
      </c>
      <c r="J2" s="5">
        <v>6705.99933180679</v>
      </c>
      <c r="K2" s="5">
        <v>7394.83310002863</v>
      </c>
      <c r="L2" s="5">
        <v>9798.99801656762</v>
      </c>
      <c r="M2" s="5">
        <v>7617.69108386511</v>
      </c>
      <c r="N2" s="5">
        <v>6807.29841536882</v>
      </c>
      <c r="O2" s="5">
        <f>SUM(C2:N2)</f>
        <v>85091.2301921103</v>
      </c>
      <c r="P2" s="5"/>
      <c r="Q2" s="6"/>
      <c r="R2" s="67"/>
      <c r="S2" s="67"/>
      <c r="T2" s="67"/>
    </row>
    <row r="3" ht="16.8" spans="1:20">
      <c r="A3" s="7"/>
      <c r="B3" s="8" t="s">
        <v>17</v>
      </c>
      <c r="C3" s="9">
        <f t="shared" ref="C3:O3" si="0">C6/(1-$P$6)</f>
        <v>2704468.3812581</v>
      </c>
      <c r="D3" s="9">
        <f t="shared" si="0"/>
        <v>2047997.79302281</v>
      </c>
      <c r="E3" s="9">
        <f t="shared" si="0"/>
        <v>2704468.3812581</v>
      </c>
      <c r="F3" s="9">
        <f t="shared" si="0"/>
        <v>2294174.26361105</v>
      </c>
      <c r="G3" s="9">
        <f t="shared" si="0"/>
        <v>3935350.73419928</v>
      </c>
      <c r="H3" s="9">
        <f t="shared" si="0"/>
        <v>5986821.32243458</v>
      </c>
      <c r="I3" s="9">
        <f t="shared" si="0"/>
        <v>3525056.61655222</v>
      </c>
      <c r="J3" s="9">
        <f t="shared" si="0"/>
        <v>3525056.61655222</v>
      </c>
      <c r="K3" s="9">
        <f t="shared" si="0"/>
        <v>3525056.61655222</v>
      </c>
      <c r="L3" s="9">
        <f t="shared" si="0"/>
        <v>5166233.08714046</v>
      </c>
      <c r="M3" s="9">
        <f t="shared" si="0"/>
        <v>7053586.02831693</v>
      </c>
      <c r="N3" s="9">
        <f t="shared" si="0"/>
        <v>4755938.9694934</v>
      </c>
      <c r="O3" s="9">
        <f t="shared" si="0"/>
        <v>47224208.8103914</v>
      </c>
      <c r="P3" s="9"/>
      <c r="Q3" s="10" t="s">
        <v>83</v>
      </c>
      <c r="R3" s="67"/>
      <c r="S3" s="67"/>
      <c r="T3" s="67"/>
    </row>
    <row r="4" ht="16.8" spans="1:20">
      <c r="A4" s="7"/>
      <c r="B4" s="8" t="s">
        <v>84</v>
      </c>
      <c r="C4" s="9">
        <f t="shared" ref="C4:O4" si="1">C8/(1-$P$8)</f>
        <v>2045735.29411765</v>
      </c>
      <c r="D4" s="9">
        <f t="shared" si="1"/>
        <v>1668716.33091811</v>
      </c>
      <c r="E4" s="9">
        <f t="shared" si="1"/>
        <v>2128245.74268282</v>
      </c>
      <c r="F4" s="9">
        <f t="shared" si="1"/>
        <v>1841039.86032988</v>
      </c>
      <c r="G4" s="9">
        <f t="shared" si="1"/>
        <v>2989863.38974164</v>
      </c>
      <c r="H4" s="9">
        <f t="shared" si="1"/>
        <v>4425892.80150635</v>
      </c>
      <c r="I4" s="9">
        <f t="shared" si="1"/>
        <v>2702657.5073887</v>
      </c>
      <c r="J4" s="9">
        <f t="shared" si="1"/>
        <v>2702657.5073887</v>
      </c>
      <c r="K4" s="9">
        <f t="shared" si="1"/>
        <v>2702657.5073887</v>
      </c>
      <c r="L4" s="9">
        <f t="shared" si="1"/>
        <v>3851481.03680047</v>
      </c>
      <c r="M4" s="9">
        <f t="shared" si="1"/>
        <v>5172628.095624</v>
      </c>
      <c r="N4" s="9">
        <f t="shared" si="1"/>
        <v>3564275.15444753</v>
      </c>
      <c r="O4" s="9">
        <f t="shared" si="1"/>
        <v>35795850.2283346</v>
      </c>
      <c r="P4" s="9"/>
      <c r="Q4" s="10" t="s">
        <v>83</v>
      </c>
      <c r="R4" s="67"/>
      <c r="S4" s="67"/>
      <c r="T4" s="67"/>
    </row>
    <row r="5" ht="16.8" spans="1:20">
      <c r="A5" s="7"/>
      <c r="B5" s="8" t="s">
        <v>18</v>
      </c>
      <c r="C5" s="9">
        <f t="shared" ref="C5:N5" si="2">C12</f>
        <v>306860.294117647</v>
      </c>
      <c r="D5" s="9">
        <f t="shared" si="2"/>
        <v>250307.449637717</v>
      </c>
      <c r="E5" s="9">
        <f t="shared" si="2"/>
        <v>319236.861402423</v>
      </c>
      <c r="F5" s="9">
        <f t="shared" si="2"/>
        <v>276155.979049482</v>
      </c>
      <c r="G5" s="9">
        <f t="shared" si="2"/>
        <v>448479.508461247</v>
      </c>
      <c r="H5" s="9">
        <f t="shared" si="2"/>
        <v>663883.920225952</v>
      </c>
      <c r="I5" s="9">
        <f t="shared" si="2"/>
        <v>405398.626108305</v>
      </c>
      <c r="J5" s="9">
        <f t="shared" si="2"/>
        <v>405398.626108305</v>
      </c>
      <c r="K5" s="9">
        <f t="shared" si="2"/>
        <v>405398.626108305</v>
      </c>
      <c r="L5" s="9">
        <f t="shared" si="2"/>
        <v>577722.15552007</v>
      </c>
      <c r="M5" s="9">
        <f t="shared" si="2"/>
        <v>775894.2143436</v>
      </c>
      <c r="N5" s="9">
        <f t="shared" si="2"/>
        <v>534641.273167129</v>
      </c>
      <c r="O5" s="9">
        <f>SUM(C5:N5)</f>
        <v>5369377.53425018</v>
      </c>
      <c r="P5" s="9"/>
      <c r="Q5" s="11" t="s">
        <v>83</v>
      </c>
      <c r="R5" s="67"/>
      <c r="S5" s="67"/>
      <c r="T5" s="67"/>
    </row>
    <row r="6" ht="16.8" spans="1:20">
      <c r="A6" s="7"/>
      <c r="B6" s="12" t="s">
        <v>85</v>
      </c>
      <c r="C6" s="13">
        <v>2298798.12406939</v>
      </c>
      <c r="D6" s="13">
        <v>1740798.12406939</v>
      </c>
      <c r="E6" s="13">
        <v>2298798.12406939</v>
      </c>
      <c r="F6" s="13">
        <v>1950048.12406939</v>
      </c>
      <c r="G6" s="13">
        <v>3345048.12406939</v>
      </c>
      <c r="H6" s="13">
        <v>5088798.12406939</v>
      </c>
      <c r="I6" s="13">
        <v>2996298.12406939</v>
      </c>
      <c r="J6" s="13">
        <v>2996298.12406939</v>
      </c>
      <c r="K6" s="13">
        <v>2996298.12406939</v>
      </c>
      <c r="L6" s="13">
        <v>4391298.12406939</v>
      </c>
      <c r="M6" s="13">
        <v>5995548.12406939</v>
      </c>
      <c r="N6" s="13">
        <v>4042548.12406939</v>
      </c>
      <c r="O6" s="13">
        <f>SUM(C6:N6)</f>
        <v>40140577.4888327</v>
      </c>
      <c r="P6" s="66">
        <v>0.15</v>
      </c>
      <c r="Q6" s="11" t="s">
        <v>83</v>
      </c>
      <c r="R6" s="67"/>
      <c r="S6" s="67"/>
      <c r="T6" s="67"/>
    </row>
    <row r="7" ht="16.8" spans="1:20">
      <c r="A7" s="7"/>
      <c r="B7" s="14" t="s">
        <v>20</v>
      </c>
      <c r="C7" s="15">
        <v>0.3</v>
      </c>
      <c r="D7" s="15">
        <v>0.3</v>
      </c>
      <c r="E7" s="15">
        <v>0.3</v>
      </c>
      <c r="F7" s="15">
        <v>0.3</v>
      </c>
      <c r="G7" s="15">
        <v>0.3</v>
      </c>
      <c r="H7" s="15">
        <v>0.3</v>
      </c>
      <c r="I7" s="15">
        <v>0.3</v>
      </c>
      <c r="J7" s="15">
        <v>0.3</v>
      </c>
      <c r="K7" s="15">
        <v>0.3</v>
      </c>
      <c r="L7" s="15">
        <v>0.3</v>
      </c>
      <c r="M7" s="15">
        <v>0.3</v>
      </c>
      <c r="N7" s="15">
        <v>0.3</v>
      </c>
      <c r="O7" s="15">
        <f>1-O8/O6</f>
        <v>0.242002118615529</v>
      </c>
      <c r="P7" s="15"/>
      <c r="Q7" s="6" t="s">
        <v>83</v>
      </c>
      <c r="R7" s="67"/>
      <c r="S7" s="67"/>
      <c r="T7" s="67"/>
    </row>
    <row r="8" ht="16.8" spans="1:20">
      <c r="A8" s="7"/>
      <c r="B8" s="12" t="s">
        <v>86</v>
      </c>
      <c r="C8" s="13">
        <v>1738875</v>
      </c>
      <c r="D8" s="13">
        <v>1418408.8812804</v>
      </c>
      <c r="E8" s="13">
        <v>1809008.8812804</v>
      </c>
      <c r="F8" s="13">
        <v>1564883.8812804</v>
      </c>
      <c r="G8" s="13">
        <v>2541383.8812804</v>
      </c>
      <c r="H8" s="13">
        <v>3762008.8812804</v>
      </c>
      <c r="I8" s="13">
        <v>2297258.8812804</v>
      </c>
      <c r="J8" s="13">
        <v>2297258.8812804</v>
      </c>
      <c r="K8" s="13">
        <v>2297258.8812804</v>
      </c>
      <c r="L8" s="13">
        <v>3273758.8812804</v>
      </c>
      <c r="M8" s="13">
        <v>4396733.8812804</v>
      </c>
      <c r="N8" s="13">
        <v>3029633.8812804</v>
      </c>
      <c r="O8" s="13">
        <f>SUM(C8:N8)</f>
        <v>30426472.6940844</v>
      </c>
      <c r="P8" s="66">
        <v>0.15</v>
      </c>
      <c r="Q8" s="6" t="s">
        <v>83</v>
      </c>
      <c r="R8" s="67"/>
      <c r="S8" s="67"/>
      <c r="T8" s="67"/>
    </row>
    <row r="9" ht="16.8" spans="1:20">
      <c r="A9" s="67"/>
      <c r="B9" s="4"/>
      <c r="C9" s="5">
        <f t="shared" ref="C9:O9" si="3">C10-C14-C15</f>
        <v>0</v>
      </c>
      <c r="D9" s="5">
        <f t="shared" si="3"/>
        <v>0</v>
      </c>
      <c r="E9" s="5">
        <f t="shared" si="3"/>
        <v>0</v>
      </c>
      <c r="F9" s="5">
        <f t="shared" si="3"/>
        <v>0</v>
      </c>
      <c r="G9" s="5">
        <f t="shared" si="3"/>
        <v>0</v>
      </c>
      <c r="H9" s="5">
        <f t="shared" si="3"/>
        <v>0</v>
      </c>
      <c r="I9" s="5">
        <f t="shared" si="3"/>
        <v>0</v>
      </c>
      <c r="J9" s="5">
        <f t="shared" si="3"/>
        <v>0</v>
      </c>
      <c r="K9" s="5">
        <f t="shared" si="3"/>
        <v>0</v>
      </c>
      <c r="L9" s="5">
        <f t="shared" si="3"/>
        <v>0</v>
      </c>
      <c r="M9" s="5">
        <f t="shared" si="3"/>
        <v>0</v>
      </c>
      <c r="N9" s="5">
        <f t="shared" si="3"/>
        <v>0</v>
      </c>
      <c r="O9" s="5">
        <f t="shared" si="3"/>
        <v>0</v>
      </c>
      <c r="P9" s="5"/>
      <c r="Q9" s="6"/>
      <c r="R9" s="67"/>
      <c r="S9" s="67"/>
      <c r="T9" s="67"/>
    </row>
    <row r="10" ht="16.8" spans="1:20">
      <c r="A10" s="7"/>
      <c r="B10" s="12" t="s">
        <v>22</v>
      </c>
      <c r="C10" s="13">
        <f t="shared" ref="C10:N10" si="4">C4+C13</f>
        <v>2316182.13224346</v>
      </c>
      <c r="D10" s="13">
        <f t="shared" si="4"/>
        <v>1975915.99987154</v>
      </c>
      <c r="E10" s="13">
        <f t="shared" si="4"/>
        <v>2533915.99987154</v>
      </c>
      <c r="F10" s="13">
        <f t="shared" si="4"/>
        <v>2185165.99987154</v>
      </c>
      <c r="G10" s="13">
        <f t="shared" si="4"/>
        <v>3580165.99987154</v>
      </c>
      <c r="H10" s="13">
        <f t="shared" si="4"/>
        <v>5323915.99987154</v>
      </c>
      <c r="I10" s="13">
        <f t="shared" si="4"/>
        <v>3231415.99987154</v>
      </c>
      <c r="J10" s="13">
        <f t="shared" si="4"/>
        <v>3231415.99987154</v>
      </c>
      <c r="K10" s="13">
        <f t="shared" si="4"/>
        <v>3231415.99987154</v>
      </c>
      <c r="L10" s="13">
        <f t="shared" si="4"/>
        <v>4626415.99987154</v>
      </c>
      <c r="M10" s="13">
        <f t="shared" si="4"/>
        <v>6230665.99987154</v>
      </c>
      <c r="N10" s="13">
        <f t="shared" si="4"/>
        <v>4277665.99987154</v>
      </c>
      <c r="O10" s="13">
        <f>SUM(C10:N10)</f>
        <v>42744258.1308304</v>
      </c>
      <c r="P10" s="13"/>
      <c r="Q10" s="6"/>
      <c r="R10" s="67"/>
      <c r="S10" s="67"/>
      <c r="T10" s="67"/>
    </row>
    <row r="11" ht="16.8" spans="1:20">
      <c r="A11" s="67"/>
      <c r="B11" s="17" t="s">
        <v>23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>
        <f>SUM(C11:N11)</f>
        <v>0</v>
      </c>
      <c r="P11" s="18"/>
      <c r="Q11" s="6" t="s">
        <v>88</v>
      </c>
      <c r="R11" s="67"/>
      <c r="S11" s="67"/>
      <c r="T11" s="67"/>
    </row>
    <row r="12" ht="16.8" spans="1:20">
      <c r="A12" s="67"/>
      <c r="B12" s="17" t="s">
        <v>25</v>
      </c>
      <c r="C12" s="18">
        <f t="shared" ref="C12:N12" si="5">C4*$P$12</f>
        <v>306860.294117647</v>
      </c>
      <c r="D12" s="18">
        <f t="shared" si="5"/>
        <v>250307.449637717</v>
      </c>
      <c r="E12" s="18">
        <f t="shared" si="5"/>
        <v>319236.861402423</v>
      </c>
      <c r="F12" s="18">
        <f t="shared" si="5"/>
        <v>276155.979049482</v>
      </c>
      <c r="G12" s="18">
        <f t="shared" si="5"/>
        <v>448479.508461247</v>
      </c>
      <c r="H12" s="18">
        <f t="shared" si="5"/>
        <v>663883.920225952</v>
      </c>
      <c r="I12" s="18">
        <f t="shared" si="5"/>
        <v>405398.626108305</v>
      </c>
      <c r="J12" s="18">
        <f t="shared" si="5"/>
        <v>405398.626108305</v>
      </c>
      <c r="K12" s="18">
        <f t="shared" si="5"/>
        <v>405398.626108305</v>
      </c>
      <c r="L12" s="18">
        <f t="shared" si="5"/>
        <v>577722.15552007</v>
      </c>
      <c r="M12" s="18">
        <f t="shared" si="5"/>
        <v>775894.2143436</v>
      </c>
      <c r="N12" s="18">
        <f t="shared" si="5"/>
        <v>534641.273167129</v>
      </c>
      <c r="O12" s="18">
        <f>SUM(C12:N12)</f>
        <v>5369377.53425018</v>
      </c>
      <c r="P12" s="19">
        <v>0.15</v>
      </c>
      <c r="Q12" s="6" t="s">
        <v>83</v>
      </c>
      <c r="R12" s="20">
        <f>O12/$O$10</f>
        <v>0.125616346359685</v>
      </c>
      <c r="S12" s="67"/>
      <c r="T12" s="67"/>
    </row>
    <row r="13" ht="16.8" spans="1:20">
      <c r="A13" s="67"/>
      <c r="B13" s="17" t="s">
        <v>27</v>
      </c>
      <c r="C13" s="18">
        <f>C3*$P$13</f>
        <v>270446.83812581</v>
      </c>
      <c r="D13" s="18">
        <f t="shared" ref="D13:O13" si="6">D3*$P$12</f>
        <v>307199.668953422</v>
      </c>
      <c r="E13" s="18">
        <f t="shared" si="6"/>
        <v>405670.257188716</v>
      </c>
      <c r="F13" s="18">
        <f t="shared" si="6"/>
        <v>344126.139541657</v>
      </c>
      <c r="G13" s="18">
        <f t="shared" si="6"/>
        <v>590302.610129892</v>
      </c>
      <c r="H13" s="18">
        <f t="shared" si="6"/>
        <v>898023.198365186</v>
      </c>
      <c r="I13" s="18">
        <f t="shared" si="6"/>
        <v>528758.492482833</v>
      </c>
      <c r="J13" s="18">
        <f t="shared" si="6"/>
        <v>528758.492482833</v>
      </c>
      <c r="K13" s="18">
        <f t="shared" si="6"/>
        <v>528758.492482833</v>
      </c>
      <c r="L13" s="18">
        <f t="shared" si="6"/>
        <v>774934.963071069</v>
      </c>
      <c r="M13" s="18">
        <f t="shared" si="6"/>
        <v>1058037.90424754</v>
      </c>
      <c r="N13" s="18">
        <f t="shared" si="6"/>
        <v>713390.84542401</v>
      </c>
      <c r="O13" s="18">
        <f t="shared" si="6"/>
        <v>7083631.32155871</v>
      </c>
      <c r="P13" s="19">
        <v>0.1</v>
      </c>
      <c r="Q13" s="6" t="s">
        <v>83</v>
      </c>
      <c r="R13" s="20">
        <f>O13/$O$10</f>
        <v>0.165721236753656</v>
      </c>
      <c r="S13" s="67"/>
      <c r="T13" s="67"/>
    </row>
    <row r="14" ht="16.8" spans="1:20">
      <c r="A14" s="67"/>
      <c r="B14" s="21" t="s">
        <v>28</v>
      </c>
      <c r="C14" s="22">
        <f t="shared" ref="C14:N14" si="7">SUM(C11:C13)</f>
        <v>577307.132243457</v>
      </c>
      <c r="D14" s="22">
        <f t="shared" si="7"/>
        <v>557507.118591139</v>
      </c>
      <c r="E14" s="22">
        <f t="shared" si="7"/>
        <v>724907.118591139</v>
      </c>
      <c r="F14" s="22">
        <f t="shared" si="7"/>
        <v>620282.118591139</v>
      </c>
      <c r="G14" s="22">
        <f t="shared" si="7"/>
        <v>1038782.11859114</v>
      </c>
      <c r="H14" s="22">
        <f t="shared" si="7"/>
        <v>1561907.11859114</v>
      </c>
      <c r="I14" s="22">
        <f t="shared" si="7"/>
        <v>934157.118591139</v>
      </c>
      <c r="J14" s="22">
        <f t="shared" si="7"/>
        <v>934157.118591139</v>
      </c>
      <c r="K14" s="22">
        <f t="shared" si="7"/>
        <v>934157.118591139</v>
      </c>
      <c r="L14" s="22">
        <f t="shared" si="7"/>
        <v>1352657.11859114</v>
      </c>
      <c r="M14" s="22">
        <f t="shared" si="7"/>
        <v>1833932.11859114</v>
      </c>
      <c r="N14" s="22">
        <f t="shared" si="7"/>
        <v>1248032.11859114</v>
      </c>
      <c r="O14" s="22">
        <f>SUM(C14:N14)</f>
        <v>12317785.436746</v>
      </c>
      <c r="P14" s="22"/>
      <c r="Q14" s="6"/>
      <c r="R14" s="67"/>
      <c r="S14" s="67"/>
      <c r="T14" s="67"/>
    </row>
    <row r="15" ht="16.8" spans="1:20">
      <c r="A15" s="7"/>
      <c r="B15" s="12" t="s">
        <v>29</v>
      </c>
      <c r="C15" s="13">
        <f t="shared" ref="C15:N15" si="8">C8</f>
        <v>1738875</v>
      </c>
      <c r="D15" s="13">
        <f t="shared" si="8"/>
        <v>1418408.8812804</v>
      </c>
      <c r="E15" s="13">
        <f t="shared" si="8"/>
        <v>1809008.8812804</v>
      </c>
      <c r="F15" s="13">
        <f t="shared" si="8"/>
        <v>1564883.8812804</v>
      </c>
      <c r="G15" s="13">
        <f t="shared" si="8"/>
        <v>2541383.8812804</v>
      </c>
      <c r="H15" s="13">
        <f t="shared" si="8"/>
        <v>3762008.8812804</v>
      </c>
      <c r="I15" s="13">
        <f t="shared" si="8"/>
        <v>2297258.8812804</v>
      </c>
      <c r="J15" s="13">
        <f t="shared" si="8"/>
        <v>2297258.8812804</v>
      </c>
      <c r="K15" s="13">
        <f t="shared" si="8"/>
        <v>2297258.8812804</v>
      </c>
      <c r="L15" s="13">
        <f t="shared" si="8"/>
        <v>3273758.8812804</v>
      </c>
      <c r="M15" s="13">
        <f t="shared" si="8"/>
        <v>4396733.8812804</v>
      </c>
      <c r="N15" s="13">
        <f t="shared" si="8"/>
        <v>3029633.8812804</v>
      </c>
      <c r="O15" s="13">
        <f>SUM(C15:N15)</f>
        <v>30426472.6940844</v>
      </c>
      <c r="P15" s="13"/>
      <c r="Q15" s="6"/>
      <c r="R15" s="67"/>
      <c r="S15" s="67"/>
      <c r="T15" s="67"/>
    </row>
    <row r="16" ht="16.8" spans="1:20">
      <c r="A16" s="7"/>
      <c r="B16" s="12" t="s">
        <v>30</v>
      </c>
      <c r="C16" s="13">
        <f t="shared" ref="C16:N16" si="9">+C8/1.13</f>
        <v>1538827.43362832</v>
      </c>
      <c r="D16" s="13">
        <f t="shared" si="9"/>
        <v>1255229.09847823</v>
      </c>
      <c r="E16" s="13">
        <f t="shared" si="9"/>
        <v>1600892.81529239</v>
      </c>
      <c r="F16" s="13">
        <f t="shared" si="9"/>
        <v>1384852.99228354</v>
      </c>
      <c r="G16" s="13">
        <f t="shared" si="9"/>
        <v>2249012.28431894</v>
      </c>
      <c r="H16" s="13">
        <f t="shared" si="9"/>
        <v>3329211.39936318</v>
      </c>
      <c r="I16" s="13">
        <f t="shared" si="9"/>
        <v>2032972.46131009</v>
      </c>
      <c r="J16" s="13">
        <f t="shared" si="9"/>
        <v>2032972.46131009</v>
      </c>
      <c r="K16" s="13">
        <f t="shared" si="9"/>
        <v>2032972.46131009</v>
      </c>
      <c r="L16" s="13">
        <f t="shared" si="9"/>
        <v>2897131.75334548</v>
      </c>
      <c r="M16" s="13">
        <f t="shared" si="9"/>
        <v>3890914.93918619</v>
      </c>
      <c r="N16" s="13">
        <f t="shared" si="9"/>
        <v>2681091.93033664</v>
      </c>
      <c r="O16" s="13">
        <f>SUM(C16:N16)</f>
        <v>26926082.0301632</v>
      </c>
      <c r="P16" s="13"/>
      <c r="Q16" s="6"/>
      <c r="R16" s="67"/>
      <c r="S16" s="67"/>
      <c r="T16" s="67"/>
    </row>
    <row r="17" spans="1:20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"/>
      <c r="R17" s="67"/>
      <c r="S17" s="67"/>
      <c r="T17" s="67"/>
    </row>
    <row r="18" ht="16.8" spans="1:20">
      <c r="A18" s="67"/>
      <c r="B18" s="17" t="s">
        <v>31</v>
      </c>
      <c r="C18" s="18">
        <f t="shared" ref="C18:N18" si="10">C64*C65</f>
        <v>753227.90507365</v>
      </c>
      <c r="D18" s="18">
        <f t="shared" si="10"/>
        <v>611801.293525246</v>
      </c>
      <c r="E18" s="18">
        <f t="shared" si="10"/>
        <v>823228.683294911</v>
      </c>
      <c r="F18" s="18">
        <f t="shared" si="10"/>
        <v>714060.46011366</v>
      </c>
      <c r="G18" s="18">
        <f t="shared" si="10"/>
        <v>1033027.98574894</v>
      </c>
      <c r="H18" s="18">
        <f t="shared" si="10"/>
        <v>1553416.5893721</v>
      </c>
      <c r="I18" s="18">
        <f t="shared" si="10"/>
        <v>876262.220702376</v>
      </c>
      <c r="J18" s="18">
        <f t="shared" si="10"/>
        <v>873863.755039313</v>
      </c>
      <c r="K18" s="18">
        <f t="shared" si="10"/>
        <v>858756.306541353</v>
      </c>
      <c r="L18" s="18">
        <f t="shared" si="10"/>
        <v>1204046.79376745</v>
      </c>
      <c r="M18" s="18">
        <f t="shared" si="10"/>
        <v>1579817.12757095</v>
      </c>
      <c r="N18" s="18">
        <f t="shared" si="10"/>
        <v>1077820.8201497</v>
      </c>
      <c r="O18" s="18">
        <f>SUM(C18:N18)</f>
        <v>11959329.9408997</v>
      </c>
      <c r="P18" s="23">
        <f>O18/O16</f>
        <v>0.444154107809022</v>
      </c>
      <c r="Q18" s="6"/>
      <c r="R18" s="67"/>
      <c r="S18" s="67"/>
      <c r="T18" s="67"/>
    </row>
    <row r="19" ht="16.8" spans="1:20">
      <c r="A19" s="67"/>
      <c r="B19" s="21" t="s">
        <v>32</v>
      </c>
      <c r="C19" s="22">
        <f t="shared" ref="C19:N19" si="11">C16-C18</f>
        <v>785599.528554669</v>
      </c>
      <c r="D19" s="22">
        <f t="shared" si="11"/>
        <v>643427.804952982</v>
      </c>
      <c r="E19" s="22">
        <f t="shared" si="11"/>
        <v>777664.131997476</v>
      </c>
      <c r="F19" s="22">
        <f t="shared" si="11"/>
        <v>670792.532169877</v>
      </c>
      <c r="G19" s="22">
        <f t="shared" si="11"/>
        <v>1215984.29857</v>
      </c>
      <c r="H19" s="22">
        <f t="shared" si="11"/>
        <v>1775794.80999109</v>
      </c>
      <c r="I19" s="22">
        <f t="shared" si="11"/>
        <v>1156710.24060771</v>
      </c>
      <c r="J19" s="22">
        <f t="shared" si="11"/>
        <v>1159108.70627077</v>
      </c>
      <c r="K19" s="22">
        <f t="shared" si="11"/>
        <v>1174216.15476873</v>
      </c>
      <c r="L19" s="22">
        <f t="shared" si="11"/>
        <v>1693084.95957803</v>
      </c>
      <c r="M19" s="22">
        <f t="shared" si="11"/>
        <v>2311097.81161524</v>
      </c>
      <c r="N19" s="22">
        <f t="shared" si="11"/>
        <v>1603271.11018693</v>
      </c>
      <c r="O19" s="22">
        <f>SUM(C19:N19)</f>
        <v>14966752.0892635</v>
      </c>
      <c r="P19" s="24">
        <f>O19/$O$16</f>
        <v>0.555845892190978</v>
      </c>
      <c r="Q19" s="6"/>
      <c r="R19" s="67"/>
      <c r="S19" s="67"/>
      <c r="T19" s="67"/>
    </row>
    <row r="20" ht="16.8" spans="1:20">
      <c r="A20" s="5"/>
      <c r="B20" s="4" t="s">
        <v>33</v>
      </c>
      <c r="C20" s="25">
        <f t="shared" ref="C20:N20" si="12">C16*2.5%</f>
        <v>38470.685840708</v>
      </c>
      <c r="D20" s="25">
        <f t="shared" si="12"/>
        <v>31380.7274619557</v>
      </c>
      <c r="E20" s="25">
        <f t="shared" si="12"/>
        <v>40022.3203823097</v>
      </c>
      <c r="F20" s="25">
        <f t="shared" si="12"/>
        <v>34621.3248070884</v>
      </c>
      <c r="G20" s="25">
        <f t="shared" si="12"/>
        <v>56225.3071079734</v>
      </c>
      <c r="H20" s="25">
        <f t="shared" si="12"/>
        <v>83230.2849840796</v>
      </c>
      <c r="I20" s="25">
        <f t="shared" si="12"/>
        <v>50824.3115327522</v>
      </c>
      <c r="J20" s="25">
        <f t="shared" si="12"/>
        <v>50824.3115327522</v>
      </c>
      <c r="K20" s="25">
        <f t="shared" si="12"/>
        <v>50824.3115327522</v>
      </c>
      <c r="L20" s="25">
        <f t="shared" si="12"/>
        <v>72428.2938336371</v>
      </c>
      <c r="M20" s="25">
        <f t="shared" si="12"/>
        <v>97272.8734796548</v>
      </c>
      <c r="N20" s="25">
        <f t="shared" si="12"/>
        <v>67027.2982584159</v>
      </c>
      <c r="O20" s="25">
        <f>SUM(C20:N20)</f>
        <v>673152.050754079</v>
      </c>
      <c r="P20" s="26">
        <v>0.025</v>
      </c>
      <c r="Q20" s="6"/>
      <c r="R20" s="67"/>
      <c r="S20" s="67"/>
      <c r="T20" s="67"/>
    </row>
    <row r="21" ht="16.8" spans="1:20">
      <c r="A21" s="67"/>
      <c r="B21" s="21" t="s">
        <v>35</v>
      </c>
      <c r="C21" s="22">
        <f t="shared" ref="C21:N21" si="13">SUM(C18,C20)</f>
        <v>791698.590914358</v>
      </c>
      <c r="D21" s="22">
        <f t="shared" si="13"/>
        <v>643182.020987202</v>
      </c>
      <c r="E21" s="22">
        <f t="shared" si="13"/>
        <v>863251.00367722</v>
      </c>
      <c r="F21" s="22">
        <f t="shared" si="13"/>
        <v>748681.784920749</v>
      </c>
      <c r="G21" s="22">
        <f t="shared" si="13"/>
        <v>1089253.29285691</v>
      </c>
      <c r="H21" s="22">
        <f t="shared" si="13"/>
        <v>1636646.87435618</v>
      </c>
      <c r="I21" s="22">
        <f t="shared" si="13"/>
        <v>927086.532235128</v>
      </c>
      <c r="J21" s="22">
        <f t="shared" si="13"/>
        <v>924688.066572065</v>
      </c>
      <c r="K21" s="22">
        <f t="shared" si="13"/>
        <v>909580.618074105</v>
      </c>
      <c r="L21" s="22">
        <f t="shared" si="13"/>
        <v>1276475.08760109</v>
      </c>
      <c r="M21" s="22">
        <f t="shared" si="13"/>
        <v>1677090.00105061</v>
      </c>
      <c r="N21" s="22">
        <f t="shared" si="13"/>
        <v>1144848.11840812</v>
      </c>
      <c r="O21" s="22">
        <f>SUM(C21:N21)</f>
        <v>12632481.9916537</v>
      </c>
      <c r="P21" s="24">
        <f>O21/$O$16</f>
        <v>0.469154107809022</v>
      </c>
      <c r="Q21" s="6"/>
      <c r="R21" s="67"/>
      <c r="S21" s="67"/>
      <c r="T21" s="67"/>
    </row>
    <row r="22" ht="16.8" spans="1:20">
      <c r="A22" s="7"/>
      <c r="B22" s="12" t="s">
        <v>36</v>
      </c>
      <c r="C22" s="13">
        <f t="shared" ref="C22:N22" si="14">C16-C21</f>
        <v>747128.842713961</v>
      </c>
      <c r="D22" s="13">
        <f t="shared" si="14"/>
        <v>612047.077491026</v>
      </c>
      <c r="E22" s="13">
        <f t="shared" si="14"/>
        <v>737641.811615167</v>
      </c>
      <c r="F22" s="13">
        <f t="shared" si="14"/>
        <v>636171.207362789</v>
      </c>
      <c r="G22" s="13">
        <f t="shared" si="14"/>
        <v>1159758.99146202</v>
      </c>
      <c r="H22" s="13">
        <f t="shared" si="14"/>
        <v>1692564.52500701</v>
      </c>
      <c r="I22" s="13">
        <f t="shared" si="14"/>
        <v>1105885.92907496</v>
      </c>
      <c r="J22" s="13">
        <f t="shared" si="14"/>
        <v>1108284.39473802</v>
      </c>
      <c r="K22" s="13">
        <f t="shared" si="14"/>
        <v>1123391.84323598</v>
      </c>
      <c r="L22" s="13">
        <f t="shared" si="14"/>
        <v>1620656.6657444</v>
      </c>
      <c r="M22" s="13">
        <f t="shared" si="14"/>
        <v>2213824.93813558</v>
      </c>
      <c r="N22" s="13">
        <f t="shared" si="14"/>
        <v>1536243.81192852</v>
      </c>
      <c r="O22" s="13">
        <f>SUM(C22:N22)</f>
        <v>14293600.0385094</v>
      </c>
      <c r="P22" s="27">
        <f>O22/$O$16</f>
        <v>0.530845892190978</v>
      </c>
      <c r="Q22" s="6"/>
      <c r="R22" s="67"/>
      <c r="S22" s="67"/>
      <c r="T22" s="67"/>
    </row>
    <row r="23" ht="16.8" spans="1:20">
      <c r="A23" s="67"/>
      <c r="B23" s="14" t="s">
        <v>37</v>
      </c>
      <c r="C23" s="44">
        <f t="shared" ref="C23:O23" si="15">C19/C16</f>
        <v>0.510518276050191</v>
      </c>
      <c r="D23" s="44">
        <f t="shared" si="15"/>
        <v>0.512597904026476</v>
      </c>
      <c r="E23" s="44">
        <f t="shared" si="15"/>
        <v>0.485769018743109</v>
      </c>
      <c r="F23" s="44">
        <f t="shared" si="15"/>
        <v>0.484378151260504</v>
      </c>
      <c r="G23" s="44">
        <f t="shared" si="15"/>
        <v>0.54067481402763</v>
      </c>
      <c r="H23" s="44">
        <f t="shared" si="15"/>
        <v>0.533398032438181</v>
      </c>
      <c r="I23" s="44">
        <f t="shared" si="15"/>
        <v>0.56897486937049</v>
      </c>
      <c r="J23" s="44">
        <f t="shared" si="15"/>
        <v>0.570154652032926</v>
      </c>
      <c r="K23" s="44">
        <f t="shared" si="15"/>
        <v>0.577585863613738</v>
      </c>
      <c r="L23" s="44">
        <f t="shared" si="15"/>
        <v>0.584400401404917</v>
      </c>
      <c r="M23" s="44">
        <f t="shared" si="15"/>
        <v>0.59397284385215</v>
      </c>
      <c r="N23" s="44">
        <f t="shared" si="15"/>
        <v>0.597991845056065</v>
      </c>
      <c r="O23" s="44">
        <f t="shared" si="15"/>
        <v>0.555845892190978</v>
      </c>
      <c r="P23" s="29"/>
      <c r="Q23" s="6"/>
      <c r="R23" s="67"/>
      <c r="S23" s="67"/>
      <c r="T23" s="67"/>
    </row>
    <row r="24" ht="16.8" spans="1:20">
      <c r="A24" s="67"/>
      <c r="B24" s="14" t="s">
        <v>38</v>
      </c>
      <c r="C24" s="28">
        <f t="shared" ref="C24:O24" si="16">IFERROR(1-C21/C16,0)</f>
        <v>0.485518276050191</v>
      </c>
      <c r="D24" s="28">
        <f t="shared" si="16"/>
        <v>0.487597904026476</v>
      </c>
      <c r="E24" s="28">
        <f t="shared" si="16"/>
        <v>0.460769018743109</v>
      </c>
      <c r="F24" s="28">
        <f t="shared" si="16"/>
        <v>0.459378151260504</v>
      </c>
      <c r="G24" s="28">
        <f t="shared" si="16"/>
        <v>0.51567481402763</v>
      </c>
      <c r="H24" s="28">
        <f t="shared" si="16"/>
        <v>0.508398032438181</v>
      </c>
      <c r="I24" s="28">
        <f t="shared" si="16"/>
        <v>0.54397486937049</v>
      </c>
      <c r="J24" s="28">
        <f t="shared" si="16"/>
        <v>0.545154652032926</v>
      </c>
      <c r="K24" s="28">
        <f t="shared" si="16"/>
        <v>0.552585863613738</v>
      </c>
      <c r="L24" s="28">
        <f t="shared" si="16"/>
        <v>0.559400401404917</v>
      </c>
      <c r="M24" s="28">
        <f t="shared" si="16"/>
        <v>0.56897284385215</v>
      </c>
      <c r="N24" s="28">
        <f t="shared" si="16"/>
        <v>0.572991845056065</v>
      </c>
      <c r="O24" s="28">
        <f t="shared" si="16"/>
        <v>0.530845892190978</v>
      </c>
      <c r="P24" s="29"/>
      <c r="Q24" s="6"/>
      <c r="R24" s="67"/>
      <c r="S24" s="67"/>
      <c r="T24" s="67"/>
    </row>
    <row r="25" ht="16.8" spans="1:20">
      <c r="A25" s="67"/>
      <c r="B25" s="67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29"/>
      <c r="Q25" s="6"/>
      <c r="R25" s="67"/>
      <c r="S25" s="67"/>
      <c r="T25" s="67"/>
    </row>
    <row r="26" ht="16.8" spans="1:20">
      <c r="A26" s="67"/>
      <c r="B26" s="17" t="s">
        <v>39</v>
      </c>
      <c r="C26" s="18">
        <f t="shared" ref="C26:N26" si="17">SUM(C27:C31)</f>
        <v>26398.9893967715</v>
      </c>
      <c r="D26" s="18">
        <f t="shared" si="17"/>
        <v>92722.6480217526</v>
      </c>
      <c r="E26" s="18">
        <f t="shared" si="17"/>
        <v>165140.241091659</v>
      </c>
      <c r="F26" s="18">
        <f t="shared" si="17"/>
        <v>92760.0612784449</v>
      </c>
      <c r="G26" s="18">
        <f t="shared" si="17"/>
        <v>400875.676453837</v>
      </c>
      <c r="H26" s="18">
        <f t="shared" si="17"/>
        <v>235653.630832826</v>
      </c>
      <c r="I26" s="18">
        <f t="shared" si="17"/>
        <v>43068.8718856706</v>
      </c>
      <c r="J26" s="18">
        <f t="shared" si="17"/>
        <v>73907.7627086443</v>
      </c>
      <c r="K26" s="18">
        <f t="shared" si="17"/>
        <v>59381.3169203902</v>
      </c>
      <c r="L26" s="18">
        <f t="shared" si="17"/>
        <v>211180.950939841</v>
      </c>
      <c r="M26" s="18">
        <f t="shared" si="17"/>
        <v>84153.6938728701</v>
      </c>
      <c r="N26" s="18">
        <f t="shared" si="17"/>
        <v>49457.2614996684</v>
      </c>
      <c r="O26" s="18">
        <f t="shared" ref="O26:O31" si="18">SUM(C26:N26)</f>
        <v>1534701.10490238</v>
      </c>
      <c r="P26" s="23">
        <f t="shared" ref="P26:P31" si="19">O26/$O$16</f>
        <v>0.0569968220100931</v>
      </c>
      <c r="Q26" s="6"/>
      <c r="R26" s="67"/>
      <c r="S26" s="67"/>
      <c r="T26" s="67"/>
    </row>
    <row r="27" ht="16.8" spans="1:20">
      <c r="A27" s="5"/>
      <c r="B27" s="4" t="s">
        <v>40</v>
      </c>
      <c r="C27" s="30">
        <v>0</v>
      </c>
      <c r="D27" s="30">
        <v>0</v>
      </c>
      <c r="E27" s="30">
        <v>4512.02844512731</v>
      </c>
      <c r="F27" s="30">
        <v>3770.73419831077</v>
      </c>
      <c r="G27" s="30">
        <v>7985.57124410034</v>
      </c>
      <c r="H27" s="30">
        <v>7141.01911614624</v>
      </c>
      <c r="I27" s="30">
        <v>4581.79488145432</v>
      </c>
      <c r="J27" s="30">
        <v>6263.36972107155</v>
      </c>
      <c r="K27" s="30">
        <v>5032.3149932534</v>
      </c>
      <c r="L27" s="30">
        <v>8447.23803759363</v>
      </c>
      <c r="M27" s="30">
        <v>6473.36106714385</v>
      </c>
      <c r="N27" s="30">
        <v>0</v>
      </c>
      <c r="O27" s="5">
        <f t="shared" si="18"/>
        <v>54207.4317042014</v>
      </c>
      <c r="P27" s="29">
        <f t="shared" si="19"/>
        <v>0.00201319418263218</v>
      </c>
      <c r="Q27" s="4"/>
      <c r="R27" s="67"/>
      <c r="S27" s="67"/>
      <c r="T27" s="67"/>
    </row>
    <row r="28" ht="16.8" spans="1:20">
      <c r="A28" s="5"/>
      <c r="B28" s="4" t="s">
        <v>41</v>
      </c>
      <c r="C28" s="30">
        <v>0</v>
      </c>
      <c r="D28" s="30">
        <v>0</v>
      </c>
      <c r="E28" s="30">
        <v>0</v>
      </c>
      <c r="F28" s="30">
        <v>4524.88103797292</v>
      </c>
      <c r="G28" s="30">
        <v>47913.4274646021</v>
      </c>
      <c r="H28" s="30">
        <v>22851.261171668</v>
      </c>
      <c r="I28" s="30">
        <v>0</v>
      </c>
      <c r="J28" s="30">
        <v>7516.04366528586</v>
      </c>
      <c r="K28" s="30">
        <v>16103.4079784109</v>
      </c>
      <c r="L28" s="30">
        <v>10136.6856451124</v>
      </c>
      <c r="M28" s="30">
        <v>7768.03328057262</v>
      </c>
      <c r="N28" s="30">
        <v>0</v>
      </c>
      <c r="O28" s="5">
        <f t="shared" si="18"/>
        <v>116813.740243625</v>
      </c>
      <c r="P28" s="29">
        <f t="shared" si="19"/>
        <v>0.00433831183135992</v>
      </c>
      <c r="Q28" s="4"/>
      <c r="R28" s="67"/>
      <c r="S28" s="67"/>
      <c r="T28" s="67"/>
    </row>
    <row r="29" ht="16.8" spans="1:20">
      <c r="A29" s="5"/>
      <c r="B29" s="4" t="s">
        <v>42</v>
      </c>
      <c r="C29" s="30">
        <v>2199.9157830643</v>
      </c>
      <c r="D29" s="30">
        <v>1783.12784657217</v>
      </c>
      <c r="E29" s="30">
        <v>1804.81137805092</v>
      </c>
      <c r="F29" s="30">
        <v>7541.46839662154</v>
      </c>
      <c r="G29" s="30">
        <v>47913.4274646021</v>
      </c>
      <c r="H29" s="30">
        <v>31420.4841110434</v>
      </c>
      <c r="I29" s="30">
        <v>0</v>
      </c>
      <c r="J29" s="30">
        <v>7516.04366528586</v>
      </c>
      <c r="K29" s="30">
        <v>16103.4079784109</v>
      </c>
      <c r="L29" s="30">
        <v>16894.4760751873</v>
      </c>
      <c r="M29" s="30">
        <v>12946.7221342877</v>
      </c>
      <c r="N29" s="30">
        <v>2248.05734089402</v>
      </c>
      <c r="O29" s="5">
        <f t="shared" si="18"/>
        <v>148371.94217402</v>
      </c>
      <c r="P29" s="29">
        <f t="shared" si="19"/>
        <v>0.0055103427972852</v>
      </c>
      <c r="Q29" s="6"/>
      <c r="R29" s="67"/>
      <c r="S29" s="67"/>
      <c r="T29" s="67"/>
    </row>
    <row r="30" ht="16.8" spans="1:20">
      <c r="A30" s="5"/>
      <c r="B30" s="4" t="s">
        <v>43</v>
      </c>
      <c r="C30" s="30">
        <v>2199.9157830643</v>
      </c>
      <c r="D30" s="30">
        <v>1783.12784657217</v>
      </c>
      <c r="E30" s="30">
        <v>14438.4910244074</v>
      </c>
      <c r="F30" s="30">
        <v>1508.29367932431</v>
      </c>
      <c r="G30" s="30">
        <v>9582.68549292041</v>
      </c>
      <c r="H30" s="30">
        <v>2856.40764645849</v>
      </c>
      <c r="I30" s="30">
        <v>1832.71795258173</v>
      </c>
      <c r="J30" s="30">
        <v>2505.34788842862</v>
      </c>
      <c r="K30" s="30">
        <v>2012.92599730136</v>
      </c>
      <c r="L30" s="30">
        <v>6757.79043007491</v>
      </c>
      <c r="M30" s="30">
        <v>5178.68885371508</v>
      </c>
      <c r="N30" s="30">
        <v>2248.05734089402</v>
      </c>
      <c r="O30" s="5">
        <f t="shared" si="18"/>
        <v>52904.4499357428</v>
      </c>
      <c r="P30" s="29">
        <f t="shared" si="19"/>
        <v>0.00196480311827313</v>
      </c>
      <c r="Q30" s="6"/>
      <c r="R30" s="67"/>
      <c r="S30" s="67"/>
      <c r="T30" s="67"/>
    </row>
    <row r="31" ht="16.8" collapsed="1" spans="1:20">
      <c r="A31" s="5"/>
      <c r="B31" s="4" t="s">
        <v>44</v>
      </c>
      <c r="C31" s="30">
        <v>21999.157830643</v>
      </c>
      <c r="D31" s="30">
        <v>89156.3923286083</v>
      </c>
      <c r="E31" s="30">
        <v>144384.910244074</v>
      </c>
      <c r="F31" s="30">
        <v>75414.6839662154</v>
      </c>
      <c r="G31" s="30">
        <v>287480.564787612</v>
      </c>
      <c r="H31" s="30">
        <v>171384.45878751</v>
      </c>
      <c r="I31" s="30">
        <v>36654.3590516345</v>
      </c>
      <c r="J31" s="30">
        <v>50106.9577685724</v>
      </c>
      <c r="K31" s="30">
        <v>20129.2599730136</v>
      </c>
      <c r="L31" s="30">
        <v>168944.760751873</v>
      </c>
      <c r="M31" s="30">
        <v>51786.8885371508</v>
      </c>
      <c r="N31" s="30">
        <v>44961.1468178803</v>
      </c>
      <c r="O31" s="5">
        <f t="shared" si="18"/>
        <v>1162403.54084479</v>
      </c>
      <c r="P31" s="29">
        <f t="shared" si="19"/>
        <v>0.0431701700805426</v>
      </c>
      <c r="Q31" s="6"/>
      <c r="R31" s="67"/>
      <c r="S31" s="67"/>
      <c r="T31" s="67"/>
    </row>
    <row r="32" ht="16.8" hidden="1" outlineLevel="1" spans="1:20">
      <c r="A32" s="5"/>
      <c r="B32" s="4" t="s">
        <v>45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29"/>
      <c r="Q32" s="6"/>
      <c r="R32" s="67"/>
      <c r="S32" s="67"/>
      <c r="T32" s="67"/>
    </row>
    <row r="33" ht="16.8" hidden="1" outlineLevel="1" spans="1:20">
      <c r="A33" s="5"/>
      <c r="B33" s="4" t="s">
        <v>46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29"/>
      <c r="Q33" s="6"/>
      <c r="R33" s="67"/>
      <c r="S33" s="67"/>
      <c r="T33" s="67"/>
    </row>
    <row r="34" ht="16.8" hidden="1" outlineLevel="1" spans="1:20">
      <c r="A34" s="5"/>
      <c r="B34" s="4" t="s">
        <v>47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29"/>
      <c r="Q34" s="6"/>
      <c r="R34" s="67"/>
      <c r="S34" s="67"/>
      <c r="T34" s="67"/>
    </row>
    <row r="35" ht="16.8" hidden="1" outlineLevel="1" spans="1:20">
      <c r="A35" s="5"/>
      <c r="B35" s="4" t="s">
        <v>48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29"/>
      <c r="Q35" s="6"/>
      <c r="R35" s="67"/>
      <c r="S35" s="67"/>
      <c r="T35" s="67"/>
    </row>
    <row r="36" ht="16.8" hidden="1" outlineLevel="1" spans="1:20">
      <c r="A36" s="5"/>
      <c r="B36" s="4" t="s">
        <v>49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5"/>
      <c r="P36" s="29"/>
      <c r="Q36" s="6"/>
      <c r="R36" s="67"/>
      <c r="S36" s="67"/>
      <c r="T36" s="67"/>
    </row>
    <row r="37" ht="16.8" spans="1:20">
      <c r="A37" s="67"/>
      <c r="B37" s="17" t="s">
        <v>50</v>
      </c>
      <c r="C37" s="18">
        <f t="shared" ref="C37:N37" si="20">SUM(C38:C40)</f>
        <v>72415.4086413326</v>
      </c>
      <c r="D37" s="18">
        <f t="shared" si="20"/>
        <v>59069.6046342696</v>
      </c>
      <c r="E37" s="18">
        <f t="shared" si="20"/>
        <v>75336.1324843476</v>
      </c>
      <c r="F37" s="18">
        <f t="shared" si="20"/>
        <v>65169.5525780488</v>
      </c>
      <c r="G37" s="18">
        <f t="shared" si="20"/>
        <v>119065.35622865</v>
      </c>
      <c r="H37" s="18">
        <f t="shared" si="20"/>
        <v>176252.36820158</v>
      </c>
      <c r="I37" s="18">
        <f t="shared" si="20"/>
        <v>95669.2922969452</v>
      </c>
      <c r="J37" s="18">
        <f t="shared" si="20"/>
        <v>95669.2922969452</v>
      </c>
      <c r="K37" s="18">
        <f t="shared" si="20"/>
        <v>95669.2922969452</v>
      </c>
      <c r="L37" s="18">
        <f t="shared" si="20"/>
        <v>136335.61192214</v>
      </c>
      <c r="M37" s="18">
        <f t="shared" si="20"/>
        <v>183101.879491115</v>
      </c>
      <c r="N37" s="18">
        <f t="shared" si="20"/>
        <v>157570.62479036</v>
      </c>
      <c r="O37" s="18">
        <f>SUM(C37:N37)</f>
        <v>1331324.41586268</v>
      </c>
      <c r="P37" s="23">
        <f>O37/$O$16</f>
        <v>0.0494436737721924</v>
      </c>
      <c r="Q37" s="6"/>
      <c r="R37" s="67"/>
      <c r="S37" s="67"/>
      <c r="T37" s="67"/>
    </row>
    <row r="38" ht="16.8" spans="1:20">
      <c r="A38" s="5"/>
      <c r="B38" s="4" t="s">
        <v>51</v>
      </c>
      <c r="C38" s="31">
        <v>72415.4086413326</v>
      </c>
      <c r="D38" s="31">
        <v>59069.6046342696</v>
      </c>
      <c r="E38" s="31">
        <v>75336.1324843476</v>
      </c>
      <c r="F38" s="31">
        <v>65169.5525780488</v>
      </c>
      <c r="G38" s="31">
        <v>119065.35622865</v>
      </c>
      <c r="H38" s="31">
        <v>176252.36820158</v>
      </c>
      <c r="I38" s="31">
        <v>95669.2922969452</v>
      </c>
      <c r="J38" s="31">
        <v>95669.2922969452</v>
      </c>
      <c r="K38" s="31">
        <v>95669.2922969452</v>
      </c>
      <c r="L38" s="31">
        <v>136335.61192214</v>
      </c>
      <c r="M38" s="31">
        <v>183101.879491115</v>
      </c>
      <c r="N38" s="31">
        <v>157570.62479036</v>
      </c>
      <c r="O38" s="5">
        <f>SUM(C38:N38)</f>
        <v>1331324.41586268</v>
      </c>
      <c r="P38" s="29">
        <f>O38/$O$16</f>
        <v>0.0494436737721924</v>
      </c>
      <c r="Q38" s="6" t="s">
        <v>91</v>
      </c>
      <c r="R38" s="67"/>
      <c r="S38" s="67"/>
      <c r="T38" s="67"/>
    </row>
    <row r="39" ht="16.8" spans="1:20">
      <c r="A39" s="5"/>
      <c r="B39" s="4" t="s">
        <v>53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5">
        <f>SUM(C39:N39)</f>
        <v>0</v>
      </c>
      <c r="P39" s="29">
        <f>O39/$O$16</f>
        <v>0</v>
      </c>
      <c r="Q39" s="6" t="s">
        <v>91</v>
      </c>
      <c r="R39" s="67"/>
      <c r="S39" s="67"/>
      <c r="T39" s="67"/>
    </row>
    <row r="40" ht="16.8" spans="1:20">
      <c r="A40" s="5"/>
      <c r="B40" s="4" t="s">
        <v>55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5">
        <f>SUM(C40:N40)</f>
        <v>0</v>
      </c>
      <c r="P40" s="29">
        <f>O40/$O$16</f>
        <v>0</v>
      </c>
      <c r="Q40" s="6" t="s">
        <v>91</v>
      </c>
      <c r="R40" s="67"/>
      <c r="S40" s="67"/>
      <c r="T40" s="67"/>
    </row>
    <row r="41" ht="16.8" outlineLevel="1" spans="1:20">
      <c r="A41" s="5"/>
      <c r="B41" s="4" t="s">
        <v>57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29">
        <f>O38/$O$16</f>
        <v>0.0494436737721924</v>
      </c>
      <c r="P41" s="67"/>
      <c r="Q41" s="6" t="s">
        <v>91</v>
      </c>
      <c r="R41" s="67"/>
      <c r="S41" s="67"/>
      <c r="T41" s="67"/>
    </row>
    <row r="42" ht="16.8" outlineLevel="1" spans="1:20">
      <c r="A42" s="5"/>
      <c r="B42" s="4" t="s">
        <v>58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29">
        <f>O39/$O$16</f>
        <v>0</v>
      </c>
      <c r="P42" s="67"/>
      <c r="Q42" s="6" t="s">
        <v>91</v>
      </c>
      <c r="R42" s="67"/>
      <c r="S42" s="67"/>
      <c r="T42" s="67"/>
    </row>
    <row r="43" ht="16.8" outlineLevel="1" spans="1:20">
      <c r="A43" s="5"/>
      <c r="B43" s="4" t="s">
        <v>59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29">
        <f>O40/$O$16</f>
        <v>0</v>
      </c>
      <c r="P43" s="67"/>
      <c r="Q43" s="6" t="s">
        <v>91</v>
      </c>
      <c r="R43" s="67"/>
      <c r="S43" s="67"/>
      <c r="T43" s="67"/>
    </row>
    <row r="44" ht="16.8" spans="1:20">
      <c r="A44" s="67"/>
      <c r="B44" s="17" t="s">
        <v>60</v>
      </c>
      <c r="C44" s="18">
        <f t="shared" ref="C44:N44" si="21">SUM(C45:C46)</f>
        <v>0</v>
      </c>
      <c r="D44" s="18">
        <f t="shared" si="21"/>
        <v>0</v>
      </c>
      <c r="E44" s="18">
        <f t="shared" si="21"/>
        <v>0</v>
      </c>
      <c r="F44" s="18">
        <f t="shared" si="21"/>
        <v>0</v>
      </c>
      <c r="G44" s="18">
        <f t="shared" si="21"/>
        <v>0</v>
      </c>
      <c r="H44" s="18">
        <f t="shared" si="21"/>
        <v>0</v>
      </c>
      <c r="I44" s="18">
        <f t="shared" si="21"/>
        <v>0</v>
      </c>
      <c r="J44" s="18">
        <f t="shared" si="21"/>
        <v>0</v>
      </c>
      <c r="K44" s="18">
        <f t="shared" si="21"/>
        <v>0</v>
      </c>
      <c r="L44" s="18">
        <f t="shared" si="21"/>
        <v>0</v>
      </c>
      <c r="M44" s="18">
        <f t="shared" si="21"/>
        <v>0</v>
      </c>
      <c r="N44" s="18">
        <f t="shared" si="21"/>
        <v>0</v>
      </c>
      <c r="O44" s="18">
        <f t="shared" ref="O44:O54" si="22">SUM(C44:N44)</f>
        <v>0</v>
      </c>
      <c r="P44" s="23">
        <f>O44/$O$16</f>
        <v>0</v>
      </c>
      <c r="Q44" s="6"/>
      <c r="R44" s="67"/>
      <c r="S44" s="67"/>
      <c r="T44" s="67"/>
    </row>
    <row r="45" ht="16.8" spans="1:20">
      <c r="A45" s="5"/>
      <c r="B45" s="4" t="s">
        <v>61</v>
      </c>
      <c r="C45" s="30">
        <f t="shared" ref="C45:N45" si="23">C16*$P$45</f>
        <v>0</v>
      </c>
      <c r="D45" s="30">
        <f t="shared" si="23"/>
        <v>0</v>
      </c>
      <c r="E45" s="30">
        <f t="shared" si="23"/>
        <v>0</v>
      </c>
      <c r="F45" s="30">
        <f t="shared" si="23"/>
        <v>0</v>
      </c>
      <c r="G45" s="30">
        <f t="shared" si="23"/>
        <v>0</v>
      </c>
      <c r="H45" s="30">
        <f t="shared" si="23"/>
        <v>0</v>
      </c>
      <c r="I45" s="30">
        <f t="shared" si="23"/>
        <v>0</v>
      </c>
      <c r="J45" s="30">
        <f t="shared" si="23"/>
        <v>0</v>
      </c>
      <c r="K45" s="30">
        <f t="shared" si="23"/>
        <v>0</v>
      </c>
      <c r="L45" s="30">
        <f t="shared" si="23"/>
        <v>0</v>
      </c>
      <c r="M45" s="30">
        <f t="shared" si="23"/>
        <v>0</v>
      </c>
      <c r="N45" s="30">
        <f t="shared" si="23"/>
        <v>0</v>
      </c>
      <c r="O45" s="5">
        <f t="shared" si="22"/>
        <v>0</v>
      </c>
      <c r="P45" s="29"/>
      <c r="Q45" s="6" t="s">
        <v>92</v>
      </c>
      <c r="R45" s="67"/>
      <c r="S45" s="67"/>
      <c r="T45" s="67"/>
    </row>
    <row r="46" ht="16.8" spans="1:20">
      <c r="A46" s="5"/>
      <c r="B46" s="4" t="s">
        <v>63</v>
      </c>
      <c r="C46" s="30">
        <f t="shared" ref="C46:N46" si="24">C16*$P$46</f>
        <v>0</v>
      </c>
      <c r="D46" s="30">
        <f t="shared" si="24"/>
        <v>0</v>
      </c>
      <c r="E46" s="30">
        <f t="shared" si="24"/>
        <v>0</v>
      </c>
      <c r="F46" s="30">
        <f t="shared" si="24"/>
        <v>0</v>
      </c>
      <c r="G46" s="30">
        <f t="shared" si="24"/>
        <v>0</v>
      </c>
      <c r="H46" s="30">
        <f t="shared" si="24"/>
        <v>0</v>
      </c>
      <c r="I46" s="30">
        <f t="shared" si="24"/>
        <v>0</v>
      </c>
      <c r="J46" s="30">
        <f t="shared" si="24"/>
        <v>0</v>
      </c>
      <c r="K46" s="30">
        <f t="shared" si="24"/>
        <v>0</v>
      </c>
      <c r="L46" s="30">
        <f t="shared" si="24"/>
        <v>0</v>
      </c>
      <c r="M46" s="30">
        <f t="shared" si="24"/>
        <v>0</v>
      </c>
      <c r="N46" s="30">
        <f t="shared" si="24"/>
        <v>0</v>
      </c>
      <c r="O46" s="5">
        <f t="shared" si="22"/>
        <v>0</v>
      </c>
      <c r="P46" s="23"/>
      <c r="Q46" s="4" t="s">
        <v>83</v>
      </c>
      <c r="R46" s="67"/>
      <c r="S46" s="67"/>
      <c r="T46" s="67"/>
    </row>
    <row r="47" ht="16.8" spans="1:20">
      <c r="A47" s="67"/>
      <c r="B47" s="17" t="s">
        <v>65</v>
      </c>
      <c r="C47" s="18">
        <f t="shared" ref="C47:N47" si="25">SUM(C48:C51)</f>
        <v>0</v>
      </c>
      <c r="D47" s="18">
        <f t="shared" si="25"/>
        <v>0</v>
      </c>
      <c r="E47" s="18">
        <f t="shared" si="25"/>
        <v>0</v>
      </c>
      <c r="F47" s="18">
        <f t="shared" si="25"/>
        <v>0</v>
      </c>
      <c r="G47" s="18">
        <f t="shared" si="25"/>
        <v>0</v>
      </c>
      <c r="H47" s="18">
        <f t="shared" si="25"/>
        <v>0</v>
      </c>
      <c r="I47" s="18">
        <f t="shared" si="25"/>
        <v>0</v>
      </c>
      <c r="J47" s="18">
        <f t="shared" si="25"/>
        <v>0</v>
      </c>
      <c r="K47" s="18">
        <f t="shared" si="25"/>
        <v>0</v>
      </c>
      <c r="L47" s="18">
        <f t="shared" si="25"/>
        <v>0</v>
      </c>
      <c r="M47" s="18">
        <f t="shared" si="25"/>
        <v>0</v>
      </c>
      <c r="N47" s="18">
        <f t="shared" si="25"/>
        <v>0</v>
      </c>
      <c r="O47" s="18">
        <f t="shared" si="22"/>
        <v>0</v>
      </c>
      <c r="P47" s="23">
        <f t="shared" ref="P47:P52" si="26">O47/$O$16</f>
        <v>0</v>
      </c>
      <c r="Q47" s="6"/>
      <c r="R47" s="67"/>
      <c r="S47" s="67"/>
      <c r="T47" s="67"/>
    </row>
    <row r="48" ht="16.8" spans="1:20">
      <c r="A48" s="5"/>
      <c r="B48" s="4" t="s">
        <v>66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5">
        <f t="shared" si="22"/>
        <v>0</v>
      </c>
      <c r="P48" s="29">
        <f t="shared" si="26"/>
        <v>0</v>
      </c>
      <c r="Q48" s="4" t="s">
        <v>95</v>
      </c>
      <c r="R48" s="67"/>
      <c r="S48" s="67"/>
      <c r="T48" s="67"/>
    </row>
    <row r="49" ht="16.8" spans="1:20">
      <c r="A49" s="5"/>
      <c r="B49" s="4" t="s">
        <v>67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5">
        <f t="shared" si="22"/>
        <v>0</v>
      </c>
      <c r="P49" s="29">
        <f t="shared" si="26"/>
        <v>0</v>
      </c>
      <c r="Q49" s="4" t="s">
        <v>95</v>
      </c>
      <c r="R49" s="67"/>
      <c r="S49" s="67"/>
      <c r="T49" s="67"/>
    </row>
    <row r="50" ht="16.8" spans="1:20">
      <c r="A50" s="5"/>
      <c r="B50" s="4" t="s">
        <v>68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5">
        <f t="shared" si="22"/>
        <v>0</v>
      </c>
      <c r="P50" s="29">
        <f t="shared" si="26"/>
        <v>0</v>
      </c>
      <c r="Q50" s="4" t="s">
        <v>95</v>
      </c>
      <c r="R50" s="67"/>
      <c r="S50" s="67"/>
      <c r="T50" s="67"/>
    </row>
    <row r="51" ht="16.8" spans="1:20">
      <c r="A51" s="67"/>
      <c r="B51" s="4" t="s">
        <v>69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5">
        <f t="shared" si="22"/>
        <v>0</v>
      </c>
      <c r="P51" s="29">
        <f t="shared" si="26"/>
        <v>0</v>
      </c>
      <c r="Q51" s="4" t="s">
        <v>95</v>
      </c>
      <c r="R51" s="67"/>
      <c r="S51" s="67"/>
      <c r="T51" s="67"/>
    </row>
    <row r="52" ht="16.8" spans="1:20">
      <c r="A52" s="67"/>
      <c r="B52" s="21" t="s">
        <v>70</v>
      </c>
      <c r="C52" s="22">
        <f t="shared" ref="C52:N52" si="27">SUM(C26,C37,C44,C47)</f>
        <v>98814.3980381042</v>
      </c>
      <c r="D52" s="22">
        <f t="shared" si="27"/>
        <v>151792.252656022</v>
      </c>
      <c r="E52" s="22">
        <f t="shared" si="27"/>
        <v>240476.373576007</v>
      </c>
      <c r="F52" s="22">
        <f t="shared" si="27"/>
        <v>157929.613856494</v>
      </c>
      <c r="G52" s="22">
        <f t="shared" si="27"/>
        <v>519941.032682487</v>
      </c>
      <c r="H52" s="22">
        <f t="shared" si="27"/>
        <v>411905.999034406</v>
      </c>
      <c r="I52" s="22">
        <f t="shared" si="27"/>
        <v>138738.164182616</v>
      </c>
      <c r="J52" s="22">
        <f t="shared" si="27"/>
        <v>169577.05500559</v>
      </c>
      <c r="K52" s="22">
        <f t="shared" si="27"/>
        <v>155050.609217335</v>
      </c>
      <c r="L52" s="22">
        <f t="shared" si="27"/>
        <v>347516.562861981</v>
      </c>
      <c r="M52" s="22">
        <f t="shared" si="27"/>
        <v>267255.573363985</v>
      </c>
      <c r="N52" s="22">
        <f t="shared" si="27"/>
        <v>207027.886290029</v>
      </c>
      <c r="O52" s="22">
        <f t="shared" si="22"/>
        <v>2866025.52076506</v>
      </c>
      <c r="P52" s="24">
        <f t="shared" si="26"/>
        <v>0.106440495782286</v>
      </c>
      <c r="Q52" s="6"/>
      <c r="R52" s="67"/>
      <c r="S52" s="67"/>
      <c r="T52" s="67"/>
    </row>
    <row r="53" ht="16.8" spans="1:20">
      <c r="A53" s="5"/>
      <c r="B53" s="4" t="s">
        <v>71</v>
      </c>
      <c r="C53" s="30">
        <f t="shared" ref="C53:N53" si="28">C16*$P$53</f>
        <v>38470.685840708</v>
      </c>
      <c r="D53" s="30">
        <f t="shared" si="28"/>
        <v>31380.7274619557</v>
      </c>
      <c r="E53" s="30">
        <f t="shared" si="28"/>
        <v>40022.3203823097</v>
      </c>
      <c r="F53" s="30">
        <f t="shared" si="28"/>
        <v>34621.3248070884</v>
      </c>
      <c r="G53" s="30">
        <f t="shared" si="28"/>
        <v>56225.3071079734</v>
      </c>
      <c r="H53" s="30">
        <f t="shared" si="28"/>
        <v>83230.2849840796</v>
      </c>
      <c r="I53" s="30">
        <f t="shared" si="28"/>
        <v>50824.3115327522</v>
      </c>
      <c r="J53" s="30">
        <f t="shared" si="28"/>
        <v>50824.3115327522</v>
      </c>
      <c r="K53" s="30">
        <f t="shared" si="28"/>
        <v>50824.3115327522</v>
      </c>
      <c r="L53" s="30">
        <f t="shared" si="28"/>
        <v>72428.2938336371</v>
      </c>
      <c r="M53" s="30">
        <f t="shared" si="28"/>
        <v>97272.8734796548</v>
      </c>
      <c r="N53" s="30">
        <f t="shared" si="28"/>
        <v>67027.2982584159</v>
      </c>
      <c r="O53" s="5">
        <f t="shared" si="22"/>
        <v>673152.050754079</v>
      </c>
      <c r="P53" s="29">
        <v>0.025</v>
      </c>
      <c r="Q53" s="6"/>
      <c r="R53" s="67"/>
      <c r="S53" s="67"/>
      <c r="T53" s="67"/>
    </row>
    <row r="54" ht="16.8" spans="1:20">
      <c r="A54" s="5"/>
      <c r="B54" s="4" t="s">
        <v>73</v>
      </c>
      <c r="C54" s="30">
        <f t="shared" ref="C54:N54" si="29">C16*$P$54</f>
        <v>21543.5840707965</v>
      </c>
      <c r="D54" s="30">
        <f t="shared" si="29"/>
        <v>17573.2073786952</v>
      </c>
      <c r="E54" s="30">
        <f t="shared" si="29"/>
        <v>22412.4994140934</v>
      </c>
      <c r="F54" s="30">
        <f t="shared" si="29"/>
        <v>19387.9418919695</v>
      </c>
      <c r="G54" s="30">
        <f t="shared" si="29"/>
        <v>31486.1719804651</v>
      </c>
      <c r="H54" s="30">
        <f t="shared" si="29"/>
        <v>46608.9595910846</v>
      </c>
      <c r="I54" s="30">
        <f t="shared" si="29"/>
        <v>28461.6144583412</v>
      </c>
      <c r="J54" s="30">
        <f t="shared" si="29"/>
        <v>28461.6144583412</v>
      </c>
      <c r="K54" s="30">
        <f t="shared" si="29"/>
        <v>28461.6144583412</v>
      </c>
      <c r="L54" s="30">
        <f t="shared" si="29"/>
        <v>40559.8445468368</v>
      </c>
      <c r="M54" s="30">
        <f t="shared" si="29"/>
        <v>54472.8091486067</v>
      </c>
      <c r="N54" s="30">
        <f t="shared" si="29"/>
        <v>37535.2870247129</v>
      </c>
      <c r="O54" s="5">
        <f t="shared" si="22"/>
        <v>376965.148422284</v>
      </c>
      <c r="P54" s="29">
        <v>0.014</v>
      </c>
      <c r="Q54" s="6"/>
      <c r="R54" s="67"/>
      <c r="S54" s="67"/>
      <c r="T54" s="67"/>
    </row>
    <row r="55" ht="16.8" spans="1:20">
      <c r="A55" s="5"/>
      <c r="B55" s="4" t="s">
        <v>75</v>
      </c>
      <c r="C55" s="30">
        <v>142690.896748648</v>
      </c>
      <c r="D55" s="30">
        <v>93307.1870106089</v>
      </c>
      <c r="E55" s="30">
        <v>72778.8792598833</v>
      </c>
      <c r="F55" s="30">
        <v>112002.564317714</v>
      </c>
      <c r="G55" s="30">
        <v>96187.4869852521</v>
      </c>
      <c r="H55" s="30">
        <v>67385.9728693602</v>
      </c>
      <c r="I55" s="30">
        <v>93887.3257366577</v>
      </c>
      <c r="J55" s="30">
        <v>72636.1911993384</v>
      </c>
      <c r="K55" s="30">
        <v>100088.077497885</v>
      </c>
      <c r="L55" s="30">
        <v>79002.1855938615</v>
      </c>
      <c r="M55" s="30">
        <v>69196.6863835347</v>
      </c>
      <c r="N55" s="30">
        <v>67513.6020385177</v>
      </c>
      <c r="O55" s="5"/>
      <c r="P55" s="29">
        <v>0.03</v>
      </c>
      <c r="Q55" s="6"/>
      <c r="R55" s="67"/>
      <c r="S55" s="67"/>
      <c r="T55" s="67"/>
    </row>
    <row r="56" ht="16.8" spans="1:20">
      <c r="A56" s="5"/>
      <c r="B56" s="4" t="s">
        <v>77</v>
      </c>
      <c r="C56" s="30">
        <f t="shared" ref="C56:N56" si="30">C16*$P$56</f>
        <v>0</v>
      </c>
      <c r="D56" s="30">
        <f t="shared" si="30"/>
        <v>0</v>
      </c>
      <c r="E56" s="30">
        <f t="shared" si="30"/>
        <v>0</v>
      </c>
      <c r="F56" s="30">
        <f t="shared" si="30"/>
        <v>0</v>
      </c>
      <c r="G56" s="30">
        <f t="shared" si="30"/>
        <v>0</v>
      </c>
      <c r="H56" s="30">
        <f t="shared" si="30"/>
        <v>0</v>
      </c>
      <c r="I56" s="30">
        <f t="shared" si="30"/>
        <v>0</v>
      </c>
      <c r="J56" s="30">
        <f t="shared" si="30"/>
        <v>0</v>
      </c>
      <c r="K56" s="30">
        <f t="shared" si="30"/>
        <v>0</v>
      </c>
      <c r="L56" s="30">
        <f t="shared" si="30"/>
        <v>0</v>
      </c>
      <c r="M56" s="30">
        <f t="shared" si="30"/>
        <v>0</v>
      </c>
      <c r="N56" s="30">
        <f t="shared" si="30"/>
        <v>0</v>
      </c>
      <c r="O56" s="5">
        <f>SUM(C56:N56)</f>
        <v>0</v>
      </c>
      <c r="P56" s="29"/>
      <c r="Q56" s="6"/>
      <c r="R56" s="67"/>
      <c r="S56" s="67"/>
      <c r="T56" s="67"/>
    </row>
    <row r="57" ht="16.8" spans="1:20">
      <c r="A57" s="5"/>
      <c r="B57" s="4" t="s">
        <v>79</v>
      </c>
      <c r="C57" s="30">
        <v>16883.1805936727</v>
      </c>
      <c r="E57" s="30"/>
      <c r="F57" s="30"/>
      <c r="G57" s="30">
        <v>6753.27223746907</v>
      </c>
      <c r="H57" s="30"/>
      <c r="I57" s="30"/>
      <c r="J57" s="30"/>
      <c r="K57" s="30"/>
      <c r="L57" s="30">
        <v>6753.27223746907</v>
      </c>
      <c r="M57" s="30"/>
      <c r="N57" s="30">
        <v>20259.8167124072</v>
      </c>
      <c r="O57" s="5">
        <f>SUM(C57:N57)</f>
        <v>50649.541781018</v>
      </c>
      <c r="P57" s="29">
        <f>O57/$O$16</f>
        <v>0.00188105873421463</v>
      </c>
      <c r="Q57" s="4"/>
      <c r="R57" s="67"/>
      <c r="S57" s="67"/>
      <c r="T57" s="67"/>
    </row>
    <row r="58" ht="16.8" spans="1:20">
      <c r="A58" s="67"/>
      <c r="B58" s="21" t="s">
        <v>80</v>
      </c>
      <c r="C58" s="22">
        <f t="shared" ref="C58:N58" si="31">SUM(C53:C57)</f>
        <v>219588.347253826</v>
      </c>
      <c r="D58" s="22">
        <f t="shared" si="31"/>
        <v>142261.12185126</v>
      </c>
      <c r="E58" s="22">
        <f t="shared" si="31"/>
        <v>135213.699056286</v>
      </c>
      <c r="F58" s="22">
        <f t="shared" si="31"/>
        <v>166011.831016772</v>
      </c>
      <c r="G58" s="22">
        <f t="shared" si="31"/>
        <v>190652.23831116</v>
      </c>
      <c r="H58" s="22">
        <f t="shared" si="31"/>
        <v>197225.217444524</v>
      </c>
      <c r="I58" s="22">
        <f t="shared" si="31"/>
        <v>173173.251727751</v>
      </c>
      <c r="J58" s="22">
        <f t="shared" si="31"/>
        <v>151922.117190432</v>
      </c>
      <c r="K58" s="22">
        <f t="shared" si="31"/>
        <v>179374.003488979</v>
      </c>
      <c r="L58" s="22">
        <f t="shared" si="31"/>
        <v>198743.596211805</v>
      </c>
      <c r="M58" s="22">
        <f t="shared" si="31"/>
        <v>220942.369011796</v>
      </c>
      <c r="N58" s="22">
        <f t="shared" si="31"/>
        <v>192336.004034054</v>
      </c>
      <c r="O58" s="22">
        <f>SUM(C58:N58)</f>
        <v>2167443.79659864</v>
      </c>
      <c r="P58" s="24">
        <f>O58/$O$16</f>
        <v>0.0804960704706547</v>
      </c>
      <c r="Q58" s="6"/>
      <c r="R58" s="67"/>
      <c r="S58" s="67"/>
      <c r="T58" s="67"/>
    </row>
    <row r="59" ht="16.8" spans="1:20">
      <c r="A59" s="7"/>
      <c r="B59" s="12" t="s">
        <v>81</v>
      </c>
      <c r="C59" s="13">
        <f t="shared" ref="C59:N59" si="32">SUM(C52,C58)</f>
        <v>318402.74529193</v>
      </c>
      <c r="D59" s="13">
        <f t="shared" si="32"/>
        <v>294053.374507282</v>
      </c>
      <c r="E59" s="13">
        <f t="shared" si="32"/>
        <v>375690.072632293</v>
      </c>
      <c r="F59" s="13">
        <f t="shared" si="32"/>
        <v>323941.444873266</v>
      </c>
      <c r="G59" s="13">
        <f t="shared" si="32"/>
        <v>710593.270993646</v>
      </c>
      <c r="H59" s="13">
        <f t="shared" si="32"/>
        <v>609131.216478931</v>
      </c>
      <c r="I59" s="13">
        <f t="shared" si="32"/>
        <v>311911.415910367</v>
      </c>
      <c r="J59" s="13">
        <f t="shared" si="32"/>
        <v>321499.172196021</v>
      </c>
      <c r="K59" s="13">
        <f t="shared" si="32"/>
        <v>334424.612706314</v>
      </c>
      <c r="L59" s="13">
        <f t="shared" si="32"/>
        <v>546260.159073786</v>
      </c>
      <c r="M59" s="13">
        <f t="shared" si="32"/>
        <v>488197.942375781</v>
      </c>
      <c r="N59" s="13">
        <f t="shared" si="32"/>
        <v>399363.890324082</v>
      </c>
      <c r="O59" s="13">
        <f>SUM(C59:N59)</f>
        <v>5033469.3173637</v>
      </c>
      <c r="P59" s="27">
        <f>O59/$O$16</f>
        <v>0.18693656625294</v>
      </c>
      <c r="Q59" s="32"/>
      <c r="R59" s="33"/>
      <c r="S59" s="67"/>
      <c r="T59" s="67"/>
    </row>
    <row r="60" ht="16.8" spans="1:20">
      <c r="A60" s="7"/>
      <c r="B60" s="12" t="s">
        <v>82</v>
      </c>
      <c r="C60" s="13">
        <f t="shared" ref="C60:N60" si="33">C22-C59</f>
        <v>428726.097422031</v>
      </c>
      <c r="D60" s="13">
        <f t="shared" si="33"/>
        <v>317993.702983744</v>
      </c>
      <c r="E60" s="13">
        <f t="shared" si="33"/>
        <v>361951.738982873</v>
      </c>
      <c r="F60" s="13">
        <f t="shared" si="33"/>
        <v>312229.762489523</v>
      </c>
      <c r="G60" s="13">
        <f t="shared" si="33"/>
        <v>449165.720468377</v>
      </c>
      <c r="H60" s="13">
        <f t="shared" si="33"/>
        <v>1083433.30852808</v>
      </c>
      <c r="I60" s="13">
        <f t="shared" si="33"/>
        <v>793974.513164592</v>
      </c>
      <c r="J60" s="13">
        <f t="shared" si="33"/>
        <v>786785.222542</v>
      </c>
      <c r="K60" s="13">
        <f t="shared" si="33"/>
        <v>788967.230529667</v>
      </c>
      <c r="L60" s="13">
        <f t="shared" si="33"/>
        <v>1074396.50667061</v>
      </c>
      <c r="M60" s="13">
        <f t="shared" si="33"/>
        <v>1725626.9957598</v>
      </c>
      <c r="N60" s="13">
        <f t="shared" si="33"/>
        <v>1136879.92160443</v>
      </c>
      <c r="O60" s="13">
        <f>SUM(C60:N60)</f>
        <v>9260130.72114573</v>
      </c>
      <c r="P60" s="27">
        <f>O60/$O$16</f>
        <v>0.343909325938038</v>
      </c>
      <c r="Q60" s="32"/>
      <c r="R60" s="34"/>
      <c r="S60" s="67"/>
      <c r="T60" s="67"/>
    </row>
    <row r="61" spans="1:20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"/>
      <c r="R61" s="67"/>
      <c r="S61" s="67"/>
      <c r="T61" s="67"/>
    </row>
    <row r="62" spans="1:20">
      <c r="A62" s="67"/>
      <c r="B62" s="61" t="s">
        <v>117</v>
      </c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35"/>
      <c r="P62" s="67"/>
      <c r="Q62" s="6"/>
      <c r="R62" s="67"/>
      <c r="S62" s="67"/>
      <c r="T62" s="67"/>
    </row>
    <row r="63" ht="16.8" spans="1:20">
      <c r="A63" s="67"/>
      <c r="B63" s="63" t="s">
        <v>118</v>
      </c>
      <c r="C63" s="63">
        <v>366.6</v>
      </c>
      <c r="D63" s="63">
        <v>362.6</v>
      </c>
      <c r="E63" s="63">
        <v>362.8</v>
      </c>
      <c r="F63" s="63">
        <v>357</v>
      </c>
      <c r="G63" s="63">
        <v>376.4</v>
      </c>
      <c r="H63" s="63">
        <v>376.1</v>
      </c>
      <c r="I63" s="63">
        <v>401.9</v>
      </c>
      <c r="J63" s="63">
        <v>400.9</v>
      </c>
      <c r="K63" s="63">
        <v>401.8</v>
      </c>
      <c r="L63" s="63">
        <v>398.6</v>
      </c>
      <c r="M63" s="63">
        <v>397.7</v>
      </c>
      <c r="N63" s="63">
        <v>392.4</v>
      </c>
      <c r="O63" s="67"/>
      <c r="P63" s="67"/>
      <c r="Q63" s="6"/>
      <c r="R63" s="67"/>
      <c r="S63" s="67"/>
      <c r="T63" s="67"/>
    </row>
    <row r="64" ht="16.8" spans="1:20">
      <c r="A64" s="67"/>
      <c r="B64" s="63" t="s">
        <v>119</v>
      </c>
      <c r="C64" s="63">
        <v>158.8</v>
      </c>
      <c r="D64" s="63">
        <v>156.4</v>
      </c>
      <c r="E64" s="63">
        <v>165.1</v>
      </c>
      <c r="F64" s="63">
        <v>162.9</v>
      </c>
      <c r="G64" s="63">
        <v>153</v>
      </c>
      <c r="H64" s="63">
        <v>155.3</v>
      </c>
      <c r="I64" s="63">
        <v>153.3</v>
      </c>
      <c r="J64" s="63">
        <v>152.5</v>
      </c>
      <c r="K64" s="63">
        <v>150.2</v>
      </c>
      <c r="L64" s="63">
        <v>146.6</v>
      </c>
      <c r="M64" s="63">
        <v>142.9</v>
      </c>
      <c r="N64" s="63">
        <v>139.6</v>
      </c>
      <c r="O64" s="67"/>
      <c r="P64" s="67"/>
      <c r="Q64" s="6"/>
      <c r="R64" s="67"/>
      <c r="S64" s="67"/>
      <c r="T64" s="67"/>
    </row>
    <row r="65" spans="1:20">
      <c r="A65" s="67"/>
      <c r="B65" s="61" t="s">
        <v>16</v>
      </c>
      <c r="C65" s="64">
        <f t="shared" ref="C65:N65" si="34">C8/C63</f>
        <v>4743.24877250409</v>
      </c>
      <c r="D65" s="64">
        <f t="shared" si="34"/>
        <v>3911.77297650413</v>
      </c>
      <c r="E65" s="64">
        <f t="shared" si="34"/>
        <v>4986.24278191951</v>
      </c>
      <c r="F65" s="64">
        <f t="shared" si="34"/>
        <v>4383.42823888067</v>
      </c>
      <c r="G65" s="64">
        <f t="shared" si="34"/>
        <v>6751.81690031987</v>
      </c>
      <c r="H65" s="64">
        <f t="shared" si="34"/>
        <v>10002.6824814687</v>
      </c>
      <c r="I65" s="64">
        <f t="shared" si="34"/>
        <v>5715.99622115053</v>
      </c>
      <c r="J65" s="64">
        <f t="shared" si="34"/>
        <v>5730.25413140533</v>
      </c>
      <c r="K65" s="64">
        <f t="shared" si="34"/>
        <v>5717.41881851766</v>
      </c>
      <c r="L65" s="64">
        <f t="shared" si="34"/>
        <v>8213.14320441645</v>
      </c>
      <c r="M65" s="64">
        <f t="shared" si="34"/>
        <v>11055.4032720151</v>
      </c>
      <c r="N65" s="64">
        <f t="shared" si="34"/>
        <v>7720.77951396635</v>
      </c>
      <c r="O65" s="67"/>
      <c r="P65" s="67"/>
      <c r="Q65" s="6"/>
      <c r="R65" s="67"/>
      <c r="S65" s="67"/>
      <c r="T65" s="67"/>
    </row>
    <row r="66" spans="1:20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"/>
      <c r="R66" s="67"/>
      <c r="S66" s="67"/>
      <c r="T66" s="67"/>
    </row>
    <row r="67" spans="1:20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"/>
      <c r="R67" s="67"/>
      <c r="S67" s="67"/>
      <c r="T67" s="67"/>
    </row>
    <row r="68" spans="1:20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"/>
      <c r="R68" s="67"/>
      <c r="S68" s="67"/>
      <c r="T68" s="67"/>
    </row>
    <row r="69" spans="1:20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"/>
      <c r="R69" s="67"/>
      <c r="S69" s="67"/>
      <c r="T69" s="67"/>
    </row>
    <row r="70" spans="1:20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"/>
      <c r="R70" s="67"/>
      <c r="S70" s="67"/>
      <c r="T70" s="67"/>
    </row>
    <row r="71" spans="1:20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"/>
      <c r="R71" s="67"/>
      <c r="S71" s="67"/>
      <c r="T71" s="67"/>
    </row>
    <row r="72" spans="1:20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"/>
      <c r="R72" s="67"/>
      <c r="S72" s="67"/>
      <c r="T72" s="67"/>
    </row>
    <row r="73" spans="1:20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"/>
      <c r="R73" s="67"/>
      <c r="S73" s="67"/>
      <c r="T73" s="67"/>
    </row>
    <row r="74" spans="1:20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"/>
      <c r="R74" s="67"/>
      <c r="S74" s="67"/>
      <c r="T74" s="67"/>
    </row>
    <row r="75" spans="1:20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"/>
      <c r="R75" s="67"/>
      <c r="S75" s="67"/>
      <c r="T75" s="67"/>
    </row>
    <row r="76" spans="1:20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"/>
      <c r="R76" s="67"/>
      <c r="S76" s="67"/>
      <c r="T76" s="67"/>
    </row>
    <row r="77" spans="1:20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"/>
      <c r="R77" s="67"/>
      <c r="S77" s="67"/>
      <c r="T77" s="67"/>
    </row>
    <row r="78" spans="1:20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"/>
      <c r="R78" s="67"/>
      <c r="S78" s="67"/>
      <c r="T78" s="67"/>
    </row>
    <row r="79" spans="1:20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"/>
      <c r="R79" s="67"/>
      <c r="S79" s="67"/>
      <c r="T79" s="67"/>
    </row>
    <row r="80" spans="1:20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"/>
      <c r="R80" s="67"/>
      <c r="S80" s="67"/>
      <c r="T80" s="67"/>
    </row>
    <row r="81" spans="1:20">
      <c r="A81" s="67"/>
      <c r="B81" s="67"/>
      <c r="C81" s="35">
        <f t="shared" ref="C81:O81" si="35">C16-C18-C20-C26-C37-C44-C47-C58-C60</f>
        <v>0</v>
      </c>
      <c r="D81" s="35">
        <f t="shared" si="35"/>
        <v>0</v>
      </c>
      <c r="E81" s="35">
        <f t="shared" si="35"/>
        <v>0</v>
      </c>
      <c r="F81" s="35">
        <f t="shared" si="35"/>
        <v>0</v>
      </c>
      <c r="G81" s="35">
        <f t="shared" si="35"/>
        <v>0</v>
      </c>
      <c r="H81" s="35">
        <f t="shared" si="35"/>
        <v>0</v>
      </c>
      <c r="I81" s="35">
        <f t="shared" si="35"/>
        <v>0</v>
      </c>
      <c r="J81" s="35">
        <f t="shared" si="35"/>
        <v>0</v>
      </c>
      <c r="K81" s="35">
        <f t="shared" si="35"/>
        <v>0</v>
      </c>
      <c r="L81" s="35">
        <f t="shared" si="35"/>
        <v>0</v>
      </c>
      <c r="M81" s="35">
        <f t="shared" si="35"/>
        <v>0</v>
      </c>
      <c r="N81" s="35">
        <f t="shared" si="35"/>
        <v>0</v>
      </c>
      <c r="O81" s="35">
        <f t="shared" si="35"/>
        <v>0</v>
      </c>
      <c r="P81" s="67"/>
      <c r="Q81" s="6"/>
      <c r="R81" s="67"/>
      <c r="S81" s="67"/>
      <c r="T81" s="67"/>
    </row>
    <row r="82" spans="1:20">
      <c r="A82" s="67"/>
      <c r="B82" s="67"/>
      <c r="C82" s="53">
        <f t="shared" ref="C82:O82" si="36">C10-C11-C12-C13-C15</f>
        <v>0</v>
      </c>
      <c r="D82" s="53">
        <f t="shared" si="36"/>
        <v>0</v>
      </c>
      <c r="E82" s="53">
        <f t="shared" si="36"/>
        <v>0</v>
      </c>
      <c r="F82" s="53">
        <f t="shared" si="36"/>
        <v>0</v>
      </c>
      <c r="G82" s="53">
        <f t="shared" si="36"/>
        <v>0</v>
      </c>
      <c r="H82" s="53">
        <f t="shared" si="36"/>
        <v>0</v>
      </c>
      <c r="I82" s="53">
        <f t="shared" si="36"/>
        <v>0</v>
      </c>
      <c r="J82" s="53">
        <f t="shared" si="36"/>
        <v>0</v>
      </c>
      <c r="K82" s="53">
        <f t="shared" si="36"/>
        <v>0</v>
      </c>
      <c r="L82" s="53">
        <f t="shared" si="36"/>
        <v>0</v>
      </c>
      <c r="M82" s="53">
        <f t="shared" si="36"/>
        <v>0</v>
      </c>
      <c r="N82" s="53">
        <f t="shared" si="36"/>
        <v>0</v>
      </c>
      <c r="O82" s="53">
        <f t="shared" si="36"/>
        <v>-135223.419062898</v>
      </c>
      <c r="P82" s="67"/>
      <c r="Q82" s="6"/>
      <c r="R82" s="67"/>
      <c r="S82" s="67"/>
      <c r="T82" s="67"/>
    </row>
    <row r="83" spans="1:20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"/>
      <c r="R83" s="67"/>
      <c r="S83" s="67"/>
      <c r="T83" s="67"/>
    </row>
    <row r="84" spans="1:20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"/>
      <c r="R84" s="67"/>
      <c r="S84" s="67"/>
      <c r="T84" s="67"/>
    </row>
    <row r="85" spans="1:20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"/>
      <c r="R85" s="67"/>
      <c r="S85" s="67"/>
      <c r="T85" s="67"/>
    </row>
    <row r="86" spans="1:20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"/>
      <c r="R86" s="67"/>
      <c r="S86" s="67"/>
      <c r="T86" s="67"/>
    </row>
    <row r="87" spans="1:20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"/>
      <c r="R87" s="67"/>
      <c r="S87" s="67"/>
      <c r="T87" s="67"/>
    </row>
    <row r="88" spans="1:20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"/>
      <c r="R88" s="67"/>
      <c r="S88" s="67"/>
      <c r="T88" s="67"/>
    </row>
    <row r="89" spans="1:20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"/>
      <c r="R89" s="67"/>
      <c r="S89" s="67"/>
      <c r="T89" s="67"/>
    </row>
    <row r="90" spans="1:20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"/>
      <c r="R90" s="67"/>
      <c r="S90" s="67"/>
      <c r="T90" s="67"/>
    </row>
    <row r="91" spans="1:20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"/>
      <c r="R91" s="67"/>
      <c r="S91" s="67"/>
      <c r="T91" s="67"/>
    </row>
    <row r="92" spans="1:20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"/>
      <c r="R92" s="67"/>
      <c r="S92" s="67"/>
      <c r="T92" s="67"/>
    </row>
    <row r="93" spans="1:20">
      <c r="A93" s="67"/>
      <c r="B93" s="6" t="s">
        <v>120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7"/>
      <c r="P93" s="67"/>
      <c r="Q93" s="6"/>
      <c r="R93" s="67"/>
      <c r="S93" s="67"/>
      <c r="T93" s="67"/>
    </row>
    <row r="94" ht="16.8" spans="1:20">
      <c r="A94" s="67"/>
      <c r="B94" s="17" t="s">
        <v>39</v>
      </c>
      <c r="C94" s="37">
        <f t="shared" ref="C94:N94" si="37">SUM(C95:C99)</f>
        <v>0</v>
      </c>
      <c r="D94" s="37">
        <f t="shared" si="37"/>
        <v>0</v>
      </c>
      <c r="E94" s="37">
        <f t="shared" si="37"/>
        <v>0</v>
      </c>
      <c r="F94" s="37">
        <f t="shared" si="37"/>
        <v>0</v>
      </c>
      <c r="G94" s="37">
        <f t="shared" si="37"/>
        <v>0</v>
      </c>
      <c r="H94" s="37">
        <f t="shared" si="37"/>
        <v>0</v>
      </c>
      <c r="I94" s="37">
        <f t="shared" si="37"/>
        <v>0</v>
      </c>
      <c r="J94" s="37">
        <f t="shared" si="37"/>
        <v>0</v>
      </c>
      <c r="K94" s="37">
        <f t="shared" si="37"/>
        <v>0</v>
      </c>
      <c r="L94" s="37">
        <f t="shared" si="37"/>
        <v>0</v>
      </c>
      <c r="M94" s="37">
        <f t="shared" si="37"/>
        <v>0</v>
      </c>
      <c r="N94" s="37">
        <f t="shared" si="37"/>
        <v>0</v>
      </c>
      <c r="O94" s="67"/>
      <c r="P94" s="67"/>
      <c r="Q94" s="6"/>
      <c r="R94" s="67"/>
      <c r="S94" s="67"/>
      <c r="T94" s="67"/>
    </row>
    <row r="95" ht="16.8" spans="1:20">
      <c r="A95" s="67"/>
      <c r="B95" s="4" t="s">
        <v>40</v>
      </c>
      <c r="C95" s="45">
        <f>'线下门店-小计'!C27*(C15/('26年全渠道汇总'!C15-'线下门店-小计'!C15))</f>
        <v>0</v>
      </c>
      <c r="D95" s="45">
        <f>'线下门店-小计'!D27*(D15/('26年全渠道汇总'!D15-'线下门店-小计'!D15))</f>
        <v>0</v>
      </c>
      <c r="E95" s="45">
        <f>'线下门店-小计'!E27*(E15/('26年全渠道汇总'!E15-'线下门店-小计'!E15))</f>
        <v>0</v>
      </c>
      <c r="F95" s="45">
        <f>'线下门店-小计'!F27*(F15/('26年全渠道汇总'!F15-'线下门店-小计'!F15))</f>
        <v>0</v>
      </c>
      <c r="G95" s="45">
        <f>'线下门店-小计'!G27*(G15/('26年全渠道汇总'!G15-'线下门店-小计'!G15))</f>
        <v>0</v>
      </c>
      <c r="H95" s="45">
        <f>'线下门店-小计'!H27*(H15/('26年全渠道汇总'!H15-'线下门店-小计'!H15))</f>
        <v>0</v>
      </c>
      <c r="I95" s="45">
        <f>'线下门店-小计'!I27*(I15/('26年全渠道汇总'!I15-'线下门店-小计'!I15))</f>
        <v>0</v>
      </c>
      <c r="J95" s="45">
        <f>'线下门店-小计'!J27*(J15/('26年全渠道汇总'!J15-'线下门店-小计'!J15))</f>
        <v>0</v>
      </c>
      <c r="K95" s="45">
        <f>'线下门店-小计'!K27*(K15/('26年全渠道汇总'!K15-'线下门店-小计'!K15))</f>
        <v>0</v>
      </c>
      <c r="L95" s="45">
        <f>'线下门店-小计'!L27*(L15/('26年全渠道汇总'!L15-'线下门店-小计'!L15))</f>
        <v>0</v>
      </c>
      <c r="M95" s="45">
        <f>'线下门店-小计'!M27*(M15/('26年全渠道汇总'!M15-'线下门店-小计'!M15))</f>
        <v>0</v>
      </c>
      <c r="N95" s="45">
        <f>'线下门店-小计'!N27*(N15/('26年全渠道汇总'!N15-'线下门店-小计'!N15))</f>
        <v>0</v>
      </c>
      <c r="O95" s="67"/>
      <c r="P95" s="67"/>
      <c r="Q95" s="6"/>
      <c r="R95" s="67"/>
      <c r="S95" s="67"/>
      <c r="T95" s="67"/>
    </row>
    <row r="96" ht="16.8" spans="1:20">
      <c r="A96" s="67"/>
      <c r="B96" s="4" t="s">
        <v>41</v>
      </c>
      <c r="C96" s="45">
        <f>'线下门店-小计'!C28*(C15/('26年全渠道汇总'!C15-'线下门店-小计'!C15))</f>
        <v>0</v>
      </c>
      <c r="D96" s="45">
        <f>'线下门店-小计'!D28*(D15/('26年全渠道汇总'!D15-'线下门店-小计'!D15))</f>
        <v>0</v>
      </c>
      <c r="E96" s="45">
        <f>'线下门店-小计'!E28*(E15/('26年全渠道汇总'!E15-'线下门店-小计'!E15))</f>
        <v>0</v>
      </c>
      <c r="F96" s="45">
        <f>'线下门店-小计'!F28*(F15/('26年全渠道汇总'!F15-'线下门店-小计'!F15))</f>
        <v>0</v>
      </c>
      <c r="G96" s="45">
        <f>'线下门店-小计'!G28*(G15/('26年全渠道汇总'!G15-'线下门店-小计'!G15))</f>
        <v>0</v>
      </c>
      <c r="H96" s="45">
        <f>'线下门店-小计'!H28*(H15/('26年全渠道汇总'!H15-'线下门店-小计'!H15))</f>
        <v>0</v>
      </c>
      <c r="I96" s="45">
        <f>'线下门店-小计'!I28*(I15/('26年全渠道汇总'!I15-'线下门店-小计'!I15))</f>
        <v>0</v>
      </c>
      <c r="J96" s="45">
        <f>'线下门店-小计'!J28*(J15/('26年全渠道汇总'!J15-'线下门店-小计'!J15))</f>
        <v>0</v>
      </c>
      <c r="K96" s="45">
        <f>'线下门店-小计'!K28*(K15/('26年全渠道汇总'!K15-'线下门店-小计'!K15))</f>
        <v>0</v>
      </c>
      <c r="L96" s="45">
        <f>'线下门店-小计'!L28*(L15/('26年全渠道汇总'!L15-'线下门店-小计'!L15))</f>
        <v>0</v>
      </c>
      <c r="M96" s="45">
        <f>'线下门店-小计'!M28*(M15/('26年全渠道汇总'!M15-'线下门店-小计'!M15))</f>
        <v>0</v>
      </c>
      <c r="N96" s="45">
        <f>'线下门店-小计'!N28*(N15/('26年全渠道汇总'!N15-'线下门店-小计'!N15))</f>
        <v>0</v>
      </c>
      <c r="O96" s="67"/>
      <c r="P96" s="67"/>
      <c r="Q96" s="6"/>
      <c r="R96" s="67"/>
      <c r="S96" s="67"/>
      <c r="T96" s="67"/>
    </row>
    <row r="97" ht="16.8" spans="1:20">
      <c r="A97" s="67"/>
      <c r="B97" s="4" t="s">
        <v>42</v>
      </c>
      <c r="C97" s="45">
        <f>'线下门店-小计'!C29*(C15/('26年全渠道汇总'!C15-'线下门店-小计'!C15))</f>
        <v>0</v>
      </c>
      <c r="D97" s="45">
        <f>'线下门店-小计'!D29*(D15/('26年全渠道汇总'!D15-'线下门店-小计'!D15))</f>
        <v>0</v>
      </c>
      <c r="E97" s="45">
        <f>'线下门店-小计'!E29*(E15/('26年全渠道汇总'!E15-'线下门店-小计'!E15))</f>
        <v>0</v>
      </c>
      <c r="F97" s="45">
        <f>'线下门店-小计'!F29*(F15/('26年全渠道汇总'!F15-'线下门店-小计'!F15))</f>
        <v>0</v>
      </c>
      <c r="G97" s="45">
        <f>'线下门店-小计'!G29*(G15/('26年全渠道汇总'!G15-'线下门店-小计'!G15))</f>
        <v>0</v>
      </c>
      <c r="H97" s="45">
        <f>'线下门店-小计'!H29*(H15/('26年全渠道汇总'!H15-'线下门店-小计'!H15))</f>
        <v>0</v>
      </c>
      <c r="I97" s="45">
        <f>'线下门店-小计'!I29*(I15/('26年全渠道汇总'!I15-'线下门店-小计'!I15))</f>
        <v>0</v>
      </c>
      <c r="J97" s="45">
        <f>'线下门店-小计'!J29*(J15/('26年全渠道汇总'!J15-'线下门店-小计'!J15))</f>
        <v>0</v>
      </c>
      <c r="K97" s="45">
        <f>'线下门店-小计'!K29*(K15/('26年全渠道汇总'!K15-'线下门店-小计'!K15))</f>
        <v>0</v>
      </c>
      <c r="L97" s="45">
        <f>'线下门店-小计'!L29*(L15/('26年全渠道汇总'!L15-'线下门店-小计'!L15))</f>
        <v>0</v>
      </c>
      <c r="M97" s="45">
        <f>'线下门店-小计'!M29*(M15/('26年全渠道汇总'!M15-'线下门店-小计'!M15))</f>
        <v>0</v>
      </c>
      <c r="N97" s="45">
        <f>'线下门店-小计'!N29*(N15/('26年全渠道汇总'!N15-'线下门店-小计'!N15))</f>
        <v>0</v>
      </c>
      <c r="O97" s="67"/>
      <c r="P97" s="67"/>
      <c r="Q97" s="6"/>
      <c r="R97" s="67"/>
      <c r="S97" s="67"/>
      <c r="T97" s="67"/>
    </row>
    <row r="98" ht="16.8" spans="1:20">
      <c r="A98" s="67"/>
      <c r="B98" s="4" t="s">
        <v>43</v>
      </c>
      <c r="C98" s="45">
        <f>'线下门店-小计'!C30*(C15/('26年全渠道汇总'!C15-'线下门店-小计'!C15))</f>
        <v>0</v>
      </c>
      <c r="D98" s="45">
        <f>'线下门店-小计'!D30*(D15/('26年全渠道汇总'!D15-'线下门店-小计'!D15))</f>
        <v>0</v>
      </c>
      <c r="E98" s="45">
        <f>'线下门店-小计'!E30*(E15/('26年全渠道汇总'!E15-'线下门店-小计'!E15))</f>
        <v>0</v>
      </c>
      <c r="F98" s="45">
        <f>'线下门店-小计'!F30*(F15/('26年全渠道汇总'!F15-'线下门店-小计'!F15))</f>
        <v>0</v>
      </c>
      <c r="G98" s="45">
        <f>'线下门店-小计'!G30*(G15/('26年全渠道汇总'!G15-'线下门店-小计'!G15))</f>
        <v>0</v>
      </c>
      <c r="H98" s="45">
        <f>'线下门店-小计'!H30*(H15/('26年全渠道汇总'!H15-'线下门店-小计'!H15))</f>
        <v>0</v>
      </c>
      <c r="I98" s="45">
        <f>'线下门店-小计'!I30*(I15/('26年全渠道汇总'!I15-'线下门店-小计'!I15))</f>
        <v>0</v>
      </c>
      <c r="J98" s="45">
        <f>'线下门店-小计'!J30*(J15/('26年全渠道汇总'!J15-'线下门店-小计'!J15))</f>
        <v>0</v>
      </c>
      <c r="K98" s="45">
        <f>'线下门店-小计'!K30*(K15/('26年全渠道汇总'!K15-'线下门店-小计'!K15))</f>
        <v>0</v>
      </c>
      <c r="L98" s="45">
        <f>'线下门店-小计'!L30*(L15/('26年全渠道汇总'!L15-'线下门店-小计'!L15))</f>
        <v>0</v>
      </c>
      <c r="M98" s="45">
        <f>'线下门店-小计'!M30*(M15/('26年全渠道汇总'!M15-'线下门店-小计'!M15))</f>
        <v>0</v>
      </c>
      <c r="N98" s="45">
        <f>'线下门店-小计'!N30*(N15/('26年全渠道汇总'!N15-'线下门店-小计'!N15))</f>
        <v>0</v>
      </c>
      <c r="O98" s="67"/>
      <c r="P98" s="67"/>
      <c r="Q98" s="6"/>
      <c r="R98" s="67"/>
      <c r="S98" s="67"/>
      <c r="T98" s="67"/>
    </row>
    <row r="99" ht="16.8" spans="1:20">
      <c r="A99" s="67"/>
      <c r="B99" s="4" t="s">
        <v>44</v>
      </c>
      <c r="C99" s="45">
        <f>'线下门店-小计'!C31*(C15/('26年全渠道汇总'!C15-'线下门店-小计'!C15))</f>
        <v>0</v>
      </c>
      <c r="D99" s="45">
        <f>'线下门店-小计'!D31*(D15/('26年全渠道汇总'!D15-'线下门店-小计'!D15))</f>
        <v>0</v>
      </c>
      <c r="E99" s="45">
        <f>'线下门店-小计'!E31*(E15/('26年全渠道汇总'!E15-'线下门店-小计'!E15))</f>
        <v>0</v>
      </c>
      <c r="F99" s="45">
        <f>'线下门店-小计'!F31*(F15/('26年全渠道汇总'!F15-'线下门店-小计'!F15))</f>
        <v>0</v>
      </c>
      <c r="G99" s="45">
        <f>'线下门店-小计'!G31*(G15/('26年全渠道汇总'!G15-'线下门店-小计'!G15))</f>
        <v>0</v>
      </c>
      <c r="H99" s="45">
        <f>'线下门店-小计'!H31*(H15/('26年全渠道汇总'!H15-'线下门店-小计'!H15))</f>
        <v>0</v>
      </c>
      <c r="I99" s="45">
        <f>'线下门店-小计'!I31*(I15/('26年全渠道汇总'!I15-'线下门店-小计'!I15))</f>
        <v>0</v>
      </c>
      <c r="J99" s="45">
        <f>'线下门店-小计'!J31*(J15/('26年全渠道汇总'!J15-'线下门店-小计'!J15))</f>
        <v>0</v>
      </c>
      <c r="K99" s="45">
        <f>'线下门店-小计'!K31*(K15/('26年全渠道汇总'!K15-'线下门店-小计'!K15))</f>
        <v>0</v>
      </c>
      <c r="L99" s="45">
        <f>'线下门店-小计'!L31*(L15/('26年全渠道汇总'!L15-'线下门店-小计'!L15))</f>
        <v>0</v>
      </c>
      <c r="M99" s="45">
        <f>'线下门店-小计'!M31*(M15/('26年全渠道汇总'!M15-'线下门店-小计'!M15))</f>
        <v>0</v>
      </c>
      <c r="N99" s="45">
        <f>'线下门店-小计'!N31*(N15/('26年全渠道汇总'!N15-'线下门店-小计'!N15))</f>
        <v>0</v>
      </c>
      <c r="O99" s="67"/>
      <c r="P99" s="67"/>
      <c r="Q99" s="6"/>
      <c r="R99" s="67"/>
      <c r="S99" s="67"/>
      <c r="T99" s="67"/>
    </row>
    <row r="100" spans="1:20">
      <c r="A100" s="67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7"/>
      <c r="P100" s="67"/>
      <c r="Q100" s="6"/>
      <c r="R100" s="67"/>
      <c r="S100" s="67"/>
      <c r="T100" s="67"/>
    </row>
    <row r="101" spans="1:20">
      <c r="A101" s="67"/>
      <c r="B101" s="6" t="s">
        <v>121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7"/>
      <c r="P101" s="67"/>
      <c r="Q101" s="6"/>
      <c r="R101" s="67"/>
      <c r="S101" s="67"/>
      <c r="T101" s="67"/>
    </row>
    <row r="102" ht="16.8" spans="1:20">
      <c r="A102" s="67"/>
      <c r="B102" s="17" t="s">
        <v>39</v>
      </c>
      <c r="C102" s="37">
        <f t="shared" ref="C102:N102" si="38">SUM(C103:C107)</f>
        <v>26398.9893967715</v>
      </c>
      <c r="D102" s="37">
        <f t="shared" si="38"/>
        <v>92722.6480217526</v>
      </c>
      <c r="E102" s="37">
        <f t="shared" si="38"/>
        <v>165140.241091659</v>
      </c>
      <c r="F102" s="37">
        <f t="shared" si="38"/>
        <v>92760.0612784449</v>
      </c>
      <c r="G102" s="37">
        <f t="shared" si="38"/>
        <v>400875.676453837</v>
      </c>
      <c r="H102" s="37">
        <f t="shared" si="38"/>
        <v>235653.630832826</v>
      </c>
      <c r="I102" s="37">
        <f t="shared" si="38"/>
        <v>43068.8718856706</v>
      </c>
      <c r="J102" s="37">
        <f t="shared" si="38"/>
        <v>73907.7627086443</v>
      </c>
      <c r="K102" s="37">
        <f t="shared" si="38"/>
        <v>59381.3169203902</v>
      </c>
      <c r="L102" s="37">
        <f t="shared" si="38"/>
        <v>211180.950939841</v>
      </c>
      <c r="M102" s="37">
        <f t="shared" si="38"/>
        <v>84153.6938728701</v>
      </c>
      <c r="N102" s="37">
        <f t="shared" si="38"/>
        <v>49457.2614996684</v>
      </c>
      <c r="O102" s="67"/>
      <c r="P102" s="67"/>
      <c r="Q102" s="6"/>
      <c r="R102" s="67"/>
      <c r="S102" s="67"/>
      <c r="T102" s="67"/>
    </row>
    <row r="103" ht="16.8" spans="1:20">
      <c r="A103" s="67"/>
      <c r="B103" s="4" t="s">
        <v>40</v>
      </c>
      <c r="C103" s="45">
        <f t="shared" ref="C103:N103" si="39">C95+C27</f>
        <v>0</v>
      </c>
      <c r="D103" s="45">
        <f t="shared" si="39"/>
        <v>0</v>
      </c>
      <c r="E103" s="45">
        <f t="shared" si="39"/>
        <v>4512.02844512731</v>
      </c>
      <c r="F103" s="45">
        <f t="shared" si="39"/>
        <v>3770.73419831077</v>
      </c>
      <c r="G103" s="45">
        <f t="shared" si="39"/>
        <v>7985.57124410034</v>
      </c>
      <c r="H103" s="45">
        <f t="shared" si="39"/>
        <v>7141.01911614624</v>
      </c>
      <c r="I103" s="45">
        <f t="shared" si="39"/>
        <v>4581.79488145432</v>
      </c>
      <c r="J103" s="45">
        <f t="shared" si="39"/>
        <v>6263.36972107155</v>
      </c>
      <c r="K103" s="45">
        <f t="shared" si="39"/>
        <v>5032.3149932534</v>
      </c>
      <c r="L103" s="45">
        <f t="shared" si="39"/>
        <v>8447.23803759363</v>
      </c>
      <c r="M103" s="45">
        <f t="shared" si="39"/>
        <v>6473.36106714385</v>
      </c>
      <c r="N103" s="45">
        <f t="shared" si="39"/>
        <v>0</v>
      </c>
      <c r="O103" s="67"/>
      <c r="P103" s="67"/>
      <c r="Q103" s="6"/>
      <c r="R103" s="67"/>
      <c r="S103" s="67"/>
      <c r="T103" s="67"/>
    </row>
    <row r="104" ht="16.8" spans="1:20">
      <c r="A104" s="67"/>
      <c r="B104" s="4" t="s">
        <v>41</v>
      </c>
      <c r="C104" s="45">
        <f t="shared" ref="C104:N104" si="40">C96+C28</f>
        <v>0</v>
      </c>
      <c r="D104" s="45">
        <f t="shared" si="40"/>
        <v>0</v>
      </c>
      <c r="E104" s="45">
        <f t="shared" si="40"/>
        <v>0</v>
      </c>
      <c r="F104" s="45">
        <f t="shared" si="40"/>
        <v>4524.88103797292</v>
      </c>
      <c r="G104" s="45">
        <f t="shared" si="40"/>
        <v>47913.4274646021</v>
      </c>
      <c r="H104" s="45">
        <f t="shared" si="40"/>
        <v>22851.261171668</v>
      </c>
      <c r="I104" s="45">
        <f t="shared" si="40"/>
        <v>0</v>
      </c>
      <c r="J104" s="45">
        <f t="shared" si="40"/>
        <v>7516.04366528586</v>
      </c>
      <c r="K104" s="45">
        <f t="shared" si="40"/>
        <v>16103.4079784109</v>
      </c>
      <c r="L104" s="45">
        <f t="shared" si="40"/>
        <v>10136.6856451124</v>
      </c>
      <c r="M104" s="45">
        <f t="shared" si="40"/>
        <v>7768.03328057262</v>
      </c>
      <c r="N104" s="45">
        <f t="shared" si="40"/>
        <v>0</v>
      </c>
      <c r="O104" s="67"/>
      <c r="P104" s="67"/>
      <c r="Q104" s="6"/>
      <c r="R104" s="67"/>
      <c r="S104" s="67"/>
      <c r="T104" s="67"/>
    </row>
    <row r="105" ht="16.8" spans="1:20">
      <c r="A105" s="67"/>
      <c r="B105" s="4" t="s">
        <v>42</v>
      </c>
      <c r="C105" s="45">
        <f t="shared" ref="C105:N105" si="41">C97+C29</f>
        <v>2199.9157830643</v>
      </c>
      <c r="D105" s="45">
        <f t="shared" si="41"/>
        <v>1783.12784657217</v>
      </c>
      <c r="E105" s="45">
        <f t="shared" si="41"/>
        <v>1804.81137805092</v>
      </c>
      <c r="F105" s="45">
        <f t="shared" si="41"/>
        <v>7541.46839662154</v>
      </c>
      <c r="G105" s="45">
        <f t="shared" si="41"/>
        <v>47913.4274646021</v>
      </c>
      <c r="H105" s="45">
        <f t="shared" si="41"/>
        <v>31420.4841110434</v>
      </c>
      <c r="I105" s="45">
        <f t="shared" si="41"/>
        <v>0</v>
      </c>
      <c r="J105" s="45">
        <f t="shared" si="41"/>
        <v>7516.04366528586</v>
      </c>
      <c r="K105" s="45">
        <f t="shared" si="41"/>
        <v>16103.4079784109</v>
      </c>
      <c r="L105" s="45">
        <f t="shared" si="41"/>
        <v>16894.4760751873</v>
      </c>
      <c r="M105" s="45">
        <f t="shared" si="41"/>
        <v>12946.7221342877</v>
      </c>
      <c r="N105" s="45">
        <f t="shared" si="41"/>
        <v>2248.05734089402</v>
      </c>
      <c r="O105" s="67"/>
      <c r="P105" s="67"/>
      <c r="Q105" s="6"/>
      <c r="R105" s="67"/>
      <c r="S105" s="67"/>
      <c r="T105" s="67"/>
    </row>
    <row r="106" ht="16.8" spans="1:20">
      <c r="A106" s="67"/>
      <c r="B106" s="4" t="s">
        <v>43</v>
      </c>
      <c r="C106" s="45">
        <f t="shared" ref="C106:N106" si="42">C98+C30</f>
        <v>2199.9157830643</v>
      </c>
      <c r="D106" s="45">
        <f t="shared" si="42"/>
        <v>1783.12784657217</v>
      </c>
      <c r="E106" s="45">
        <f t="shared" si="42"/>
        <v>14438.4910244074</v>
      </c>
      <c r="F106" s="45">
        <f t="shared" si="42"/>
        <v>1508.29367932431</v>
      </c>
      <c r="G106" s="45">
        <f t="shared" si="42"/>
        <v>9582.68549292041</v>
      </c>
      <c r="H106" s="45">
        <f t="shared" si="42"/>
        <v>2856.40764645849</v>
      </c>
      <c r="I106" s="45">
        <f t="shared" si="42"/>
        <v>1832.71795258173</v>
      </c>
      <c r="J106" s="45">
        <f t="shared" si="42"/>
        <v>2505.34788842862</v>
      </c>
      <c r="K106" s="45">
        <f t="shared" si="42"/>
        <v>2012.92599730136</v>
      </c>
      <c r="L106" s="45">
        <f t="shared" si="42"/>
        <v>6757.79043007491</v>
      </c>
      <c r="M106" s="45">
        <f t="shared" si="42"/>
        <v>5178.68885371508</v>
      </c>
      <c r="N106" s="45">
        <f t="shared" si="42"/>
        <v>2248.05734089402</v>
      </c>
      <c r="O106" s="67"/>
      <c r="P106" s="67"/>
      <c r="Q106" s="6"/>
      <c r="R106" s="67"/>
      <c r="S106" s="67"/>
      <c r="T106" s="67"/>
    </row>
    <row r="107" ht="16.8" spans="1:20">
      <c r="A107" s="67"/>
      <c r="B107" s="4" t="s">
        <v>44</v>
      </c>
      <c r="C107" s="45">
        <f t="shared" ref="C107:N107" si="43">C99+C31</f>
        <v>21999.157830643</v>
      </c>
      <c r="D107" s="45">
        <f t="shared" si="43"/>
        <v>89156.3923286083</v>
      </c>
      <c r="E107" s="45">
        <f t="shared" si="43"/>
        <v>144384.910244074</v>
      </c>
      <c r="F107" s="45">
        <f t="shared" si="43"/>
        <v>75414.6839662154</v>
      </c>
      <c r="G107" s="45">
        <f t="shared" si="43"/>
        <v>287480.564787612</v>
      </c>
      <c r="H107" s="45">
        <f t="shared" si="43"/>
        <v>171384.45878751</v>
      </c>
      <c r="I107" s="45">
        <f t="shared" si="43"/>
        <v>36654.3590516345</v>
      </c>
      <c r="J107" s="45">
        <f t="shared" si="43"/>
        <v>50106.9577685724</v>
      </c>
      <c r="K107" s="45">
        <f t="shared" si="43"/>
        <v>20129.2599730136</v>
      </c>
      <c r="L107" s="45">
        <f t="shared" si="43"/>
        <v>168944.760751873</v>
      </c>
      <c r="M107" s="45">
        <f t="shared" si="43"/>
        <v>51786.8885371508</v>
      </c>
      <c r="N107" s="45">
        <f t="shared" si="43"/>
        <v>44961.1468178803</v>
      </c>
      <c r="O107" s="67"/>
      <c r="P107" s="67"/>
      <c r="Q107" s="6"/>
      <c r="R107" s="67"/>
      <c r="S107" s="67"/>
      <c r="T107" s="67"/>
    </row>
    <row r="108" spans="1:20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"/>
      <c r="R108" s="67"/>
      <c r="S108" s="67"/>
      <c r="T108" s="67"/>
    </row>
    <row r="109" spans="1:20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"/>
      <c r="R109" s="67"/>
      <c r="S109" s="67"/>
      <c r="T109" s="67"/>
    </row>
    <row r="110" spans="1:20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"/>
      <c r="R110" s="67"/>
      <c r="S110" s="67"/>
      <c r="T110" s="67"/>
    </row>
    <row r="111" spans="1:20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"/>
      <c r="R111" s="67"/>
      <c r="S111" s="67"/>
      <c r="T111" s="67"/>
    </row>
    <row r="112" spans="1:20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"/>
      <c r="R112" s="67"/>
      <c r="S112" s="67"/>
      <c r="T112" s="67"/>
    </row>
    <row r="113" spans="1:20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"/>
      <c r="R113" s="67"/>
      <c r="S113" s="67"/>
      <c r="T113" s="67"/>
    </row>
    <row r="114" spans="1:20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"/>
      <c r="R114" s="67"/>
      <c r="S114" s="67"/>
      <c r="T114" s="67"/>
    </row>
    <row r="115" spans="1:20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"/>
      <c r="R115" s="67"/>
      <c r="S115" s="67"/>
      <c r="T115" s="67"/>
    </row>
    <row r="116" spans="1:20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"/>
      <c r="R116" s="67"/>
      <c r="S116" s="67"/>
      <c r="T116" s="67"/>
    </row>
    <row r="117" spans="1:20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"/>
      <c r="R117" s="67"/>
      <c r="S117" s="67"/>
      <c r="T117" s="67"/>
    </row>
    <row r="118" spans="1:20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"/>
      <c r="R118" s="67"/>
      <c r="S118" s="67"/>
      <c r="T118" s="67"/>
    </row>
    <row r="119" spans="1:20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"/>
      <c r="R119" s="67"/>
      <c r="S119" s="67"/>
      <c r="T119" s="67"/>
    </row>
    <row r="120" spans="1:20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"/>
      <c r="R120" s="67"/>
      <c r="S120" s="67"/>
      <c r="T120" s="67"/>
    </row>
    <row r="121" spans="1:20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"/>
      <c r="R121" s="67"/>
      <c r="S121" s="67"/>
      <c r="T121" s="67"/>
    </row>
    <row r="122" spans="1:20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"/>
      <c r="R122" s="67"/>
      <c r="S122" s="67"/>
      <c r="T122" s="67"/>
    </row>
    <row r="123" spans="1:20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"/>
      <c r="R123" s="67"/>
      <c r="S123" s="67"/>
      <c r="T123" s="67"/>
    </row>
    <row r="124" spans="1:20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"/>
      <c r="R124" s="67"/>
      <c r="S124" s="67"/>
      <c r="T124" s="67"/>
    </row>
    <row r="125" spans="1:20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"/>
      <c r="R125" s="67"/>
      <c r="S125" s="67"/>
      <c r="T125" s="67"/>
    </row>
    <row r="126" spans="1:20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"/>
      <c r="R126" s="67"/>
      <c r="S126" s="67"/>
      <c r="T126" s="67"/>
    </row>
    <row r="127" spans="1:20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"/>
      <c r="R127" s="67"/>
      <c r="S127" s="67"/>
      <c r="T127" s="67"/>
    </row>
    <row r="128" spans="1:20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"/>
      <c r="R128" s="67"/>
      <c r="S128" s="67"/>
      <c r="T128" s="67"/>
    </row>
    <row r="129" spans="1:20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"/>
      <c r="R129" s="67"/>
      <c r="S129" s="67"/>
      <c r="T129" s="67"/>
    </row>
    <row r="130" spans="1:20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"/>
      <c r="R130" s="67"/>
      <c r="S130" s="67"/>
      <c r="T130" s="67"/>
    </row>
    <row r="131" spans="1:20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"/>
      <c r="R131" s="67"/>
      <c r="S131" s="67"/>
      <c r="T131" s="67"/>
    </row>
    <row r="132" spans="1:20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"/>
      <c r="R132" s="67"/>
      <c r="S132" s="67"/>
      <c r="T132" s="67"/>
    </row>
    <row r="133" spans="1:20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"/>
      <c r="R133" s="67"/>
      <c r="S133" s="67"/>
      <c r="T133" s="67"/>
    </row>
    <row r="134" spans="1:20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"/>
      <c r="R134" s="67"/>
      <c r="S134" s="67"/>
      <c r="T134" s="67"/>
    </row>
    <row r="135" spans="1:20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"/>
      <c r="R135" s="67"/>
      <c r="S135" s="67"/>
      <c r="T135" s="67"/>
    </row>
    <row r="136" spans="1:20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"/>
      <c r="R136" s="67"/>
      <c r="S136" s="67"/>
      <c r="T136" s="67"/>
    </row>
    <row r="137" spans="1:20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"/>
      <c r="R137" s="67"/>
      <c r="S137" s="67"/>
      <c r="T137" s="67"/>
    </row>
    <row r="138" spans="1:20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"/>
      <c r="R138" s="67"/>
      <c r="S138" s="67"/>
      <c r="T138" s="67"/>
    </row>
    <row r="139" spans="1:20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"/>
      <c r="R139" s="67"/>
      <c r="S139" s="67"/>
      <c r="T139" s="67"/>
    </row>
    <row r="140" spans="1:20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"/>
      <c r="R140" s="67"/>
      <c r="S140" s="67"/>
      <c r="T140" s="67"/>
    </row>
    <row r="141" spans="1:20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"/>
      <c r="R141" s="67"/>
      <c r="S141" s="67"/>
      <c r="T141" s="67"/>
    </row>
    <row r="142" spans="1:20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"/>
      <c r="R142" s="67"/>
      <c r="S142" s="67"/>
      <c r="T142" s="67"/>
    </row>
    <row r="143" spans="1:20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"/>
      <c r="R143" s="67"/>
      <c r="S143" s="67"/>
      <c r="T143" s="67"/>
    </row>
    <row r="144" spans="1:20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"/>
      <c r="R144" s="67"/>
      <c r="S144" s="67"/>
      <c r="T144" s="67"/>
    </row>
    <row r="145" spans="1:20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"/>
      <c r="R145" s="67"/>
      <c r="S145" s="67"/>
      <c r="T145" s="67"/>
    </row>
    <row r="146" spans="1:20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"/>
      <c r="R146" s="67"/>
      <c r="S146" s="67"/>
      <c r="T146" s="67"/>
    </row>
    <row r="147" spans="1:20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"/>
      <c r="R147" s="67"/>
      <c r="S147" s="67"/>
      <c r="T147" s="67"/>
    </row>
    <row r="148" spans="1:20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"/>
      <c r="R148" s="67"/>
      <c r="S148" s="67"/>
      <c r="T148" s="67"/>
    </row>
    <row r="149" spans="1:20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"/>
      <c r="R149" s="67"/>
      <c r="S149" s="67"/>
      <c r="T149" s="67"/>
    </row>
    <row r="150" spans="1:20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"/>
      <c r="R150" s="67"/>
      <c r="S150" s="67"/>
      <c r="T150" s="67"/>
    </row>
    <row r="151" spans="1:20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"/>
      <c r="R151" s="67"/>
      <c r="S151" s="67"/>
      <c r="T151" s="67"/>
    </row>
    <row r="152" spans="1:20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"/>
      <c r="R152" s="67"/>
      <c r="S152" s="67"/>
      <c r="T152" s="67"/>
    </row>
    <row r="153" spans="1:20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"/>
      <c r="R153" s="67"/>
      <c r="S153" s="67"/>
      <c r="T153" s="67"/>
    </row>
    <row r="154" spans="1:20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"/>
      <c r="R154" s="67"/>
      <c r="S154" s="67"/>
      <c r="T154" s="67"/>
    </row>
    <row r="155" spans="1:20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"/>
      <c r="R155" s="67"/>
      <c r="S155" s="67"/>
      <c r="T155" s="67"/>
    </row>
    <row r="156" spans="1:20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"/>
      <c r="R156" s="67"/>
      <c r="S156" s="67"/>
      <c r="T156" s="67"/>
    </row>
    <row r="157" spans="1:20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"/>
      <c r="R157" s="67"/>
      <c r="S157" s="67"/>
      <c r="T157" s="67"/>
    </row>
    <row r="158" spans="1:20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"/>
      <c r="R158" s="67"/>
      <c r="S158" s="67"/>
      <c r="T158" s="67"/>
    </row>
    <row r="159" spans="1:20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"/>
      <c r="R159" s="67"/>
      <c r="S159" s="67"/>
      <c r="T159" s="67"/>
    </row>
    <row r="160" spans="1:2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"/>
      <c r="R160" s="67"/>
      <c r="S160" s="67"/>
      <c r="T160" s="67"/>
    </row>
    <row r="161" spans="1:20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"/>
      <c r="R161" s="67"/>
      <c r="S161" s="67"/>
      <c r="T161" s="67"/>
    </row>
    <row r="162" spans="1:20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"/>
      <c r="R162" s="67"/>
      <c r="S162" s="67"/>
      <c r="T162" s="67"/>
    </row>
    <row r="163" spans="1:20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"/>
      <c r="R163" s="67"/>
      <c r="S163" s="67"/>
      <c r="T163" s="67"/>
    </row>
    <row r="164" spans="1:20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"/>
      <c r="R164" s="67"/>
      <c r="S164" s="67"/>
      <c r="T164" s="67"/>
    </row>
    <row r="165" spans="1:20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"/>
      <c r="R165" s="67"/>
      <c r="S165" s="67"/>
      <c r="T165" s="67"/>
    </row>
    <row r="166" spans="1:20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"/>
      <c r="R166" s="67"/>
      <c r="S166" s="67"/>
      <c r="T166" s="67"/>
    </row>
    <row r="167" spans="1:20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"/>
      <c r="R167" s="67"/>
      <c r="S167" s="67"/>
      <c r="T167" s="67"/>
    </row>
    <row r="168" spans="1:20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"/>
      <c r="R168" s="67"/>
      <c r="S168" s="67"/>
      <c r="T168" s="67"/>
    </row>
    <row r="169" spans="1:20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"/>
      <c r="R169" s="67"/>
      <c r="S169" s="67"/>
      <c r="T169" s="67"/>
    </row>
    <row r="170" spans="1:2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"/>
      <c r="R170" s="67"/>
      <c r="S170" s="67"/>
      <c r="T170" s="67"/>
    </row>
    <row r="171" spans="1:20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"/>
      <c r="R171" s="67"/>
      <c r="S171" s="67"/>
      <c r="T171" s="67"/>
    </row>
    <row r="172" spans="1:20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"/>
      <c r="R172" s="67"/>
      <c r="S172" s="67"/>
      <c r="T172" s="67"/>
    </row>
    <row r="173" spans="1:20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"/>
      <c r="R173" s="67"/>
      <c r="S173" s="67"/>
      <c r="T173" s="67"/>
    </row>
    <row r="174" spans="1:20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"/>
      <c r="R174" s="67"/>
      <c r="S174" s="67"/>
      <c r="T174" s="67"/>
    </row>
    <row r="175" spans="1:20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"/>
      <c r="R175" s="67"/>
      <c r="S175" s="67"/>
      <c r="T175" s="67"/>
    </row>
    <row r="176" spans="1:20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"/>
      <c r="R176" s="67"/>
      <c r="S176" s="67"/>
      <c r="T176" s="67"/>
    </row>
    <row r="177" spans="1:20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"/>
      <c r="R177" s="67"/>
      <c r="S177" s="67"/>
      <c r="T177" s="67"/>
    </row>
    <row r="178" spans="1:20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"/>
      <c r="R178" s="67"/>
      <c r="S178" s="67"/>
      <c r="T178" s="67"/>
    </row>
    <row r="179" spans="1:20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"/>
      <c r="R179" s="67"/>
      <c r="S179" s="67"/>
      <c r="T179" s="67"/>
    </row>
    <row r="180" spans="1:2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"/>
      <c r="R180" s="67"/>
      <c r="S180" s="67"/>
      <c r="T180" s="67"/>
    </row>
    <row r="181" spans="1:20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"/>
      <c r="R181" s="67"/>
      <c r="S181" s="67"/>
      <c r="T181" s="67"/>
    </row>
    <row r="182" spans="1:20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"/>
      <c r="R182" s="67"/>
      <c r="S182" s="67"/>
      <c r="T182" s="67"/>
    </row>
    <row r="183" spans="1:20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"/>
      <c r="R183" s="67"/>
      <c r="S183" s="67"/>
      <c r="T183" s="67"/>
    </row>
    <row r="184" spans="1:20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"/>
      <c r="R184" s="67"/>
      <c r="S184" s="67"/>
      <c r="T184" s="67"/>
    </row>
    <row r="185" spans="1:20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"/>
      <c r="R185" s="67"/>
      <c r="S185" s="67"/>
      <c r="T185" s="67"/>
    </row>
    <row r="186" spans="1:20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"/>
      <c r="R186" s="67"/>
      <c r="S186" s="67"/>
      <c r="T186" s="67"/>
    </row>
    <row r="187" spans="1:20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"/>
      <c r="R187" s="67"/>
      <c r="S187" s="67"/>
      <c r="T187" s="67"/>
    </row>
    <row r="188" spans="1:20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"/>
      <c r="R188" s="67"/>
      <c r="S188" s="67"/>
      <c r="T188" s="67"/>
    </row>
    <row r="189" spans="1:20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"/>
      <c r="R189" s="67"/>
      <c r="S189" s="67"/>
      <c r="T189" s="67"/>
    </row>
    <row r="190" spans="1:2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"/>
      <c r="R190" s="67"/>
      <c r="S190" s="67"/>
      <c r="T190" s="67"/>
    </row>
    <row r="191" spans="1:20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"/>
      <c r="R191" s="67"/>
      <c r="S191" s="67"/>
      <c r="T191" s="67"/>
    </row>
    <row r="192" spans="1:20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"/>
      <c r="R192" s="67"/>
      <c r="S192" s="67"/>
      <c r="T192" s="67"/>
    </row>
    <row r="193" spans="1:20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"/>
      <c r="R193" s="67"/>
      <c r="S193" s="67"/>
      <c r="T193" s="67"/>
    </row>
    <row r="194" spans="1:20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"/>
      <c r="R194" s="67"/>
      <c r="S194" s="67"/>
      <c r="T194" s="67"/>
    </row>
    <row r="195" spans="1:20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"/>
      <c r="R195" s="67"/>
      <c r="S195" s="67"/>
      <c r="T195" s="67"/>
    </row>
    <row r="196" spans="1:20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"/>
      <c r="R196" s="67"/>
      <c r="S196" s="67"/>
      <c r="T196" s="67"/>
    </row>
    <row r="197" spans="1:20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"/>
      <c r="R197" s="67"/>
      <c r="S197" s="67"/>
      <c r="T197" s="67"/>
    </row>
    <row r="198" spans="1:20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"/>
      <c r="R198" s="67"/>
      <c r="S198" s="67"/>
      <c r="T198" s="67"/>
    </row>
    <row r="199" spans="1:20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"/>
      <c r="R199" s="67"/>
      <c r="S199" s="67"/>
      <c r="T199" s="67"/>
    </row>
    <row r="200" spans="1:2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"/>
      <c r="R200" s="67"/>
      <c r="S200" s="67"/>
      <c r="T200" s="67"/>
    </row>
  </sheetData>
  <pageMargins left="0.75" right="0.75" top="1" bottom="1" header="0.5" footer="0.5"/>
  <headerFooter/>
  <picture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00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4.4"/>
  <cols>
    <col min="1" max="1" width="7" customWidth="1"/>
    <col min="2" max="2" width="30" customWidth="1"/>
    <col min="3" max="15" width="19" customWidth="1"/>
    <col min="16" max="17" width="14" customWidth="1"/>
    <col min="18" max="18" width="11" customWidth="1"/>
    <col min="19" max="20" width="14" customWidth="1"/>
  </cols>
  <sheetData>
    <row r="1" ht="17" spans="1:18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</row>
    <row r="2" ht="16.8" spans="1:18">
      <c r="B2" s="4" t="s">
        <v>16</v>
      </c>
      <c r="C2" s="5">
        <v>231.769741207702</v>
      </c>
      <c r="D2" s="5">
        <v>211.394379343289</v>
      </c>
      <c r="E2" s="5">
        <v>247.051262606012</v>
      </c>
      <c r="F2" s="5">
        <v>205.027078760659</v>
      </c>
      <c r="G2" s="5">
        <v>357.842292743759</v>
      </c>
      <c r="H2" s="5">
        <v>309.450808315778</v>
      </c>
      <c r="I2" s="5">
        <v>201.206698411082</v>
      </c>
      <c r="J2" s="5">
        <v>252.909179142031</v>
      </c>
      <c r="K2" s="5">
        <v>278.887765519158</v>
      </c>
      <c r="L2" s="5">
        <v>369.558125815797</v>
      </c>
      <c r="M2" s="5">
        <v>287.292602288228</v>
      </c>
      <c r="N2" s="5">
        <v>256.729559491608</v>
      </c>
      <c r="O2" s="5">
        <f>SUM(C2:N2)</f>
        <v>3209.1194936451</v>
      </c>
      <c r="P2" s="5"/>
      <c r="Q2" s="6"/>
    </row>
    <row r="3" ht="16.8" spans="1:18">
      <c r="A3" s="7"/>
      <c r="B3" s="8" t="s">
        <v>17</v>
      </c>
      <c r="C3" s="9">
        <f t="shared" ref="C3:N3" si="0">C6/(1-$P$6)</f>
        <v>112500</v>
      </c>
      <c r="D3" s="9">
        <f t="shared" si="0"/>
        <v>132222.222222222</v>
      </c>
      <c r="E3" s="9">
        <f t="shared" si="0"/>
        <v>138888.888888889</v>
      </c>
      <c r="F3" s="9">
        <f t="shared" si="0"/>
        <v>133333.333333333</v>
      </c>
      <c r="G3" s="9">
        <f t="shared" si="0"/>
        <v>148170.731707317</v>
      </c>
      <c r="H3" s="9">
        <f t="shared" si="0"/>
        <v>140625</v>
      </c>
      <c r="I3" s="9">
        <f t="shared" si="0"/>
        <v>137195.12195122</v>
      </c>
      <c r="J3" s="9">
        <f t="shared" si="0"/>
        <v>149268.292682927</v>
      </c>
      <c r="K3" s="9">
        <f t="shared" si="0"/>
        <v>137195.12195122</v>
      </c>
      <c r="L3" s="9">
        <f t="shared" si="0"/>
        <v>140963.855421687</v>
      </c>
      <c r="M3" s="9">
        <f t="shared" si="0"/>
        <v>140963.855421687</v>
      </c>
      <c r="N3" s="9">
        <f t="shared" si="0"/>
        <v>140963.855421687</v>
      </c>
      <c r="O3" s="9">
        <f>SUM(C3:N3)</f>
        <v>1652290.27900219</v>
      </c>
      <c r="P3" s="9"/>
      <c r="Q3" s="10" t="s">
        <v>83</v>
      </c>
    </row>
    <row r="4" ht="16.8" spans="1:18">
      <c r="A4" s="7"/>
      <c r="B4" s="8" t="s">
        <v>84</v>
      </c>
      <c r="C4" s="9">
        <f t="shared" ref="C4:N4" si="1">C8/(1-$P$8)</f>
        <v>90000</v>
      </c>
      <c r="D4" s="9">
        <f t="shared" si="1"/>
        <v>107100</v>
      </c>
      <c r="E4" s="9">
        <f t="shared" si="1"/>
        <v>112500</v>
      </c>
      <c r="F4" s="9">
        <f t="shared" si="1"/>
        <v>108000</v>
      </c>
      <c r="G4" s="9">
        <f t="shared" si="1"/>
        <v>121500</v>
      </c>
      <c r="H4" s="9">
        <f t="shared" si="1"/>
        <v>112500</v>
      </c>
      <c r="I4" s="9">
        <f t="shared" si="1"/>
        <v>112500</v>
      </c>
      <c r="J4" s="9">
        <f t="shared" si="1"/>
        <v>122400</v>
      </c>
      <c r="K4" s="9">
        <f t="shared" si="1"/>
        <v>112500</v>
      </c>
      <c r="L4" s="9">
        <f t="shared" si="1"/>
        <v>117000</v>
      </c>
      <c r="M4" s="9">
        <f t="shared" si="1"/>
        <v>117000</v>
      </c>
      <c r="N4" s="9">
        <f t="shared" si="1"/>
        <v>117000</v>
      </c>
      <c r="O4" s="9">
        <f>SUM(C4:N4)</f>
        <v>1350000</v>
      </c>
      <c r="P4" s="9"/>
      <c r="Q4" s="10" t="s">
        <v>83</v>
      </c>
    </row>
    <row r="5" ht="16.8" spans="1:18">
      <c r="A5" s="7"/>
      <c r="B5" s="8" t="s">
        <v>18</v>
      </c>
      <c r="C5" s="9">
        <f t="shared" ref="C5:N5" si="2">C12</f>
        <v>13500</v>
      </c>
      <c r="D5" s="9">
        <f t="shared" si="2"/>
        <v>16065</v>
      </c>
      <c r="E5" s="9">
        <f t="shared" si="2"/>
        <v>16875</v>
      </c>
      <c r="F5" s="9">
        <f t="shared" si="2"/>
        <v>16200</v>
      </c>
      <c r="G5" s="9">
        <f t="shared" si="2"/>
        <v>18225</v>
      </c>
      <c r="H5" s="9">
        <f t="shared" si="2"/>
        <v>16875</v>
      </c>
      <c r="I5" s="9">
        <f t="shared" si="2"/>
        <v>16875</v>
      </c>
      <c r="J5" s="9">
        <f t="shared" si="2"/>
        <v>18360</v>
      </c>
      <c r="K5" s="9">
        <f t="shared" si="2"/>
        <v>16875</v>
      </c>
      <c r="L5" s="9">
        <f t="shared" si="2"/>
        <v>17550</v>
      </c>
      <c r="M5" s="9">
        <f t="shared" si="2"/>
        <v>17550</v>
      </c>
      <c r="N5" s="9">
        <f t="shared" si="2"/>
        <v>17550</v>
      </c>
      <c r="O5" s="9">
        <f>SUM(C5:N5)</f>
        <v>202500</v>
      </c>
      <c r="P5" s="9"/>
      <c r="Q5" s="11" t="s">
        <v>83</v>
      </c>
    </row>
    <row r="6" ht="16.8" spans="1:18">
      <c r="A6" s="7"/>
      <c r="B6" s="12" t="s">
        <v>85</v>
      </c>
      <c r="C6" s="9">
        <f t="shared" ref="C6:N6" si="3">C8/(1-C7)</f>
        <v>95625</v>
      </c>
      <c r="D6" s="9">
        <f t="shared" si="3"/>
        <v>112388.888888889</v>
      </c>
      <c r="E6" s="9">
        <f t="shared" si="3"/>
        <v>118055.555555556</v>
      </c>
      <c r="F6" s="9">
        <f t="shared" si="3"/>
        <v>113333.333333333</v>
      </c>
      <c r="G6" s="9">
        <f t="shared" si="3"/>
        <v>125945.12195122</v>
      </c>
      <c r="H6" s="9">
        <f t="shared" si="3"/>
        <v>119531.25</v>
      </c>
      <c r="I6" s="9">
        <f t="shared" si="3"/>
        <v>116615.853658537</v>
      </c>
      <c r="J6" s="9">
        <f t="shared" si="3"/>
        <v>126878.048780488</v>
      </c>
      <c r="K6" s="9">
        <f t="shared" si="3"/>
        <v>116615.853658537</v>
      </c>
      <c r="L6" s="9">
        <f t="shared" si="3"/>
        <v>119819.277108434</v>
      </c>
      <c r="M6" s="9">
        <f t="shared" si="3"/>
        <v>119819.277108434</v>
      </c>
      <c r="N6" s="9">
        <f t="shared" si="3"/>
        <v>119819.277108434</v>
      </c>
      <c r="O6" s="13">
        <f>SUM(C6:N6)</f>
        <v>1404446.73715186</v>
      </c>
      <c r="P6" s="66">
        <v>0.15</v>
      </c>
      <c r="Q6" s="11" t="s">
        <v>83</v>
      </c>
    </row>
    <row r="7" ht="16.8" spans="1:18">
      <c r="A7" s="7"/>
      <c r="B7" s="14" t="s">
        <v>20</v>
      </c>
      <c r="C7" s="15">
        <v>0.2</v>
      </c>
      <c r="D7" s="15">
        <v>0.19</v>
      </c>
      <c r="E7" s="15">
        <v>0.19</v>
      </c>
      <c r="F7" s="15">
        <v>0.19</v>
      </c>
      <c r="G7" s="15">
        <v>0.18</v>
      </c>
      <c r="H7" s="15">
        <v>0.2</v>
      </c>
      <c r="I7" s="15">
        <v>0.18</v>
      </c>
      <c r="J7" s="15">
        <v>0.18</v>
      </c>
      <c r="K7" s="15">
        <v>0.18</v>
      </c>
      <c r="L7" s="15">
        <v>0.17</v>
      </c>
      <c r="M7" s="15">
        <v>0.17</v>
      </c>
      <c r="N7" s="15">
        <v>0.17</v>
      </c>
      <c r="O7" s="15">
        <f>1-O8/O6</f>
        <v>0.18295228316948</v>
      </c>
      <c r="P7" s="15"/>
      <c r="Q7" s="6" t="s">
        <v>83</v>
      </c>
    </row>
    <row r="8" ht="16.8" spans="1:18">
      <c r="A8" s="7"/>
      <c r="B8" s="12" t="s">
        <v>86</v>
      </c>
      <c r="C8" s="13">
        <v>76500</v>
      </c>
      <c r="D8" s="13">
        <v>91035</v>
      </c>
      <c r="E8" s="13">
        <v>95625</v>
      </c>
      <c r="F8" s="13">
        <v>91800</v>
      </c>
      <c r="G8" s="13">
        <v>103275</v>
      </c>
      <c r="H8" s="13">
        <v>95625</v>
      </c>
      <c r="I8" s="13">
        <v>95625</v>
      </c>
      <c r="J8" s="13">
        <v>104040</v>
      </c>
      <c r="K8" s="13">
        <v>95625</v>
      </c>
      <c r="L8" s="13">
        <v>99450</v>
      </c>
      <c r="M8" s="13">
        <v>99450</v>
      </c>
      <c r="N8" s="13">
        <v>99450</v>
      </c>
      <c r="O8" s="13">
        <f>SUM(C8:N8)</f>
        <v>1147500</v>
      </c>
      <c r="P8" s="66">
        <v>0.15</v>
      </c>
      <c r="Q8" s="6" t="s">
        <v>83</v>
      </c>
    </row>
    <row r="9" ht="16.8" spans="1:18">
      <c r="B9" s="4"/>
      <c r="C9" s="5">
        <f t="shared" ref="C9:O9" si="4">C10-C14-C15</f>
        <v>0</v>
      </c>
      <c r="D9" s="5">
        <f t="shared" si="4"/>
        <v>0</v>
      </c>
      <c r="E9" s="5">
        <f t="shared" si="4"/>
        <v>0</v>
      </c>
      <c r="F9" s="5">
        <f t="shared" si="4"/>
        <v>0</v>
      </c>
      <c r="G9" s="5">
        <f t="shared" si="4"/>
        <v>0</v>
      </c>
      <c r="H9" s="5">
        <f t="shared" si="4"/>
        <v>0</v>
      </c>
      <c r="I9" s="5">
        <f t="shared" si="4"/>
        <v>0</v>
      </c>
      <c r="J9" s="5">
        <f t="shared" si="4"/>
        <v>0</v>
      </c>
      <c r="K9" s="5">
        <f t="shared" si="4"/>
        <v>0</v>
      </c>
      <c r="L9" s="5">
        <f t="shared" si="4"/>
        <v>0</v>
      </c>
      <c r="M9" s="5">
        <f t="shared" si="4"/>
        <v>0</v>
      </c>
      <c r="N9" s="5">
        <f t="shared" si="4"/>
        <v>0</v>
      </c>
      <c r="O9" s="5">
        <f t="shared" si="4"/>
        <v>0</v>
      </c>
      <c r="P9" s="5"/>
      <c r="Q9" s="6"/>
    </row>
    <row r="10" ht="16.8" spans="1:18">
      <c r="A10" s="7"/>
      <c r="B10" s="12" t="s">
        <v>22</v>
      </c>
      <c r="C10" s="13">
        <f t="shared" ref="C10:N10" si="5">C4+C13</f>
        <v>90000</v>
      </c>
      <c r="D10" s="13">
        <f t="shared" si="5"/>
        <v>107100</v>
      </c>
      <c r="E10" s="13">
        <f t="shared" si="5"/>
        <v>112500</v>
      </c>
      <c r="F10" s="13">
        <f t="shared" si="5"/>
        <v>108000</v>
      </c>
      <c r="G10" s="13">
        <f t="shared" si="5"/>
        <v>121500</v>
      </c>
      <c r="H10" s="13">
        <f t="shared" si="5"/>
        <v>112500</v>
      </c>
      <c r="I10" s="13">
        <f t="shared" si="5"/>
        <v>112500</v>
      </c>
      <c r="J10" s="13">
        <f t="shared" si="5"/>
        <v>122400</v>
      </c>
      <c r="K10" s="13">
        <f t="shared" si="5"/>
        <v>112500</v>
      </c>
      <c r="L10" s="13">
        <f t="shared" si="5"/>
        <v>117000</v>
      </c>
      <c r="M10" s="13">
        <f t="shared" si="5"/>
        <v>117000</v>
      </c>
      <c r="N10" s="13">
        <f t="shared" si="5"/>
        <v>117000</v>
      </c>
      <c r="O10" s="13">
        <f t="shared" ref="O10:O16" si="6">SUM(C10:N10)</f>
        <v>1350000</v>
      </c>
      <c r="P10" s="13"/>
      <c r="Q10" s="6"/>
    </row>
    <row r="11" ht="16.8" spans="1:18">
      <c r="B11" s="17" t="s">
        <v>23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>
        <f t="shared" si="6"/>
        <v>0</v>
      </c>
      <c r="P11" s="18"/>
      <c r="Q11" s="6" t="s">
        <v>88</v>
      </c>
    </row>
    <row r="12" ht="16.8" spans="1:18">
      <c r="B12" s="17" t="s">
        <v>25</v>
      </c>
      <c r="C12" s="18">
        <f t="shared" ref="C12:N12" si="7">C4*$P$12</f>
        <v>13500</v>
      </c>
      <c r="D12" s="18">
        <f t="shared" si="7"/>
        <v>16065</v>
      </c>
      <c r="E12" s="18">
        <f t="shared" si="7"/>
        <v>16875</v>
      </c>
      <c r="F12" s="18">
        <f t="shared" si="7"/>
        <v>16200</v>
      </c>
      <c r="G12" s="18">
        <f t="shared" si="7"/>
        <v>18225</v>
      </c>
      <c r="H12" s="18">
        <f t="shared" si="7"/>
        <v>16875</v>
      </c>
      <c r="I12" s="18">
        <f t="shared" si="7"/>
        <v>16875</v>
      </c>
      <c r="J12" s="18">
        <f t="shared" si="7"/>
        <v>18360</v>
      </c>
      <c r="K12" s="18">
        <f t="shared" si="7"/>
        <v>16875</v>
      </c>
      <c r="L12" s="18">
        <f t="shared" si="7"/>
        <v>17550</v>
      </c>
      <c r="M12" s="18">
        <f t="shared" si="7"/>
        <v>17550</v>
      </c>
      <c r="N12" s="18">
        <f t="shared" si="7"/>
        <v>17550</v>
      </c>
      <c r="O12" s="18">
        <f t="shared" si="6"/>
        <v>202500</v>
      </c>
      <c r="P12" s="19">
        <v>0.15</v>
      </c>
      <c r="Q12" s="6" t="s">
        <v>83</v>
      </c>
      <c r="R12" s="20">
        <f>O12/$O$10</f>
        <v>0.15</v>
      </c>
    </row>
    <row r="13" ht="16.8" spans="1:18">
      <c r="B13" s="17" t="s">
        <v>27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f t="shared" si="6"/>
        <v>0</v>
      </c>
      <c r="P13" s="18"/>
      <c r="Q13" s="6" t="s">
        <v>83</v>
      </c>
      <c r="R13" s="20">
        <f>O13/$O$10</f>
        <v>0</v>
      </c>
    </row>
    <row r="14" ht="16.8" spans="1:18">
      <c r="B14" s="21" t="s">
        <v>28</v>
      </c>
      <c r="C14" s="22">
        <f t="shared" ref="C14:N14" si="8">SUM(C11:C13)</f>
        <v>13500</v>
      </c>
      <c r="D14" s="22">
        <f t="shared" si="8"/>
        <v>16065</v>
      </c>
      <c r="E14" s="22">
        <f t="shared" si="8"/>
        <v>16875</v>
      </c>
      <c r="F14" s="22">
        <f t="shared" si="8"/>
        <v>16200</v>
      </c>
      <c r="G14" s="22">
        <f t="shared" si="8"/>
        <v>18225</v>
      </c>
      <c r="H14" s="22">
        <f t="shared" si="8"/>
        <v>16875</v>
      </c>
      <c r="I14" s="22">
        <f t="shared" si="8"/>
        <v>16875</v>
      </c>
      <c r="J14" s="22">
        <f t="shared" si="8"/>
        <v>18360</v>
      </c>
      <c r="K14" s="22">
        <f t="shared" si="8"/>
        <v>16875</v>
      </c>
      <c r="L14" s="22">
        <f t="shared" si="8"/>
        <v>17550</v>
      </c>
      <c r="M14" s="22">
        <f t="shared" si="8"/>
        <v>17550</v>
      </c>
      <c r="N14" s="22">
        <f t="shared" si="8"/>
        <v>17550</v>
      </c>
      <c r="O14" s="22">
        <f t="shared" si="6"/>
        <v>202500</v>
      </c>
      <c r="P14" s="22"/>
      <c r="Q14" s="6"/>
    </row>
    <row r="15" ht="16.8" spans="1:18">
      <c r="A15" s="7"/>
      <c r="B15" s="12" t="s">
        <v>29</v>
      </c>
      <c r="C15" s="13">
        <f t="shared" ref="C15:N15" si="9">C8</f>
        <v>76500</v>
      </c>
      <c r="D15" s="13">
        <f t="shared" si="9"/>
        <v>91035</v>
      </c>
      <c r="E15" s="13">
        <f t="shared" si="9"/>
        <v>95625</v>
      </c>
      <c r="F15" s="13">
        <f t="shared" si="9"/>
        <v>91800</v>
      </c>
      <c r="G15" s="13">
        <f t="shared" si="9"/>
        <v>103275</v>
      </c>
      <c r="H15" s="13">
        <f t="shared" si="9"/>
        <v>95625</v>
      </c>
      <c r="I15" s="13">
        <f t="shared" si="9"/>
        <v>95625</v>
      </c>
      <c r="J15" s="13">
        <f t="shared" si="9"/>
        <v>104040</v>
      </c>
      <c r="K15" s="13">
        <f t="shared" si="9"/>
        <v>95625</v>
      </c>
      <c r="L15" s="13">
        <f t="shared" si="9"/>
        <v>99450</v>
      </c>
      <c r="M15" s="13">
        <f t="shared" si="9"/>
        <v>99450</v>
      </c>
      <c r="N15" s="13">
        <f t="shared" si="9"/>
        <v>99450</v>
      </c>
      <c r="O15" s="13">
        <f t="shared" si="6"/>
        <v>1147500</v>
      </c>
      <c r="P15" s="13"/>
      <c r="Q15" s="6"/>
    </row>
    <row r="16" ht="16.8" spans="1:18">
      <c r="A16" s="7"/>
      <c r="B16" s="12" t="s">
        <v>30</v>
      </c>
      <c r="C16" s="13">
        <f t="shared" ref="C16:N16" si="10">+C8/1.13</f>
        <v>67699.1150442478</v>
      </c>
      <c r="D16" s="13">
        <f t="shared" si="10"/>
        <v>80561.9469026549</v>
      </c>
      <c r="E16" s="13">
        <f t="shared" si="10"/>
        <v>84623.8938053097</v>
      </c>
      <c r="F16" s="13">
        <f t="shared" si="10"/>
        <v>81238.9380530974</v>
      </c>
      <c r="G16" s="13">
        <f t="shared" si="10"/>
        <v>91393.8053097345</v>
      </c>
      <c r="H16" s="13">
        <f t="shared" si="10"/>
        <v>84623.8938053097</v>
      </c>
      <c r="I16" s="13">
        <f t="shared" si="10"/>
        <v>84623.8938053097</v>
      </c>
      <c r="J16" s="13">
        <f t="shared" si="10"/>
        <v>92070.796460177</v>
      </c>
      <c r="K16" s="13">
        <f t="shared" si="10"/>
        <v>84623.8938053097</v>
      </c>
      <c r="L16" s="13">
        <f t="shared" si="10"/>
        <v>88008.8495575221</v>
      </c>
      <c r="M16" s="13">
        <f t="shared" si="10"/>
        <v>88008.8495575221</v>
      </c>
      <c r="N16" s="13">
        <f t="shared" si="10"/>
        <v>88008.8495575221</v>
      </c>
      <c r="O16" s="13">
        <f t="shared" si="6"/>
        <v>1015486.72566372</v>
      </c>
      <c r="P16" s="13"/>
      <c r="Q16" s="6"/>
    </row>
    <row r="17" spans="1:17">
      <c r="Q17" s="6"/>
    </row>
    <row r="18" ht="16.8" spans="1:17">
      <c r="B18" s="17" t="s">
        <v>31</v>
      </c>
      <c r="C18" s="18">
        <f t="shared" ref="C18:N18" si="11">C64*C65</f>
        <v>33137.4795417349</v>
      </c>
      <c r="D18" s="18">
        <f t="shared" si="11"/>
        <v>39266.0617760618</v>
      </c>
      <c r="E18" s="18">
        <f t="shared" si="11"/>
        <v>43516.2279492833</v>
      </c>
      <c r="F18" s="18">
        <f t="shared" si="11"/>
        <v>41888.5714285714</v>
      </c>
      <c r="G18" s="18">
        <f t="shared" si="11"/>
        <v>41979.4766206164</v>
      </c>
      <c r="H18" s="18">
        <f t="shared" si="11"/>
        <v>39485.6753522999</v>
      </c>
      <c r="I18" s="18">
        <f t="shared" si="11"/>
        <v>36475.0248818114</v>
      </c>
      <c r="J18" s="18">
        <f t="shared" si="11"/>
        <v>39576.2035420304</v>
      </c>
      <c r="K18" s="18">
        <f t="shared" si="11"/>
        <v>35746.3290194126</v>
      </c>
      <c r="L18" s="18">
        <f t="shared" si="11"/>
        <v>36576.4425489212</v>
      </c>
      <c r="M18" s="18">
        <f t="shared" si="11"/>
        <v>35733.9829016847</v>
      </c>
      <c r="N18" s="18">
        <f t="shared" si="11"/>
        <v>35380.2752293578</v>
      </c>
      <c r="O18" s="18">
        <f>SUM(C18:N18)</f>
        <v>458761.750791786</v>
      </c>
      <c r="P18" s="23">
        <f>O18/O16</f>
        <v>0.451765384221976</v>
      </c>
      <c r="Q18" s="6"/>
    </row>
    <row r="19" ht="16.8" spans="1:17">
      <c r="B19" s="21" t="s">
        <v>32</v>
      </c>
      <c r="C19" s="22">
        <f t="shared" ref="C19:N19" si="12">C16-C18</f>
        <v>34561.6355025129</v>
      </c>
      <c r="D19" s="22">
        <f t="shared" si="12"/>
        <v>41295.8851265931</v>
      </c>
      <c r="E19" s="22">
        <f t="shared" si="12"/>
        <v>41107.6658560264</v>
      </c>
      <c r="F19" s="22">
        <f t="shared" si="12"/>
        <v>39350.3666245259</v>
      </c>
      <c r="G19" s="22">
        <f t="shared" si="12"/>
        <v>49414.3286891182</v>
      </c>
      <c r="H19" s="22">
        <f t="shared" si="12"/>
        <v>45138.2184530098</v>
      </c>
      <c r="I19" s="22">
        <f t="shared" si="12"/>
        <v>48148.8689234983</v>
      </c>
      <c r="J19" s="22">
        <f t="shared" si="12"/>
        <v>52494.5929181466</v>
      </c>
      <c r="K19" s="22">
        <f t="shared" si="12"/>
        <v>48877.5647858971</v>
      </c>
      <c r="L19" s="22">
        <f t="shared" si="12"/>
        <v>51432.4070086009</v>
      </c>
      <c r="M19" s="22">
        <f t="shared" si="12"/>
        <v>52274.8666558374</v>
      </c>
      <c r="N19" s="22">
        <f t="shared" si="12"/>
        <v>52628.5743281643</v>
      </c>
      <c r="O19" s="22">
        <f>SUM(C19:N19)</f>
        <v>556724.974871931</v>
      </c>
      <c r="P19" s="24">
        <f>O19/$O$16</f>
        <v>0.548234615778024</v>
      </c>
      <c r="Q19" s="6"/>
    </row>
    <row r="20" ht="16.8" spans="1:17">
      <c r="A20" s="5"/>
      <c r="B20" s="4" t="s">
        <v>33</v>
      </c>
      <c r="C20" s="25">
        <f t="shared" ref="C20:N20" si="13">C16*2.5%</f>
        <v>1692.4778761062</v>
      </c>
      <c r="D20" s="25">
        <f t="shared" si="13"/>
        <v>2014.04867256637</v>
      </c>
      <c r="E20" s="25">
        <f t="shared" si="13"/>
        <v>2115.59734513274</v>
      </c>
      <c r="F20" s="25">
        <f t="shared" si="13"/>
        <v>2030.97345132743</v>
      </c>
      <c r="G20" s="25">
        <f t="shared" si="13"/>
        <v>2284.84513274336</v>
      </c>
      <c r="H20" s="25">
        <f t="shared" si="13"/>
        <v>2115.59734513274</v>
      </c>
      <c r="I20" s="25">
        <f t="shared" si="13"/>
        <v>2115.59734513274</v>
      </c>
      <c r="J20" s="25">
        <f t="shared" si="13"/>
        <v>2301.76991150442</v>
      </c>
      <c r="K20" s="25">
        <f t="shared" si="13"/>
        <v>2115.59734513274</v>
      </c>
      <c r="L20" s="25">
        <f t="shared" si="13"/>
        <v>2200.22123893805</v>
      </c>
      <c r="M20" s="25">
        <f t="shared" si="13"/>
        <v>2200.22123893805</v>
      </c>
      <c r="N20" s="25">
        <f t="shared" si="13"/>
        <v>2200.22123893805</v>
      </c>
      <c r="O20" s="25">
        <f>SUM(C20:N20)</f>
        <v>25387.1681415929</v>
      </c>
      <c r="P20" s="26">
        <v>0.025</v>
      </c>
      <c r="Q20" s="6"/>
    </row>
    <row r="21" ht="16.8" spans="1:17">
      <c r="B21" s="21" t="s">
        <v>35</v>
      </c>
      <c r="C21" s="22">
        <f t="shared" ref="C21:N21" si="14">SUM(C18,C20)</f>
        <v>34829.9574178411</v>
      </c>
      <c r="D21" s="22">
        <f t="shared" si="14"/>
        <v>41280.1104486281</v>
      </c>
      <c r="E21" s="22">
        <f t="shared" si="14"/>
        <v>45631.8252944161</v>
      </c>
      <c r="F21" s="22">
        <f t="shared" si="14"/>
        <v>43919.5448798989</v>
      </c>
      <c r="G21" s="22">
        <f t="shared" si="14"/>
        <v>44264.3217533597</v>
      </c>
      <c r="H21" s="22">
        <f t="shared" si="14"/>
        <v>41601.2726974327</v>
      </c>
      <c r="I21" s="22">
        <f t="shared" si="14"/>
        <v>38590.6222269441</v>
      </c>
      <c r="J21" s="22">
        <f t="shared" si="14"/>
        <v>41877.9734535349</v>
      </c>
      <c r="K21" s="22">
        <f t="shared" si="14"/>
        <v>37861.9263645454</v>
      </c>
      <c r="L21" s="22">
        <f t="shared" si="14"/>
        <v>38776.6637878593</v>
      </c>
      <c r="M21" s="22">
        <f t="shared" si="14"/>
        <v>37934.2041406227</v>
      </c>
      <c r="N21" s="22">
        <f t="shared" si="14"/>
        <v>37580.4964682959</v>
      </c>
      <c r="O21" s="22">
        <f>SUM(C21:N21)</f>
        <v>484148.918933379</v>
      </c>
      <c r="P21" s="24">
        <f>O21/$O$16</f>
        <v>0.476765384221977</v>
      </c>
      <c r="Q21" s="6"/>
    </row>
    <row r="22" ht="16.8" spans="1:17">
      <c r="A22" s="7"/>
      <c r="B22" s="12" t="s">
        <v>36</v>
      </c>
      <c r="C22" s="13">
        <f t="shared" ref="C22:N22" si="15">C16-C21</f>
        <v>32869.1576264067</v>
      </c>
      <c r="D22" s="13">
        <f t="shared" si="15"/>
        <v>39281.8364540267</v>
      </c>
      <c r="E22" s="13">
        <f t="shared" si="15"/>
        <v>38992.0685108936</v>
      </c>
      <c r="F22" s="13">
        <f t="shared" si="15"/>
        <v>37319.3931731985</v>
      </c>
      <c r="G22" s="13">
        <f t="shared" si="15"/>
        <v>47129.4835563748</v>
      </c>
      <c r="H22" s="13">
        <f t="shared" si="15"/>
        <v>43022.6211078771</v>
      </c>
      <c r="I22" s="13">
        <f t="shared" si="15"/>
        <v>46033.2715783656</v>
      </c>
      <c r="J22" s="13">
        <f t="shared" si="15"/>
        <v>50192.8230066421</v>
      </c>
      <c r="K22" s="13">
        <f t="shared" si="15"/>
        <v>46761.9674407644</v>
      </c>
      <c r="L22" s="13">
        <f t="shared" si="15"/>
        <v>49232.1857696629</v>
      </c>
      <c r="M22" s="13">
        <f t="shared" si="15"/>
        <v>50074.6454168994</v>
      </c>
      <c r="N22" s="13">
        <f t="shared" si="15"/>
        <v>50428.3530892263</v>
      </c>
      <c r="O22" s="13">
        <f>SUM(C22:N22)</f>
        <v>531337.806730338</v>
      </c>
      <c r="P22" s="27">
        <f>O22/$O$16</f>
        <v>0.523234615778024</v>
      </c>
      <c r="Q22" s="6"/>
    </row>
    <row r="23" ht="16.8" spans="1:17">
      <c r="B23" s="14" t="s">
        <v>37</v>
      </c>
      <c r="C23" s="44">
        <f t="shared" ref="C23:O23" si="16">C19/C16</f>
        <v>0.510518276050191</v>
      </c>
      <c r="D23" s="44">
        <f t="shared" si="16"/>
        <v>0.512597904026476</v>
      </c>
      <c r="E23" s="44">
        <f t="shared" si="16"/>
        <v>0.485769018743109</v>
      </c>
      <c r="F23" s="44">
        <f t="shared" si="16"/>
        <v>0.484378151260504</v>
      </c>
      <c r="G23" s="44">
        <f t="shared" si="16"/>
        <v>0.54067481402763</v>
      </c>
      <c r="H23" s="44">
        <f t="shared" si="16"/>
        <v>0.533398032438181</v>
      </c>
      <c r="I23" s="44">
        <f t="shared" si="16"/>
        <v>0.56897486937049</v>
      </c>
      <c r="J23" s="44">
        <f t="shared" si="16"/>
        <v>0.570154652032926</v>
      </c>
      <c r="K23" s="44">
        <f t="shared" si="16"/>
        <v>0.577585863613738</v>
      </c>
      <c r="L23" s="44">
        <f t="shared" si="16"/>
        <v>0.584400401404917</v>
      </c>
      <c r="M23" s="44">
        <f t="shared" si="16"/>
        <v>0.59397284385215</v>
      </c>
      <c r="N23" s="44">
        <f t="shared" si="16"/>
        <v>0.597991845056065</v>
      </c>
      <c r="O23" s="44">
        <f t="shared" si="16"/>
        <v>0.548234615778024</v>
      </c>
      <c r="P23" s="29"/>
      <c r="Q23" s="6"/>
    </row>
    <row r="24" ht="16.8" spans="1:17">
      <c r="B24" s="14" t="s">
        <v>38</v>
      </c>
      <c r="C24" s="28">
        <f t="shared" ref="C24:O24" si="17">IFERROR(1-C21/C16,0)</f>
        <v>0.485518276050191</v>
      </c>
      <c r="D24" s="28">
        <f t="shared" si="17"/>
        <v>0.487597904026476</v>
      </c>
      <c r="E24" s="28">
        <f t="shared" si="17"/>
        <v>0.460769018743109</v>
      </c>
      <c r="F24" s="28">
        <f t="shared" si="17"/>
        <v>0.459378151260504</v>
      </c>
      <c r="G24" s="28">
        <f t="shared" si="17"/>
        <v>0.51567481402763</v>
      </c>
      <c r="H24" s="28">
        <f t="shared" si="17"/>
        <v>0.508398032438181</v>
      </c>
      <c r="I24" s="28">
        <f t="shared" si="17"/>
        <v>0.54397486937049</v>
      </c>
      <c r="J24" s="28">
        <f t="shared" si="17"/>
        <v>0.545154652032926</v>
      </c>
      <c r="K24" s="28">
        <f t="shared" si="17"/>
        <v>0.552585863613738</v>
      </c>
      <c r="L24" s="28">
        <f t="shared" si="17"/>
        <v>0.559400401404917</v>
      </c>
      <c r="M24" s="28">
        <f t="shared" si="17"/>
        <v>0.56897284385215</v>
      </c>
      <c r="N24" s="28">
        <f t="shared" si="17"/>
        <v>0.572991845056065</v>
      </c>
      <c r="O24" s="28">
        <f t="shared" si="17"/>
        <v>0.523234615778023</v>
      </c>
      <c r="P24" s="29"/>
      <c r="Q24" s="6"/>
    </row>
    <row r="25" ht="16.8" spans="1:17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29"/>
      <c r="Q25" s="6"/>
    </row>
    <row r="26" ht="16.8" spans="1:17">
      <c r="B26" s="17" t="s">
        <v>39</v>
      </c>
      <c r="C26" s="18">
        <f t="shared" ref="C26:N26" si="18">SUM(C27:C31)</f>
        <v>999.555859826916</v>
      </c>
      <c r="D26" s="18">
        <f t="shared" si="18"/>
        <v>3544.83332000855</v>
      </c>
      <c r="E26" s="18">
        <f t="shared" si="18"/>
        <v>6303.03175554382</v>
      </c>
      <c r="F26" s="18">
        <f t="shared" si="18"/>
        <v>3556.94203894246</v>
      </c>
      <c r="G26" s="18">
        <f t="shared" si="18"/>
        <v>15146.979344568</v>
      </c>
      <c r="H26" s="18">
        <f t="shared" si="18"/>
        <v>8773.34194284035</v>
      </c>
      <c r="I26" s="18">
        <f t="shared" si="18"/>
        <v>1630.12746450203</v>
      </c>
      <c r="J26" s="18">
        <f t="shared" si="18"/>
        <v>2801.96281754517</v>
      </c>
      <c r="K26" s="18">
        <f t="shared" si="18"/>
        <v>2247.1922110064</v>
      </c>
      <c r="L26" s="18">
        <f t="shared" si="18"/>
        <v>7918.98765255991</v>
      </c>
      <c r="M26" s="18">
        <f t="shared" si="18"/>
        <v>3122.40816536821</v>
      </c>
      <c r="N26" s="18">
        <f t="shared" si="18"/>
        <v>1857.17513051941</v>
      </c>
      <c r="O26" s="18">
        <f t="shared" ref="O26:O31" si="19">SUM(C26:N26)</f>
        <v>57902.5377032312</v>
      </c>
      <c r="P26" s="23">
        <f t="shared" ref="P26:P31" si="20">O26/$O$16</f>
        <v>0.057019492465927</v>
      </c>
      <c r="Q26" s="6"/>
    </row>
    <row r="27" ht="16.8" spans="1:17">
      <c r="A27" s="5"/>
      <c r="B27" s="4" t="s">
        <v>40</v>
      </c>
      <c r="C27" s="30">
        <v>0</v>
      </c>
      <c r="D27" s="30">
        <v>0</v>
      </c>
      <c r="E27" s="30">
        <v>172.213982391908</v>
      </c>
      <c r="F27" s="30">
        <v>144.591139794409</v>
      </c>
      <c r="G27" s="30">
        <v>301.732656266294</v>
      </c>
      <c r="H27" s="30">
        <v>265.858846752738</v>
      </c>
      <c r="I27" s="30">
        <v>173.417815372556</v>
      </c>
      <c r="J27" s="30">
        <v>237.45447606315</v>
      </c>
      <c r="K27" s="30">
        <v>190.440017881899</v>
      </c>
      <c r="L27" s="30">
        <v>316.759506102396</v>
      </c>
      <c r="M27" s="30">
        <v>240.185243489863</v>
      </c>
      <c r="N27" s="30">
        <v>0</v>
      </c>
      <c r="O27" s="5">
        <f t="shared" si="19"/>
        <v>2042.65368411521</v>
      </c>
      <c r="P27" s="29">
        <f t="shared" si="20"/>
        <v>0.00201150210287598</v>
      </c>
      <c r="Q27" s="4"/>
    </row>
    <row r="28" ht="16.8" spans="1:17">
      <c r="A28" s="5"/>
      <c r="B28" s="4" t="s">
        <v>41</v>
      </c>
      <c r="C28" s="30">
        <v>0</v>
      </c>
      <c r="D28" s="30">
        <v>0</v>
      </c>
      <c r="E28" s="30">
        <v>0</v>
      </c>
      <c r="F28" s="30">
        <v>173.509367753291</v>
      </c>
      <c r="G28" s="30">
        <v>1810.39593759776</v>
      </c>
      <c r="H28" s="30">
        <v>850.748309608761</v>
      </c>
      <c r="I28" s="30">
        <v>0</v>
      </c>
      <c r="J28" s="30">
        <v>284.94537127578</v>
      </c>
      <c r="K28" s="30">
        <v>609.408057222075</v>
      </c>
      <c r="L28" s="30">
        <v>380.111407322876</v>
      </c>
      <c r="M28" s="30">
        <v>288.222292187835</v>
      </c>
      <c r="N28" s="30">
        <v>0</v>
      </c>
      <c r="O28" s="5">
        <f t="shared" si="19"/>
        <v>4397.34074296838</v>
      </c>
      <c r="P28" s="29">
        <f t="shared" si="20"/>
        <v>0.00433027890157235</v>
      </c>
      <c r="Q28" s="4"/>
    </row>
    <row r="29" ht="16.8" spans="1:17">
      <c r="A29" s="5"/>
      <c r="B29" s="4" t="s">
        <v>42</v>
      </c>
      <c r="C29" s="30">
        <v>83.296321652243</v>
      </c>
      <c r="D29" s="30">
        <v>68.1698715386259</v>
      </c>
      <c r="E29" s="30">
        <v>68.8855929567631</v>
      </c>
      <c r="F29" s="30">
        <v>289.182279588818</v>
      </c>
      <c r="G29" s="30">
        <v>1810.39593759776</v>
      </c>
      <c r="H29" s="30">
        <v>1169.77892571205</v>
      </c>
      <c r="I29" s="30">
        <v>0</v>
      </c>
      <c r="J29" s="30">
        <v>284.94537127578</v>
      </c>
      <c r="K29" s="30">
        <v>609.408057222075</v>
      </c>
      <c r="L29" s="30">
        <v>633.519012204793</v>
      </c>
      <c r="M29" s="30">
        <v>480.370486979725</v>
      </c>
      <c r="N29" s="30">
        <v>84.4170513872458</v>
      </c>
      <c r="O29" s="5">
        <f t="shared" si="19"/>
        <v>5582.36890811588</v>
      </c>
      <c r="P29" s="29">
        <f t="shared" si="20"/>
        <v>0.00549723474176117</v>
      </c>
      <c r="Q29" s="6"/>
    </row>
    <row r="30" ht="16.8" spans="1:17">
      <c r="A30" s="5"/>
      <c r="B30" s="4" t="s">
        <v>43</v>
      </c>
      <c r="C30" s="30">
        <v>83.296321652243</v>
      </c>
      <c r="D30" s="30">
        <v>68.1698715386259</v>
      </c>
      <c r="E30" s="30">
        <v>551.084743654105</v>
      </c>
      <c r="F30" s="30">
        <v>57.8364559177635</v>
      </c>
      <c r="G30" s="30">
        <v>362.079187519553</v>
      </c>
      <c r="H30" s="30">
        <v>106.343538701095</v>
      </c>
      <c r="I30" s="30">
        <v>69.3671261490225</v>
      </c>
      <c r="J30" s="30">
        <v>94.98179042526</v>
      </c>
      <c r="K30" s="30">
        <v>76.1760071527594</v>
      </c>
      <c r="L30" s="30">
        <v>253.407604881917</v>
      </c>
      <c r="M30" s="30">
        <v>192.14819479189</v>
      </c>
      <c r="N30" s="30">
        <v>84.4170513872458</v>
      </c>
      <c r="O30" s="5">
        <f t="shared" si="19"/>
        <v>1999.30789377148</v>
      </c>
      <c r="P30" s="29">
        <f t="shared" si="20"/>
        <v>0.00196881735944381</v>
      </c>
      <c r="Q30" s="6"/>
    </row>
    <row r="31" ht="16.8" collapsed="1" spans="1:17">
      <c r="A31" s="5"/>
      <c r="B31" s="4" t="s">
        <v>44</v>
      </c>
      <c r="C31" s="30">
        <v>832.96321652243</v>
      </c>
      <c r="D31" s="30">
        <v>3408.4935769313</v>
      </c>
      <c r="E31" s="30">
        <v>5510.84743654104</v>
      </c>
      <c r="F31" s="30">
        <v>2891.82279588818</v>
      </c>
      <c r="G31" s="30">
        <v>10862.3756255866</v>
      </c>
      <c r="H31" s="30">
        <v>6380.61232206571</v>
      </c>
      <c r="I31" s="30">
        <v>1387.34252298045</v>
      </c>
      <c r="J31" s="30">
        <v>1899.6358085052</v>
      </c>
      <c r="K31" s="30">
        <v>761.760071527594</v>
      </c>
      <c r="L31" s="30">
        <v>6335.19012204793</v>
      </c>
      <c r="M31" s="30">
        <v>1921.4819479189</v>
      </c>
      <c r="N31" s="30">
        <v>1688.34102774492</v>
      </c>
      <c r="O31" s="5">
        <f t="shared" si="19"/>
        <v>43880.8664742602</v>
      </c>
      <c r="P31" s="29">
        <f t="shared" si="20"/>
        <v>0.0432116593602737</v>
      </c>
      <c r="Q31" s="6"/>
    </row>
    <row r="32" ht="16.8" hidden="1" outlineLevel="1" spans="1:17">
      <c r="A32" s="5"/>
      <c r="B32" s="4" t="s">
        <v>45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29"/>
      <c r="Q32" s="6"/>
    </row>
    <row r="33" ht="16.8" hidden="1" outlineLevel="1" spans="1:17">
      <c r="A33" s="5"/>
      <c r="B33" s="4" t="s">
        <v>46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29"/>
      <c r="Q33" s="6"/>
    </row>
    <row r="34" ht="16.8" hidden="1" outlineLevel="1" spans="1:17">
      <c r="A34" s="5"/>
      <c r="B34" s="4" t="s">
        <v>47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29"/>
      <c r="Q34" s="6"/>
    </row>
    <row r="35" ht="16.8" hidden="1" outlineLevel="1" spans="1:17">
      <c r="A35" s="5"/>
      <c r="B35" s="4" t="s">
        <v>48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29"/>
      <c r="Q35" s="6"/>
    </row>
    <row r="36" ht="16.8" hidden="1" outlineLevel="1" spans="1:17">
      <c r="A36" s="5"/>
      <c r="B36" s="4" t="s">
        <v>49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5"/>
      <c r="P36" s="29"/>
      <c r="Q36" s="6"/>
    </row>
    <row r="37" ht="16.8" spans="1:17">
      <c r="B37" s="17" t="s">
        <v>50</v>
      </c>
      <c r="C37" s="18">
        <f t="shared" ref="C37:N37" si="21">SUM(C38:C40)</f>
        <v>0</v>
      </c>
      <c r="D37" s="18">
        <f t="shared" si="21"/>
        <v>0</v>
      </c>
      <c r="E37" s="18">
        <f t="shared" si="21"/>
        <v>0</v>
      </c>
      <c r="F37" s="18">
        <f t="shared" si="21"/>
        <v>0</v>
      </c>
      <c r="G37" s="18">
        <f t="shared" si="21"/>
        <v>0</v>
      </c>
      <c r="H37" s="18">
        <f t="shared" si="21"/>
        <v>0</v>
      </c>
      <c r="I37" s="18">
        <f t="shared" si="21"/>
        <v>0</v>
      </c>
      <c r="J37" s="18">
        <f t="shared" si="21"/>
        <v>0</v>
      </c>
      <c r="K37" s="18">
        <f t="shared" si="21"/>
        <v>0</v>
      </c>
      <c r="L37" s="18">
        <f t="shared" si="21"/>
        <v>0</v>
      </c>
      <c r="M37" s="18">
        <f t="shared" si="21"/>
        <v>0</v>
      </c>
      <c r="N37" s="18">
        <f t="shared" si="21"/>
        <v>0</v>
      </c>
      <c r="O37" s="18">
        <f>SUM(C37:N37)</f>
        <v>0</v>
      </c>
      <c r="P37" s="23">
        <f>O37/$O$16</f>
        <v>0</v>
      </c>
      <c r="Q37" s="6"/>
    </row>
    <row r="38" ht="16.8" spans="1:17">
      <c r="A38" s="5"/>
      <c r="B38" s="4" t="s">
        <v>51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5"/>
      <c r="P38" s="29">
        <f>O38/$O$16</f>
        <v>0</v>
      </c>
      <c r="Q38" s="6" t="s">
        <v>91</v>
      </c>
    </row>
    <row r="39" ht="16.8" spans="1:17">
      <c r="A39" s="5"/>
      <c r="B39" s="4" t="s">
        <v>53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5">
        <f>SUM(C39:N39)</f>
        <v>0</v>
      </c>
      <c r="P39" s="29">
        <f>O39/$O$16</f>
        <v>0</v>
      </c>
      <c r="Q39" s="6" t="s">
        <v>91</v>
      </c>
    </row>
    <row r="40" ht="16.8" collapsed="1" spans="1:17">
      <c r="A40" s="5"/>
      <c r="B40" s="4" t="s">
        <v>55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5">
        <f>SUM(C40:N40)</f>
        <v>0</v>
      </c>
      <c r="P40" s="29">
        <f>O40/$O$16</f>
        <v>0</v>
      </c>
      <c r="Q40" s="6" t="s">
        <v>91</v>
      </c>
    </row>
    <row r="41" ht="16.8" hidden="1" outlineLevel="1" spans="1:17">
      <c r="A41" s="5"/>
      <c r="B41" s="4" t="s">
        <v>57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29">
        <f>O38/$O$16</f>
        <v>0</v>
      </c>
      <c r="Q41" s="6" t="s">
        <v>91</v>
      </c>
    </row>
    <row r="42" ht="16.8" hidden="1" outlineLevel="1" spans="1:17">
      <c r="A42" s="5"/>
      <c r="B42" s="4" t="s">
        <v>58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29">
        <f>O39/$O$16</f>
        <v>0</v>
      </c>
      <c r="Q42" s="6" t="s">
        <v>91</v>
      </c>
    </row>
    <row r="43" ht="16.8" hidden="1" outlineLevel="1" spans="1:17">
      <c r="A43" s="5"/>
      <c r="B43" s="4" t="s">
        <v>59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29">
        <f>O40/$O$16</f>
        <v>0</v>
      </c>
      <c r="Q43" s="6" t="s">
        <v>91</v>
      </c>
    </row>
    <row r="44" ht="16.8" spans="1:17">
      <c r="B44" s="17" t="s">
        <v>60</v>
      </c>
      <c r="C44" s="18">
        <f t="shared" ref="C44:N44" si="22">SUM(C45:C46)</f>
        <v>1353.98230088496</v>
      </c>
      <c r="D44" s="18">
        <f t="shared" si="22"/>
        <v>1611.2389380531</v>
      </c>
      <c r="E44" s="18">
        <f t="shared" si="22"/>
        <v>1692.47787610619</v>
      </c>
      <c r="F44" s="18">
        <f t="shared" si="22"/>
        <v>1624.77876106195</v>
      </c>
      <c r="G44" s="18">
        <f t="shared" si="22"/>
        <v>1827.87610619469</v>
      </c>
      <c r="H44" s="18">
        <f t="shared" si="22"/>
        <v>1692.47787610619</v>
      </c>
      <c r="I44" s="18">
        <f t="shared" si="22"/>
        <v>1692.47787610619</v>
      </c>
      <c r="J44" s="18">
        <f t="shared" si="22"/>
        <v>1841.41592920354</v>
      </c>
      <c r="K44" s="18">
        <f t="shared" si="22"/>
        <v>1692.47787610619</v>
      </c>
      <c r="L44" s="18">
        <f t="shared" si="22"/>
        <v>1760.17699115044</v>
      </c>
      <c r="M44" s="18">
        <f t="shared" si="22"/>
        <v>1760.17699115044</v>
      </c>
      <c r="N44" s="18">
        <f t="shared" si="22"/>
        <v>1760.17699115044</v>
      </c>
      <c r="O44" s="18">
        <f t="shared" ref="O44:O60" si="23">SUM(C44:N44)</f>
        <v>20309.7345132743</v>
      </c>
      <c r="P44" s="23">
        <f>O44/$O$16</f>
        <v>0.02</v>
      </c>
      <c r="Q44" s="6"/>
    </row>
    <row r="45" ht="16.8" spans="1:17">
      <c r="A45" s="5"/>
      <c r="B45" s="4" t="s">
        <v>61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5">
        <f t="shared" si="23"/>
        <v>0</v>
      </c>
      <c r="P45" s="29">
        <v>0.01</v>
      </c>
      <c r="Q45" s="6" t="s">
        <v>92</v>
      </c>
    </row>
    <row r="46" ht="16.8" spans="1:17">
      <c r="A46" s="5"/>
      <c r="B46" s="4" t="s">
        <v>63</v>
      </c>
      <c r="C46" s="30">
        <f t="shared" ref="C46:N46" si="24">C16*$P$46</f>
        <v>1353.98230088496</v>
      </c>
      <c r="D46" s="30">
        <f t="shared" si="24"/>
        <v>1611.2389380531</v>
      </c>
      <c r="E46" s="30">
        <f t="shared" si="24"/>
        <v>1692.47787610619</v>
      </c>
      <c r="F46" s="30">
        <f t="shared" si="24"/>
        <v>1624.77876106195</v>
      </c>
      <c r="G46" s="30">
        <f t="shared" si="24"/>
        <v>1827.87610619469</v>
      </c>
      <c r="H46" s="30">
        <f t="shared" si="24"/>
        <v>1692.47787610619</v>
      </c>
      <c r="I46" s="30">
        <f t="shared" si="24"/>
        <v>1692.47787610619</v>
      </c>
      <c r="J46" s="30">
        <f t="shared" si="24"/>
        <v>1841.41592920354</v>
      </c>
      <c r="K46" s="30">
        <f t="shared" si="24"/>
        <v>1692.47787610619</v>
      </c>
      <c r="L46" s="30">
        <f t="shared" si="24"/>
        <v>1760.17699115044</v>
      </c>
      <c r="M46" s="30">
        <f t="shared" si="24"/>
        <v>1760.17699115044</v>
      </c>
      <c r="N46" s="30">
        <f t="shared" si="24"/>
        <v>1760.17699115044</v>
      </c>
      <c r="O46" s="5">
        <f t="shared" si="23"/>
        <v>20309.7345132743</v>
      </c>
      <c r="P46" s="29">
        <v>0.02</v>
      </c>
      <c r="Q46" s="4" t="s">
        <v>83</v>
      </c>
    </row>
    <row r="47" ht="16.8" spans="1:17">
      <c r="B47" s="17" t="s">
        <v>65</v>
      </c>
      <c r="C47" s="18">
        <f t="shared" ref="C47:N47" si="25">SUM(C48:C51)</f>
        <v>0</v>
      </c>
      <c r="D47" s="18">
        <f t="shared" si="25"/>
        <v>0</v>
      </c>
      <c r="E47" s="18">
        <f t="shared" si="25"/>
        <v>0</v>
      </c>
      <c r="F47" s="18">
        <f t="shared" si="25"/>
        <v>0</v>
      </c>
      <c r="G47" s="18">
        <f t="shared" si="25"/>
        <v>0</v>
      </c>
      <c r="H47" s="18">
        <f t="shared" si="25"/>
        <v>0</v>
      </c>
      <c r="I47" s="18">
        <f t="shared" si="25"/>
        <v>0</v>
      </c>
      <c r="J47" s="18">
        <f t="shared" si="25"/>
        <v>0</v>
      </c>
      <c r="K47" s="18">
        <f t="shared" si="25"/>
        <v>0</v>
      </c>
      <c r="L47" s="18">
        <f t="shared" si="25"/>
        <v>0</v>
      </c>
      <c r="M47" s="18">
        <f t="shared" si="25"/>
        <v>0</v>
      </c>
      <c r="N47" s="18">
        <f t="shared" si="25"/>
        <v>0</v>
      </c>
      <c r="O47" s="18">
        <f t="shared" si="23"/>
        <v>0</v>
      </c>
      <c r="P47" s="23">
        <f t="shared" ref="P47:P52" si="26">O47/$O$16</f>
        <v>0</v>
      </c>
      <c r="Q47" s="6"/>
    </row>
    <row r="48" ht="16.8" spans="1:17">
      <c r="A48" s="5"/>
      <c r="B48" s="4" t="s">
        <v>66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5">
        <f t="shared" si="23"/>
        <v>0</v>
      </c>
      <c r="P48" s="29">
        <f t="shared" si="26"/>
        <v>0</v>
      </c>
      <c r="Q48" s="4" t="s">
        <v>95</v>
      </c>
    </row>
    <row r="49" ht="16.8" spans="1:18">
      <c r="A49" s="5"/>
      <c r="B49" s="4" t="s">
        <v>67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5">
        <f t="shared" si="23"/>
        <v>0</v>
      </c>
      <c r="P49" s="29">
        <f t="shared" si="26"/>
        <v>0</v>
      </c>
      <c r="Q49" s="4" t="s">
        <v>95</v>
      </c>
    </row>
    <row r="50" ht="16.8" spans="1:18">
      <c r="A50" s="5"/>
      <c r="B50" s="4" t="s">
        <v>68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5">
        <f t="shared" si="23"/>
        <v>0</v>
      </c>
      <c r="P50" s="29">
        <f t="shared" si="26"/>
        <v>0</v>
      </c>
      <c r="Q50" s="4" t="s">
        <v>95</v>
      </c>
    </row>
    <row r="51" ht="16.8" spans="1:18">
      <c r="B51" s="4" t="s">
        <v>69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5">
        <f t="shared" si="23"/>
        <v>0</v>
      </c>
      <c r="P51" s="29">
        <f t="shared" si="26"/>
        <v>0</v>
      </c>
      <c r="Q51" s="4" t="s">
        <v>95</v>
      </c>
    </row>
    <row r="52" ht="16.8" spans="1:18">
      <c r="B52" s="21" t="s">
        <v>70</v>
      </c>
      <c r="C52" s="22">
        <f t="shared" ref="C52:N52" si="27">SUM(C26,C37,C44,C47)</f>
        <v>2353.53816071187</v>
      </c>
      <c r="D52" s="22">
        <f t="shared" si="27"/>
        <v>5156.07225806165</v>
      </c>
      <c r="E52" s="22">
        <f t="shared" si="27"/>
        <v>7995.50963165001</v>
      </c>
      <c r="F52" s="22">
        <f t="shared" si="27"/>
        <v>5181.7208000044</v>
      </c>
      <c r="G52" s="22">
        <f t="shared" si="27"/>
        <v>16974.8554507627</v>
      </c>
      <c r="H52" s="22">
        <f t="shared" si="27"/>
        <v>10465.8198189465</v>
      </c>
      <c r="I52" s="22">
        <f t="shared" si="27"/>
        <v>3322.60534060822</v>
      </c>
      <c r="J52" s="22">
        <f t="shared" si="27"/>
        <v>4643.37874674871</v>
      </c>
      <c r="K52" s="22">
        <f t="shared" si="27"/>
        <v>3939.6700871126</v>
      </c>
      <c r="L52" s="22">
        <f t="shared" si="27"/>
        <v>9679.16464371035</v>
      </c>
      <c r="M52" s="22">
        <f t="shared" si="27"/>
        <v>4882.58515651866</v>
      </c>
      <c r="N52" s="22">
        <f t="shared" si="27"/>
        <v>3617.35212166985</v>
      </c>
      <c r="O52" s="22">
        <f t="shared" si="23"/>
        <v>78212.2722165055</v>
      </c>
      <c r="P52" s="24">
        <f t="shared" si="26"/>
        <v>0.077019492465927</v>
      </c>
      <c r="Q52" s="6"/>
    </row>
    <row r="53" ht="16.8" spans="1:18">
      <c r="A53" s="5"/>
      <c r="B53" s="4" t="s">
        <v>71</v>
      </c>
      <c r="C53" s="30">
        <f t="shared" ref="C53:N53" si="28">C16*$P$53</f>
        <v>3588.05309734513</v>
      </c>
      <c r="D53" s="30">
        <f t="shared" si="28"/>
        <v>4269.78318584071</v>
      </c>
      <c r="E53" s="30">
        <f t="shared" si="28"/>
        <v>4485.06637168142</v>
      </c>
      <c r="F53" s="30">
        <f t="shared" si="28"/>
        <v>4305.66371681416</v>
      </c>
      <c r="G53" s="30">
        <f t="shared" si="28"/>
        <v>4843.87168141593</v>
      </c>
      <c r="H53" s="30">
        <f t="shared" si="28"/>
        <v>4485.06637168142</v>
      </c>
      <c r="I53" s="30">
        <f t="shared" si="28"/>
        <v>4485.06637168142</v>
      </c>
      <c r="J53" s="30">
        <f t="shared" si="28"/>
        <v>4879.75221238938</v>
      </c>
      <c r="K53" s="30">
        <f t="shared" si="28"/>
        <v>4485.06637168142</v>
      </c>
      <c r="L53" s="30">
        <f t="shared" si="28"/>
        <v>4664.46902654867</v>
      </c>
      <c r="M53" s="30">
        <f t="shared" si="28"/>
        <v>4664.46902654867</v>
      </c>
      <c r="N53" s="30">
        <f t="shared" si="28"/>
        <v>4664.46902654867</v>
      </c>
      <c r="O53" s="5">
        <f t="shared" si="23"/>
        <v>53820.796460177</v>
      </c>
      <c r="P53" s="29">
        <v>0.053</v>
      </c>
      <c r="Q53" s="6"/>
    </row>
    <row r="54" ht="16.8" spans="1:18">
      <c r="A54" s="5"/>
      <c r="B54" s="4" t="s">
        <v>73</v>
      </c>
      <c r="C54" s="30">
        <f t="shared" ref="C54:N54" si="29">C16*$P$54</f>
        <v>947.787610619469</v>
      </c>
      <c r="D54" s="30">
        <f t="shared" si="29"/>
        <v>1127.86725663717</v>
      </c>
      <c r="E54" s="30">
        <f t="shared" si="29"/>
        <v>1184.73451327434</v>
      </c>
      <c r="F54" s="30">
        <f t="shared" si="29"/>
        <v>1137.34513274336</v>
      </c>
      <c r="G54" s="30">
        <f t="shared" si="29"/>
        <v>1279.51327433628</v>
      </c>
      <c r="H54" s="30">
        <f t="shared" si="29"/>
        <v>1184.73451327434</v>
      </c>
      <c r="I54" s="30">
        <f t="shared" si="29"/>
        <v>1184.73451327434</v>
      </c>
      <c r="J54" s="30">
        <f t="shared" si="29"/>
        <v>1288.99115044248</v>
      </c>
      <c r="K54" s="30">
        <f t="shared" si="29"/>
        <v>1184.73451327434</v>
      </c>
      <c r="L54" s="30">
        <f t="shared" si="29"/>
        <v>1232.12389380531</v>
      </c>
      <c r="M54" s="30">
        <f t="shared" si="29"/>
        <v>1232.12389380531</v>
      </c>
      <c r="N54" s="30">
        <f t="shared" si="29"/>
        <v>1232.12389380531</v>
      </c>
      <c r="O54" s="5">
        <f t="shared" si="23"/>
        <v>14216.814159292</v>
      </c>
      <c r="P54" s="29">
        <v>0.014</v>
      </c>
      <c r="Q54" s="6"/>
    </row>
    <row r="55" ht="16.8" spans="1:18">
      <c r="A55" s="5"/>
      <c r="B55" s="4" t="s">
        <v>75</v>
      </c>
      <c r="C55" s="30">
        <v>5381.425762537</v>
      </c>
      <c r="D55" s="30">
        <v>3518.97501137194</v>
      </c>
      <c r="E55" s="30">
        <v>2744.77310565655</v>
      </c>
      <c r="F55" s="30">
        <v>4224.05001877082</v>
      </c>
      <c r="G55" s="30">
        <v>3627.60226679303</v>
      </c>
      <c r="H55" s="30">
        <v>2541.38574145746</v>
      </c>
      <c r="I55" s="30">
        <v>3540.8542871866</v>
      </c>
      <c r="J55" s="30">
        <v>2739.39178685823</v>
      </c>
      <c r="K55" s="30">
        <v>3774.70862572753</v>
      </c>
      <c r="L55" s="30">
        <v>2979.4780643956</v>
      </c>
      <c r="M55" s="30">
        <v>2609.67475341116</v>
      </c>
      <c r="N55" s="30">
        <v>2546.19913120134</v>
      </c>
      <c r="O55" s="5">
        <f t="shared" si="23"/>
        <v>40228.5185553673</v>
      </c>
      <c r="P55" s="29">
        <v>0.03</v>
      </c>
      <c r="Q55" s="6"/>
    </row>
    <row r="56" ht="16.8" spans="1:18">
      <c r="A56" s="5"/>
      <c r="B56" s="4" t="s">
        <v>77</v>
      </c>
      <c r="C56" s="30">
        <f t="shared" ref="C56:N56" si="30">C16*$P$56</f>
        <v>67.6991150442478</v>
      </c>
      <c r="D56" s="30">
        <f t="shared" si="30"/>
        <v>80.5619469026549</v>
      </c>
      <c r="E56" s="30">
        <f t="shared" si="30"/>
        <v>84.6238938053097</v>
      </c>
      <c r="F56" s="30">
        <f t="shared" si="30"/>
        <v>81.2389380530974</v>
      </c>
      <c r="G56" s="30">
        <f t="shared" si="30"/>
        <v>91.3938053097345</v>
      </c>
      <c r="H56" s="30">
        <f t="shared" si="30"/>
        <v>84.6238938053097</v>
      </c>
      <c r="I56" s="30">
        <f t="shared" si="30"/>
        <v>84.6238938053097</v>
      </c>
      <c r="J56" s="30">
        <f t="shared" si="30"/>
        <v>92.070796460177</v>
      </c>
      <c r="K56" s="30">
        <f t="shared" si="30"/>
        <v>84.6238938053097</v>
      </c>
      <c r="L56" s="30">
        <f t="shared" si="30"/>
        <v>88.0088495575221</v>
      </c>
      <c r="M56" s="30">
        <f t="shared" si="30"/>
        <v>88.0088495575221</v>
      </c>
      <c r="N56" s="30">
        <f t="shared" si="30"/>
        <v>88.0088495575221</v>
      </c>
      <c r="O56" s="5">
        <f t="shared" si="23"/>
        <v>1015.48672566372</v>
      </c>
      <c r="P56" s="29">
        <v>0.001</v>
      </c>
      <c r="Q56" s="6"/>
    </row>
    <row r="57" ht="16.8" spans="1:18">
      <c r="A57" s="5"/>
      <c r="B57" s="4" t="s">
        <v>79</v>
      </c>
      <c r="C57" s="30">
        <v>636.730058262917</v>
      </c>
      <c r="D57" s="30"/>
      <c r="E57" s="30"/>
      <c r="F57" s="30"/>
      <c r="G57" s="30">
        <v>254.692023305167</v>
      </c>
      <c r="H57" s="30"/>
      <c r="I57" s="30"/>
      <c r="J57" s="30"/>
      <c r="K57" s="30"/>
      <c r="L57" s="30">
        <v>254.692023305167</v>
      </c>
      <c r="M57" s="30"/>
      <c r="N57" s="30">
        <v>764.076069915501</v>
      </c>
      <c r="O57" s="5">
        <f t="shared" si="23"/>
        <v>1910.19017478875</v>
      </c>
      <c r="P57" s="29">
        <f>O57/$O$16</f>
        <v>0.00188105873421463</v>
      </c>
      <c r="Q57" s="4"/>
    </row>
    <row r="58" ht="16.8" spans="1:18">
      <c r="B58" s="21" t="s">
        <v>80</v>
      </c>
      <c r="C58" s="22">
        <f t="shared" ref="C58:N58" si="31">SUM(C53:C57)</f>
        <v>10621.6956438088</v>
      </c>
      <c r="D58" s="22">
        <f t="shared" si="31"/>
        <v>8997.18740075248</v>
      </c>
      <c r="E58" s="22">
        <f t="shared" si="31"/>
        <v>8499.19788441761</v>
      </c>
      <c r="F58" s="22">
        <f t="shared" si="31"/>
        <v>9748.29780638144</v>
      </c>
      <c r="G58" s="22">
        <f t="shared" si="31"/>
        <v>10097.0730511601</v>
      </c>
      <c r="H58" s="22">
        <f t="shared" si="31"/>
        <v>8295.81052021853</v>
      </c>
      <c r="I58" s="22">
        <f t="shared" si="31"/>
        <v>9295.27906594766</v>
      </c>
      <c r="J58" s="22">
        <f t="shared" si="31"/>
        <v>9000.20594615026</v>
      </c>
      <c r="K58" s="22">
        <f t="shared" si="31"/>
        <v>9529.13340448859</v>
      </c>
      <c r="L58" s="22">
        <f t="shared" si="31"/>
        <v>9218.77185761227</v>
      </c>
      <c r="M58" s="22">
        <f t="shared" si="31"/>
        <v>8594.27652332266</v>
      </c>
      <c r="N58" s="22">
        <f t="shared" si="31"/>
        <v>9294.87697102835</v>
      </c>
      <c r="O58" s="22">
        <f t="shared" si="23"/>
        <v>111191.806075289</v>
      </c>
      <c r="P58" s="24">
        <f>O58/$O$16</f>
        <v>0.109496070470655</v>
      </c>
      <c r="Q58" s="6"/>
    </row>
    <row r="59" ht="16.8" spans="1:18">
      <c r="A59" s="7"/>
      <c r="B59" s="12" t="s">
        <v>81</v>
      </c>
      <c r="C59" s="13">
        <f t="shared" ref="C59:N59" si="32">SUM(C52,C58)</f>
        <v>12975.2338045206</v>
      </c>
      <c r="D59" s="13">
        <f t="shared" si="32"/>
        <v>14153.2596588141</v>
      </c>
      <c r="E59" s="13">
        <f t="shared" si="32"/>
        <v>16494.7075160676</v>
      </c>
      <c r="F59" s="13">
        <f t="shared" si="32"/>
        <v>14930.0186063858</v>
      </c>
      <c r="G59" s="13">
        <f t="shared" si="32"/>
        <v>27071.9285019228</v>
      </c>
      <c r="H59" s="13">
        <f t="shared" si="32"/>
        <v>18761.6303391651</v>
      </c>
      <c r="I59" s="13">
        <f t="shared" si="32"/>
        <v>12617.8844065559</v>
      </c>
      <c r="J59" s="13">
        <f t="shared" si="32"/>
        <v>13643.584692899</v>
      </c>
      <c r="K59" s="13">
        <f t="shared" si="32"/>
        <v>13468.8034916012</v>
      </c>
      <c r="L59" s="13">
        <f t="shared" si="32"/>
        <v>18897.9365013226</v>
      </c>
      <c r="M59" s="13">
        <f t="shared" si="32"/>
        <v>13476.8616798413</v>
      </c>
      <c r="N59" s="13">
        <f t="shared" si="32"/>
        <v>12912.2290926982</v>
      </c>
      <c r="O59" s="13">
        <f t="shared" si="23"/>
        <v>189404.078291794</v>
      </c>
      <c r="P59" s="27">
        <f>O59/$O$16</f>
        <v>0.186515562936582</v>
      </c>
      <c r="Q59" s="32"/>
      <c r="R59" s="33"/>
    </row>
    <row r="60" ht="16.8" spans="1:18">
      <c r="A60" s="7"/>
      <c r="B60" s="12" t="s">
        <v>82</v>
      </c>
      <c r="C60" s="13">
        <f t="shared" ref="C60:N60" si="33">C22-C59</f>
        <v>19893.9238218861</v>
      </c>
      <c r="D60" s="13">
        <f t="shared" si="33"/>
        <v>25128.5767952126</v>
      </c>
      <c r="E60" s="13">
        <f t="shared" si="33"/>
        <v>22497.360994826</v>
      </c>
      <c r="F60" s="13">
        <f t="shared" si="33"/>
        <v>22389.3745668127</v>
      </c>
      <c r="G60" s="13">
        <f t="shared" si="33"/>
        <v>20057.555054452</v>
      </c>
      <c r="H60" s="13">
        <f t="shared" si="33"/>
        <v>24260.990768712</v>
      </c>
      <c r="I60" s="13">
        <f t="shared" si="33"/>
        <v>33415.3871718097</v>
      </c>
      <c r="J60" s="13">
        <f t="shared" si="33"/>
        <v>36549.2383137432</v>
      </c>
      <c r="K60" s="13">
        <f t="shared" si="33"/>
        <v>33293.1639491632</v>
      </c>
      <c r="L60" s="13">
        <f t="shared" si="33"/>
        <v>30334.2492683402</v>
      </c>
      <c r="M60" s="13">
        <f t="shared" si="33"/>
        <v>36597.7837370581</v>
      </c>
      <c r="N60" s="13">
        <f t="shared" si="33"/>
        <v>37516.1239965281</v>
      </c>
      <c r="O60" s="13">
        <f t="shared" si="23"/>
        <v>341933.728438544</v>
      </c>
      <c r="P60" s="27">
        <f>O60/$O$16</f>
        <v>0.336719052841442</v>
      </c>
      <c r="Q60" s="32"/>
      <c r="R60" s="34"/>
    </row>
    <row r="61" spans="1:18">
      <c r="Q61" s="6"/>
    </row>
    <row r="62" spans="1:18">
      <c r="B62" s="61" t="s">
        <v>117</v>
      </c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35"/>
      <c r="Q62" s="6"/>
    </row>
    <row r="63" ht="16.8" spans="1:18">
      <c r="B63" s="63" t="s">
        <v>118</v>
      </c>
      <c r="C63" s="63">
        <v>366.6</v>
      </c>
      <c r="D63" s="63">
        <v>362.6</v>
      </c>
      <c r="E63" s="63">
        <v>362.8</v>
      </c>
      <c r="F63" s="63">
        <v>357</v>
      </c>
      <c r="G63" s="63">
        <v>376.4</v>
      </c>
      <c r="H63" s="63">
        <v>376.1</v>
      </c>
      <c r="I63" s="63">
        <v>401.9</v>
      </c>
      <c r="J63" s="63">
        <v>400.9</v>
      </c>
      <c r="K63" s="63">
        <v>401.8</v>
      </c>
      <c r="L63" s="63">
        <v>398.6</v>
      </c>
      <c r="M63" s="63">
        <v>397.7</v>
      </c>
      <c r="N63" s="63">
        <v>392.4</v>
      </c>
      <c r="Q63" s="6"/>
    </row>
    <row r="64" ht="16.8" spans="1:18">
      <c r="B64" s="63" t="s">
        <v>119</v>
      </c>
      <c r="C64" s="63">
        <v>158.8</v>
      </c>
      <c r="D64" s="63">
        <v>156.4</v>
      </c>
      <c r="E64" s="63">
        <v>165.1</v>
      </c>
      <c r="F64" s="63">
        <v>162.9</v>
      </c>
      <c r="G64" s="63">
        <v>153</v>
      </c>
      <c r="H64" s="63">
        <v>155.3</v>
      </c>
      <c r="I64" s="63">
        <v>153.3</v>
      </c>
      <c r="J64" s="63">
        <v>152.5</v>
      </c>
      <c r="K64" s="63">
        <v>150.2</v>
      </c>
      <c r="L64" s="63">
        <v>146.6</v>
      </c>
      <c r="M64" s="63">
        <v>142.9</v>
      </c>
      <c r="N64" s="63">
        <v>139.6</v>
      </c>
      <c r="Q64" s="6"/>
    </row>
    <row r="65" spans="2:17">
      <c r="B65" s="61" t="s">
        <v>16</v>
      </c>
      <c r="C65" s="64">
        <f t="shared" ref="C65:N65" si="34">C8/C63</f>
        <v>208.674304418985</v>
      </c>
      <c r="D65" s="64">
        <f t="shared" si="34"/>
        <v>251.061776061776</v>
      </c>
      <c r="E65" s="64">
        <f t="shared" si="34"/>
        <v>263.574972436604</v>
      </c>
      <c r="F65" s="64">
        <f t="shared" si="34"/>
        <v>257.142857142857</v>
      </c>
      <c r="G65" s="64">
        <f t="shared" si="34"/>
        <v>274.375664187035</v>
      </c>
      <c r="H65" s="64">
        <f t="shared" si="34"/>
        <v>254.254187716033</v>
      </c>
      <c r="I65" s="64">
        <f t="shared" si="34"/>
        <v>237.932321473003</v>
      </c>
      <c r="J65" s="64">
        <f t="shared" si="34"/>
        <v>259.5160888002</v>
      </c>
      <c r="K65" s="64">
        <f t="shared" si="34"/>
        <v>237.991538078646</v>
      </c>
      <c r="L65" s="64">
        <f t="shared" si="34"/>
        <v>249.498243853487</v>
      </c>
      <c r="M65" s="64">
        <f t="shared" si="34"/>
        <v>250.062861453357</v>
      </c>
      <c r="N65" s="64">
        <f t="shared" si="34"/>
        <v>253.440366972477</v>
      </c>
      <c r="Q65" s="6"/>
    </row>
    <row r="66" spans="2:17">
      <c r="Q66" s="6"/>
    </row>
    <row r="67" spans="2:17">
      <c r="Q67" s="6"/>
    </row>
    <row r="68" spans="2:17">
      <c r="Q68" s="6"/>
    </row>
    <row r="69" spans="2:17">
      <c r="Q69" s="6"/>
    </row>
    <row r="70" spans="2:17">
      <c r="Q70" s="6"/>
    </row>
    <row r="71" spans="2:17">
      <c r="Q71" s="6"/>
    </row>
    <row r="72" spans="2:17">
      <c r="Q72" s="6"/>
    </row>
    <row r="73" spans="2:17">
      <c r="Q73" s="6"/>
    </row>
    <row r="74" spans="2:17">
      <c r="Q74" s="6"/>
    </row>
    <row r="75" spans="2:17">
      <c r="Q75" s="6"/>
    </row>
    <row r="76" spans="2:17">
      <c r="Q76" s="6"/>
    </row>
    <row r="77" spans="2:17">
      <c r="Q77" s="6"/>
    </row>
    <row r="78" spans="2:17">
      <c r="Q78" s="6"/>
    </row>
    <row r="79" spans="2:17">
      <c r="Q79" s="6"/>
    </row>
    <row r="80" spans="2:17">
      <c r="Q80" s="6"/>
    </row>
    <row r="81" spans="2:17">
      <c r="C81" s="35">
        <f t="shared" ref="C81:O81" si="35">C16-C18-C20-C26-C37-C44-C47-C58-C60</f>
        <v>0</v>
      </c>
      <c r="D81" s="35">
        <f t="shared" si="35"/>
        <v>0</v>
      </c>
      <c r="E81" s="35">
        <f t="shared" si="35"/>
        <v>0</v>
      </c>
      <c r="F81" s="35">
        <f t="shared" si="35"/>
        <v>0</v>
      </c>
      <c r="G81" s="35">
        <f t="shared" si="35"/>
        <v>0</v>
      </c>
      <c r="H81" s="35">
        <f t="shared" si="35"/>
        <v>0</v>
      </c>
      <c r="I81" s="35">
        <f t="shared" si="35"/>
        <v>0</v>
      </c>
      <c r="J81" s="35">
        <f t="shared" si="35"/>
        <v>0</v>
      </c>
      <c r="K81" s="35">
        <f t="shared" si="35"/>
        <v>0</v>
      </c>
      <c r="L81" s="35">
        <f t="shared" si="35"/>
        <v>0</v>
      </c>
      <c r="M81" s="35">
        <f t="shared" si="35"/>
        <v>0</v>
      </c>
      <c r="N81" s="35">
        <f t="shared" si="35"/>
        <v>0</v>
      </c>
      <c r="O81" s="35">
        <f t="shared" si="35"/>
        <v>0</v>
      </c>
      <c r="Q81" s="6"/>
    </row>
    <row r="82" spans="2:17">
      <c r="C82" s="53">
        <f t="shared" ref="C82:O82" si="36">C10-C11-C12-C13-C15</f>
        <v>0</v>
      </c>
      <c r="D82" s="53">
        <f t="shared" si="36"/>
        <v>0</v>
      </c>
      <c r="E82" s="53">
        <f t="shared" si="36"/>
        <v>0</v>
      </c>
      <c r="F82" s="53">
        <f t="shared" si="36"/>
        <v>0</v>
      </c>
      <c r="G82" s="53">
        <f t="shared" si="36"/>
        <v>0</v>
      </c>
      <c r="H82" s="53">
        <f t="shared" si="36"/>
        <v>0</v>
      </c>
      <c r="I82" s="53">
        <f t="shared" si="36"/>
        <v>0</v>
      </c>
      <c r="J82" s="53">
        <f t="shared" si="36"/>
        <v>0</v>
      </c>
      <c r="K82" s="53">
        <f t="shared" si="36"/>
        <v>0</v>
      </c>
      <c r="L82" s="53">
        <f t="shared" si="36"/>
        <v>0</v>
      </c>
      <c r="M82" s="53">
        <f t="shared" si="36"/>
        <v>0</v>
      </c>
      <c r="N82" s="53">
        <f t="shared" si="36"/>
        <v>0</v>
      </c>
      <c r="O82" s="53">
        <f t="shared" si="36"/>
        <v>0</v>
      </c>
      <c r="Q82" s="6"/>
    </row>
    <row r="83" spans="2:17">
      <c r="Q83" s="6"/>
    </row>
    <row r="84" spans="2:17">
      <c r="Q84" s="6"/>
    </row>
    <row r="85" spans="2:17">
      <c r="Q85" s="6"/>
    </row>
    <row r="86" spans="2:17">
      <c r="Q86" s="6"/>
    </row>
    <row r="87" spans="2:17">
      <c r="Q87" s="6"/>
    </row>
    <row r="88" spans="2:17">
      <c r="Q88" s="6"/>
    </row>
    <row r="89" spans="2:17">
      <c r="Q89" s="6"/>
    </row>
    <row r="90" spans="2:17">
      <c r="Q90" s="6"/>
    </row>
    <row r="91" spans="2:17">
      <c r="Q91" s="6"/>
    </row>
    <row r="92" spans="2:17">
      <c r="Q92" s="6"/>
    </row>
    <row r="93" spans="2:17">
      <c r="B93" s="6" t="s">
        <v>120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Q93" s="6"/>
    </row>
    <row r="94" ht="16.8" spans="2:17">
      <c r="B94" s="17" t="s">
        <v>39</v>
      </c>
      <c r="C94" s="37">
        <f t="shared" ref="C94:N94" si="37">SUM(C95:C99)</f>
        <v>0</v>
      </c>
      <c r="D94" s="37">
        <f t="shared" si="37"/>
        <v>0</v>
      </c>
      <c r="E94" s="37">
        <f t="shared" si="37"/>
        <v>0</v>
      </c>
      <c r="F94" s="37">
        <f t="shared" si="37"/>
        <v>0</v>
      </c>
      <c r="G94" s="37">
        <f t="shared" si="37"/>
        <v>0</v>
      </c>
      <c r="H94" s="37">
        <f t="shared" si="37"/>
        <v>0</v>
      </c>
      <c r="I94" s="37">
        <f t="shared" si="37"/>
        <v>0</v>
      </c>
      <c r="J94" s="37">
        <f t="shared" si="37"/>
        <v>0</v>
      </c>
      <c r="K94" s="37">
        <f t="shared" si="37"/>
        <v>0</v>
      </c>
      <c r="L94" s="37">
        <f t="shared" si="37"/>
        <v>0</v>
      </c>
      <c r="M94" s="37">
        <f t="shared" si="37"/>
        <v>0</v>
      </c>
      <c r="N94" s="37">
        <f t="shared" si="37"/>
        <v>0</v>
      </c>
      <c r="Q94" s="6"/>
    </row>
    <row r="95" ht="16.8" spans="2:17">
      <c r="B95" s="4" t="s">
        <v>40</v>
      </c>
      <c r="C95" s="45">
        <f>'线下门店-小计'!C27*(C15/('26年全渠道汇总'!C15-'线下门店-小计'!C15))</f>
        <v>0</v>
      </c>
      <c r="D95" s="45">
        <f>'线下门店-小计'!D27*(D15/('26年全渠道汇总'!D15-'线下门店-小计'!D15))</f>
        <v>0</v>
      </c>
      <c r="E95" s="45">
        <f>'线下门店-小计'!E27*(E15/('26年全渠道汇总'!E15-'线下门店-小计'!E15))</f>
        <v>0</v>
      </c>
      <c r="F95" s="45">
        <f>'线下门店-小计'!F27*(F15/('26年全渠道汇总'!F15-'线下门店-小计'!F15))</f>
        <v>0</v>
      </c>
      <c r="G95" s="45">
        <f>'线下门店-小计'!G27*(G15/('26年全渠道汇总'!G15-'线下门店-小计'!G15))</f>
        <v>0</v>
      </c>
      <c r="H95" s="45">
        <f>'线下门店-小计'!H27*(H15/('26年全渠道汇总'!H15-'线下门店-小计'!H15))</f>
        <v>0</v>
      </c>
      <c r="I95" s="45">
        <f>'线下门店-小计'!I27*(I15/('26年全渠道汇总'!I15-'线下门店-小计'!I15))</f>
        <v>0</v>
      </c>
      <c r="J95" s="45">
        <f>'线下门店-小计'!J27*(J15/('26年全渠道汇总'!J15-'线下门店-小计'!J15))</f>
        <v>0</v>
      </c>
      <c r="K95" s="45">
        <f>'线下门店-小计'!K27*(K15/('26年全渠道汇总'!K15-'线下门店-小计'!K15))</f>
        <v>0</v>
      </c>
      <c r="L95" s="45">
        <f>'线下门店-小计'!L27*(L15/('26年全渠道汇总'!L15-'线下门店-小计'!L15))</f>
        <v>0</v>
      </c>
      <c r="M95" s="45">
        <f>'线下门店-小计'!M27*(M15/('26年全渠道汇总'!M15-'线下门店-小计'!M15))</f>
        <v>0</v>
      </c>
      <c r="N95" s="45">
        <f>'线下门店-小计'!N27*(N15/('26年全渠道汇总'!N15-'线下门店-小计'!N15))</f>
        <v>0</v>
      </c>
      <c r="Q95" s="6"/>
    </row>
    <row r="96" ht="16.8" spans="2:17">
      <c r="B96" s="4" t="s">
        <v>41</v>
      </c>
      <c r="C96" s="45">
        <f>'线下门店-小计'!C28*(C15/('26年全渠道汇总'!C15-'线下门店-小计'!C15))</f>
        <v>0</v>
      </c>
      <c r="D96" s="45">
        <f>'线下门店-小计'!D28*(D15/('26年全渠道汇总'!D15-'线下门店-小计'!D15))</f>
        <v>0</v>
      </c>
      <c r="E96" s="45">
        <f>'线下门店-小计'!E28*(E15/('26年全渠道汇总'!E15-'线下门店-小计'!E15))</f>
        <v>0</v>
      </c>
      <c r="F96" s="45">
        <f>'线下门店-小计'!F28*(F15/('26年全渠道汇总'!F15-'线下门店-小计'!F15))</f>
        <v>0</v>
      </c>
      <c r="G96" s="45">
        <f>'线下门店-小计'!G28*(G15/('26年全渠道汇总'!G15-'线下门店-小计'!G15))</f>
        <v>0</v>
      </c>
      <c r="H96" s="45">
        <f>'线下门店-小计'!H28*(H15/('26年全渠道汇总'!H15-'线下门店-小计'!H15))</f>
        <v>0</v>
      </c>
      <c r="I96" s="45">
        <f>'线下门店-小计'!I28*(I15/('26年全渠道汇总'!I15-'线下门店-小计'!I15))</f>
        <v>0</v>
      </c>
      <c r="J96" s="45">
        <f>'线下门店-小计'!J28*(J15/('26年全渠道汇总'!J15-'线下门店-小计'!J15))</f>
        <v>0</v>
      </c>
      <c r="K96" s="45">
        <f>'线下门店-小计'!K28*(K15/('26年全渠道汇总'!K15-'线下门店-小计'!K15))</f>
        <v>0</v>
      </c>
      <c r="L96" s="45">
        <f>'线下门店-小计'!L28*(L15/('26年全渠道汇总'!L15-'线下门店-小计'!L15))</f>
        <v>0</v>
      </c>
      <c r="M96" s="45">
        <f>'线下门店-小计'!M28*(M15/('26年全渠道汇总'!M15-'线下门店-小计'!M15))</f>
        <v>0</v>
      </c>
      <c r="N96" s="45">
        <f>'线下门店-小计'!N28*(N15/('26年全渠道汇总'!N15-'线下门店-小计'!N15))</f>
        <v>0</v>
      </c>
      <c r="Q96" s="6"/>
    </row>
    <row r="97" ht="16.8" spans="2:17">
      <c r="B97" s="4" t="s">
        <v>42</v>
      </c>
      <c r="C97" s="45">
        <f>'线下门店-小计'!C29*(C15/('26年全渠道汇总'!C15-'线下门店-小计'!C15))</f>
        <v>0</v>
      </c>
      <c r="D97" s="45">
        <f>'线下门店-小计'!D29*(D15/('26年全渠道汇总'!D15-'线下门店-小计'!D15))</f>
        <v>0</v>
      </c>
      <c r="E97" s="45">
        <f>'线下门店-小计'!E29*(E15/('26年全渠道汇总'!E15-'线下门店-小计'!E15))</f>
        <v>0</v>
      </c>
      <c r="F97" s="45">
        <f>'线下门店-小计'!F29*(F15/('26年全渠道汇总'!F15-'线下门店-小计'!F15))</f>
        <v>0</v>
      </c>
      <c r="G97" s="45">
        <f>'线下门店-小计'!G29*(G15/('26年全渠道汇总'!G15-'线下门店-小计'!G15))</f>
        <v>0</v>
      </c>
      <c r="H97" s="45">
        <f>'线下门店-小计'!H29*(H15/('26年全渠道汇总'!H15-'线下门店-小计'!H15))</f>
        <v>0</v>
      </c>
      <c r="I97" s="45">
        <f>'线下门店-小计'!I29*(I15/('26年全渠道汇总'!I15-'线下门店-小计'!I15))</f>
        <v>0</v>
      </c>
      <c r="J97" s="45">
        <f>'线下门店-小计'!J29*(J15/('26年全渠道汇总'!J15-'线下门店-小计'!J15))</f>
        <v>0</v>
      </c>
      <c r="K97" s="45">
        <f>'线下门店-小计'!K29*(K15/('26年全渠道汇总'!K15-'线下门店-小计'!K15))</f>
        <v>0</v>
      </c>
      <c r="L97" s="45">
        <f>'线下门店-小计'!L29*(L15/('26年全渠道汇总'!L15-'线下门店-小计'!L15))</f>
        <v>0</v>
      </c>
      <c r="M97" s="45">
        <f>'线下门店-小计'!M29*(M15/('26年全渠道汇总'!M15-'线下门店-小计'!M15))</f>
        <v>0</v>
      </c>
      <c r="N97" s="45">
        <f>'线下门店-小计'!N29*(N15/('26年全渠道汇总'!N15-'线下门店-小计'!N15))</f>
        <v>0</v>
      </c>
      <c r="Q97" s="6"/>
    </row>
    <row r="98" ht="16.8" spans="2:17">
      <c r="B98" s="4" t="s">
        <v>43</v>
      </c>
      <c r="C98" s="45">
        <f>'线下门店-小计'!C30*(C15/('26年全渠道汇总'!C15-'线下门店-小计'!C15))</f>
        <v>0</v>
      </c>
      <c r="D98" s="45">
        <f>'线下门店-小计'!D30*(D15/('26年全渠道汇总'!D15-'线下门店-小计'!D15))</f>
        <v>0</v>
      </c>
      <c r="E98" s="45">
        <f>'线下门店-小计'!E30*(E15/('26年全渠道汇总'!E15-'线下门店-小计'!E15))</f>
        <v>0</v>
      </c>
      <c r="F98" s="45">
        <f>'线下门店-小计'!F30*(F15/('26年全渠道汇总'!F15-'线下门店-小计'!F15))</f>
        <v>0</v>
      </c>
      <c r="G98" s="45">
        <f>'线下门店-小计'!G30*(G15/('26年全渠道汇总'!G15-'线下门店-小计'!G15))</f>
        <v>0</v>
      </c>
      <c r="H98" s="45">
        <f>'线下门店-小计'!H30*(H15/('26年全渠道汇总'!H15-'线下门店-小计'!H15))</f>
        <v>0</v>
      </c>
      <c r="I98" s="45">
        <f>'线下门店-小计'!I30*(I15/('26年全渠道汇总'!I15-'线下门店-小计'!I15))</f>
        <v>0</v>
      </c>
      <c r="J98" s="45">
        <f>'线下门店-小计'!J30*(J15/('26年全渠道汇总'!J15-'线下门店-小计'!J15))</f>
        <v>0</v>
      </c>
      <c r="K98" s="45">
        <f>'线下门店-小计'!K30*(K15/('26年全渠道汇总'!K15-'线下门店-小计'!K15))</f>
        <v>0</v>
      </c>
      <c r="L98" s="45">
        <f>'线下门店-小计'!L30*(L15/('26年全渠道汇总'!L15-'线下门店-小计'!L15))</f>
        <v>0</v>
      </c>
      <c r="M98" s="45">
        <f>'线下门店-小计'!M30*(M15/('26年全渠道汇总'!M15-'线下门店-小计'!M15))</f>
        <v>0</v>
      </c>
      <c r="N98" s="45">
        <f>'线下门店-小计'!N30*(N15/('26年全渠道汇总'!N15-'线下门店-小计'!N15))</f>
        <v>0</v>
      </c>
      <c r="Q98" s="6"/>
    </row>
    <row r="99" ht="16.8" spans="2:17">
      <c r="B99" s="4" t="s">
        <v>44</v>
      </c>
      <c r="C99" s="45">
        <f>'线下门店-小计'!C31*(C15/('26年全渠道汇总'!C15-'线下门店-小计'!C15))</f>
        <v>0</v>
      </c>
      <c r="D99" s="45">
        <f>'线下门店-小计'!D31*(D15/('26年全渠道汇总'!D15-'线下门店-小计'!D15))</f>
        <v>0</v>
      </c>
      <c r="E99" s="45">
        <f>'线下门店-小计'!E31*(E15/('26年全渠道汇总'!E15-'线下门店-小计'!E15))</f>
        <v>0</v>
      </c>
      <c r="F99" s="45">
        <f>'线下门店-小计'!F31*(F15/('26年全渠道汇总'!F15-'线下门店-小计'!F15))</f>
        <v>0</v>
      </c>
      <c r="G99" s="45">
        <f>'线下门店-小计'!G31*(G15/('26年全渠道汇总'!G15-'线下门店-小计'!G15))</f>
        <v>0</v>
      </c>
      <c r="H99" s="45">
        <f>'线下门店-小计'!H31*(H15/('26年全渠道汇总'!H15-'线下门店-小计'!H15))</f>
        <v>0</v>
      </c>
      <c r="I99" s="45">
        <f>'线下门店-小计'!I31*(I15/('26年全渠道汇总'!I15-'线下门店-小计'!I15))</f>
        <v>0</v>
      </c>
      <c r="J99" s="45">
        <f>'线下门店-小计'!J31*(J15/('26年全渠道汇总'!J15-'线下门店-小计'!J15))</f>
        <v>0</v>
      </c>
      <c r="K99" s="45">
        <f>'线下门店-小计'!K31*(K15/('26年全渠道汇总'!K15-'线下门店-小计'!K15))</f>
        <v>0</v>
      </c>
      <c r="L99" s="45">
        <f>'线下门店-小计'!L31*(L15/('26年全渠道汇总'!L15-'线下门店-小计'!L15))</f>
        <v>0</v>
      </c>
      <c r="M99" s="45">
        <f>'线下门店-小计'!M31*(M15/('26年全渠道汇总'!M15-'线下门店-小计'!M15))</f>
        <v>0</v>
      </c>
      <c r="N99" s="45">
        <f>'线下门店-小计'!N31*(N15/('26年全渠道汇总'!N15-'线下门店-小计'!N15))</f>
        <v>0</v>
      </c>
      <c r="Q99" s="6"/>
    </row>
    <row r="100" spans="2:17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Q100" s="6"/>
    </row>
    <row r="101" spans="2:17">
      <c r="B101" s="6" t="s">
        <v>121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Q101" s="6"/>
    </row>
    <row r="102" ht="16.8" spans="2:17">
      <c r="B102" s="17" t="s">
        <v>39</v>
      </c>
      <c r="C102" s="37">
        <f t="shared" ref="C102:N102" si="38">SUM(C103:C107)</f>
        <v>999.555859826916</v>
      </c>
      <c r="D102" s="37">
        <f t="shared" si="38"/>
        <v>3544.83332000855</v>
      </c>
      <c r="E102" s="37">
        <f t="shared" si="38"/>
        <v>6303.03175554382</v>
      </c>
      <c r="F102" s="37">
        <f t="shared" si="38"/>
        <v>3556.94203894246</v>
      </c>
      <c r="G102" s="37">
        <f t="shared" si="38"/>
        <v>15146.979344568</v>
      </c>
      <c r="H102" s="37">
        <f t="shared" si="38"/>
        <v>8773.34194284035</v>
      </c>
      <c r="I102" s="37">
        <f t="shared" si="38"/>
        <v>1630.12746450203</v>
      </c>
      <c r="J102" s="37">
        <f t="shared" si="38"/>
        <v>2801.96281754517</v>
      </c>
      <c r="K102" s="37">
        <f t="shared" si="38"/>
        <v>2247.1922110064</v>
      </c>
      <c r="L102" s="37">
        <f t="shared" si="38"/>
        <v>7918.98765255991</v>
      </c>
      <c r="M102" s="37">
        <f t="shared" si="38"/>
        <v>3122.40816536821</v>
      </c>
      <c r="N102" s="37">
        <f t="shared" si="38"/>
        <v>1857.17513051941</v>
      </c>
      <c r="Q102" s="6"/>
    </row>
    <row r="103" ht="16.8" spans="2:17">
      <c r="B103" s="4" t="s">
        <v>40</v>
      </c>
      <c r="C103" s="45">
        <f t="shared" ref="C103:N103" si="39">C95+C27</f>
        <v>0</v>
      </c>
      <c r="D103" s="45">
        <f t="shared" si="39"/>
        <v>0</v>
      </c>
      <c r="E103" s="45">
        <f t="shared" si="39"/>
        <v>172.213982391908</v>
      </c>
      <c r="F103" s="45">
        <f t="shared" si="39"/>
        <v>144.591139794409</v>
      </c>
      <c r="G103" s="45">
        <f t="shared" si="39"/>
        <v>301.732656266294</v>
      </c>
      <c r="H103" s="45">
        <f t="shared" si="39"/>
        <v>265.858846752738</v>
      </c>
      <c r="I103" s="45">
        <f t="shared" si="39"/>
        <v>173.417815372556</v>
      </c>
      <c r="J103" s="45">
        <f t="shared" si="39"/>
        <v>237.45447606315</v>
      </c>
      <c r="K103" s="45">
        <f t="shared" si="39"/>
        <v>190.440017881899</v>
      </c>
      <c r="L103" s="45">
        <f t="shared" si="39"/>
        <v>316.759506102396</v>
      </c>
      <c r="M103" s="45">
        <f t="shared" si="39"/>
        <v>240.185243489863</v>
      </c>
      <c r="N103" s="45">
        <f t="shared" si="39"/>
        <v>0</v>
      </c>
      <c r="Q103" s="6"/>
    </row>
    <row r="104" ht="16.8" spans="2:17">
      <c r="B104" s="4" t="s">
        <v>41</v>
      </c>
      <c r="C104" s="45">
        <f t="shared" ref="C104:N104" si="40">C96+C28</f>
        <v>0</v>
      </c>
      <c r="D104" s="45">
        <f t="shared" si="40"/>
        <v>0</v>
      </c>
      <c r="E104" s="45">
        <f t="shared" si="40"/>
        <v>0</v>
      </c>
      <c r="F104" s="45">
        <f t="shared" si="40"/>
        <v>173.509367753291</v>
      </c>
      <c r="G104" s="45">
        <f t="shared" si="40"/>
        <v>1810.39593759776</v>
      </c>
      <c r="H104" s="45">
        <f t="shared" si="40"/>
        <v>850.748309608761</v>
      </c>
      <c r="I104" s="45">
        <f t="shared" si="40"/>
        <v>0</v>
      </c>
      <c r="J104" s="45">
        <f t="shared" si="40"/>
        <v>284.94537127578</v>
      </c>
      <c r="K104" s="45">
        <f t="shared" si="40"/>
        <v>609.408057222075</v>
      </c>
      <c r="L104" s="45">
        <f t="shared" si="40"/>
        <v>380.111407322876</v>
      </c>
      <c r="M104" s="45">
        <f t="shared" si="40"/>
        <v>288.222292187835</v>
      </c>
      <c r="N104" s="45">
        <f t="shared" si="40"/>
        <v>0</v>
      </c>
      <c r="Q104" s="6"/>
    </row>
    <row r="105" ht="16.8" spans="2:17">
      <c r="B105" s="4" t="s">
        <v>42</v>
      </c>
      <c r="C105" s="45">
        <f t="shared" ref="C105:N105" si="41">C97+C29</f>
        <v>83.296321652243</v>
      </c>
      <c r="D105" s="45">
        <f t="shared" si="41"/>
        <v>68.1698715386259</v>
      </c>
      <c r="E105" s="45">
        <f t="shared" si="41"/>
        <v>68.8855929567631</v>
      </c>
      <c r="F105" s="45">
        <f t="shared" si="41"/>
        <v>289.182279588818</v>
      </c>
      <c r="G105" s="45">
        <f t="shared" si="41"/>
        <v>1810.39593759776</v>
      </c>
      <c r="H105" s="45">
        <f t="shared" si="41"/>
        <v>1169.77892571205</v>
      </c>
      <c r="I105" s="45">
        <f t="shared" si="41"/>
        <v>0</v>
      </c>
      <c r="J105" s="45">
        <f t="shared" si="41"/>
        <v>284.94537127578</v>
      </c>
      <c r="K105" s="45">
        <f t="shared" si="41"/>
        <v>609.408057222075</v>
      </c>
      <c r="L105" s="45">
        <f t="shared" si="41"/>
        <v>633.519012204793</v>
      </c>
      <c r="M105" s="45">
        <f t="shared" si="41"/>
        <v>480.370486979725</v>
      </c>
      <c r="N105" s="45">
        <f t="shared" si="41"/>
        <v>84.4170513872458</v>
      </c>
      <c r="Q105" s="6"/>
    </row>
    <row r="106" ht="16.8" spans="2:17">
      <c r="B106" s="4" t="s">
        <v>43</v>
      </c>
      <c r="C106" s="45">
        <f t="shared" ref="C106:N106" si="42">C98+C30</f>
        <v>83.296321652243</v>
      </c>
      <c r="D106" s="45">
        <f t="shared" si="42"/>
        <v>68.1698715386259</v>
      </c>
      <c r="E106" s="45">
        <f t="shared" si="42"/>
        <v>551.084743654105</v>
      </c>
      <c r="F106" s="45">
        <f t="shared" si="42"/>
        <v>57.8364559177635</v>
      </c>
      <c r="G106" s="45">
        <f t="shared" si="42"/>
        <v>362.079187519553</v>
      </c>
      <c r="H106" s="45">
        <f t="shared" si="42"/>
        <v>106.343538701095</v>
      </c>
      <c r="I106" s="45">
        <f t="shared" si="42"/>
        <v>69.3671261490225</v>
      </c>
      <c r="J106" s="45">
        <f t="shared" si="42"/>
        <v>94.98179042526</v>
      </c>
      <c r="K106" s="45">
        <f t="shared" si="42"/>
        <v>76.1760071527594</v>
      </c>
      <c r="L106" s="45">
        <f t="shared" si="42"/>
        <v>253.407604881917</v>
      </c>
      <c r="M106" s="45">
        <f t="shared" si="42"/>
        <v>192.14819479189</v>
      </c>
      <c r="N106" s="45">
        <f t="shared" si="42"/>
        <v>84.4170513872458</v>
      </c>
      <c r="Q106" s="6"/>
    </row>
    <row r="107" ht="16.8" spans="2:17">
      <c r="B107" s="4" t="s">
        <v>44</v>
      </c>
      <c r="C107" s="45">
        <f t="shared" ref="C107:N107" si="43">C99+C31</f>
        <v>832.96321652243</v>
      </c>
      <c r="D107" s="45">
        <f t="shared" si="43"/>
        <v>3408.4935769313</v>
      </c>
      <c r="E107" s="45">
        <f t="shared" si="43"/>
        <v>5510.84743654104</v>
      </c>
      <c r="F107" s="45">
        <f t="shared" si="43"/>
        <v>2891.82279588818</v>
      </c>
      <c r="G107" s="45">
        <f t="shared" si="43"/>
        <v>10862.3756255866</v>
      </c>
      <c r="H107" s="45">
        <f t="shared" si="43"/>
        <v>6380.61232206571</v>
      </c>
      <c r="I107" s="45">
        <f t="shared" si="43"/>
        <v>1387.34252298045</v>
      </c>
      <c r="J107" s="45">
        <f t="shared" si="43"/>
        <v>1899.6358085052</v>
      </c>
      <c r="K107" s="45">
        <f t="shared" si="43"/>
        <v>761.760071527594</v>
      </c>
      <c r="L107" s="45">
        <f t="shared" si="43"/>
        <v>6335.19012204793</v>
      </c>
      <c r="M107" s="45">
        <f t="shared" si="43"/>
        <v>1921.4819479189</v>
      </c>
      <c r="N107" s="45">
        <f t="shared" si="43"/>
        <v>1688.34102774492</v>
      </c>
      <c r="Q107" s="6"/>
    </row>
    <row r="108" spans="2:17">
      <c r="Q108" s="6"/>
    </row>
    <row r="109" spans="2:17">
      <c r="Q109" s="6"/>
    </row>
    <row r="110" spans="2:17">
      <c r="Q110" s="6"/>
    </row>
    <row r="111" spans="2:17">
      <c r="Q111" s="6"/>
    </row>
    <row r="112" spans="2:17">
      <c r="Q112" s="6"/>
    </row>
    <row r="113" spans="17:17">
      <c r="Q113" s="6"/>
    </row>
    <row r="114" spans="17:17">
      <c r="Q114" s="6"/>
    </row>
    <row r="115" spans="17:17">
      <c r="Q115" s="6"/>
    </row>
    <row r="116" spans="17:17">
      <c r="Q116" s="6"/>
    </row>
    <row r="117" spans="17:17">
      <c r="Q117" s="6"/>
    </row>
    <row r="118" spans="17:17">
      <c r="Q118" s="6"/>
    </row>
    <row r="119" spans="17:17">
      <c r="Q119" s="6"/>
    </row>
    <row r="120" spans="17:17">
      <c r="Q120" s="6"/>
    </row>
    <row r="121" spans="17:17">
      <c r="Q121" s="6"/>
    </row>
    <row r="122" spans="17:17">
      <c r="Q122" s="6"/>
    </row>
    <row r="123" spans="17:17">
      <c r="Q123" s="6"/>
    </row>
    <row r="124" spans="17:17">
      <c r="Q124" s="6"/>
    </row>
    <row r="125" spans="17:17">
      <c r="Q125" s="6"/>
    </row>
    <row r="126" spans="17:17">
      <c r="Q126" s="6"/>
    </row>
    <row r="127" spans="17:17">
      <c r="Q127" s="6"/>
    </row>
    <row r="128" spans="17:17">
      <c r="Q128" s="6"/>
    </row>
    <row r="129" spans="17:17">
      <c r="Q129" s="6"/>
    </row>
    <row r="130" spans="17:17">
      <c r="Q130" s="6"/>
    </row>
    <row r="131" spans="17:17">
      <c r="Q131" s="6"/>
    </row>
    <row r="132" spans="17:17">
      <c r="Q132" s="6"/>
    </row>
    <row r="133" spans="17:17">
      <c r="Q133" s="6"/>
    </row>
    <row r="134" spans="17:17">
      <c r="Q134" s="6"/>
    </row>
    <row r="135" spans="17:17">
      <c r="Q135" s="6"/>
    </row>
    <row r="136" spans="17:17">
      <c r="Q136" s="6"/>
    </row>
    <row r="137" spans="17:17">
      <c r="Q137" s="6"/>
    </row>
    <row r="138" spans="17:17">
      <c r="Q138" s="6"/>
    </row>
    <row r="139" spans="17:17">
      <c r="Q139" s="6"/>
    </row>
    <row r="140" spans="17:17">
      <c r="Q140" s="6"/>
    </row>
    <row r="141" spans="17:17">
      <c r="Q141" s="6"/>
    </row>
    <row r="142" spans="17:17">
      <c r="Q142" s="6"/>
    </row>
    <row r="143" spans="17:17">
      <c r="Q143" s="6"/>
    </row>
    <row r="144" spans="17:17">
      <c r="Q144" s="6"/>
    </row>
    <row r="145" spans="17:17">
      <c r="Q145" s="6"/>
    </row>
    <row r="146" spans="17:17">
      <c r="Q146" s="6"/>
    </row>
    <row r="147" spans="17:17">
      <c r="Q147" s="6"/>
    </row>
    <row r="148" spans="17:17">
      <c r="Q148" s="6"/>
    </row>
    <row r="149" spans="17:17">
      <c r="Q149" s="6"/>
    </row>
    <row r="150" spans="17:17">
      <c r="Q150" s="6"/>
    </row>
    <row r="151" spans="17:17">
      <c r="Q151" s="6"/>
    </row>
    <row r="152" spans="17:17">
      <c r="Q152" s="6"/>
    </row>
    <row r="153" spans="17:17">
      <c r="Q153" s="6"/>
    </row>
    <row r="154" spans="17:17">
      <c r="Q154" s="6"/>
    </row>
    <row r="155" spans="17:17">
      <c r="Q155" s="6"/>
    </row>
    <row r="156" spans="17:17">
      <c r="Q156" s="6"/>
    </row>
    <row r="157" spans="17:17">
      <c r="Q157" s="6"/>
    </row>
    <row r="158" spans="17:17">
      <c r="Q158" s="6"/>
    </row>
    <row r="159" spans="17:17">
      <c r="Q159" s="6"/>
    </row>
    <row r="160" spans="17:17">
      <c r="Q160" s="6"/>
    </row>
    <row r="161" spans="17:17">
      <c r="Q161" s="6"/>
    </row>
    <row r="162" spans="17:17">
      <c r="Q162" s="6"/>
    </row>
    <row r="163" spans="17:17">
      <c r="Q163" s="6"/>
    </row>
    <row r="164" spans="17:17">
      <c r="Q164" s="6"/>
    </row>
    <row r="165" spans="17:17">
      <c r="Q165" s="6"/>
    </row>
    <row r="166" spans="17:17">
      <c r="Q166" s="6"/>
    </row>
    <row r="167" spans="17:17">
      <c r="Q167" s="6"/>
    </row>
    <row r="168" spans="17:17">
      <c r="Q168" s="6"/>
    </row>
    <row r="169" spans="17:17">
      <c r="Q169" s="6"/>
    </row>
    <row r="170" spans="17:17">
      <c r="Q170" s="6"/>
    </row>
    <row r="171" spans="17:17">
      <c r="Q171" s="6"/>
    </row>
    <row r="172" spans="17:17">
      <c r="Q172" s="6"/>
    </row>
    <row r="173" spans="17:17">
      <c r="Q173" s="6"/>
    </row>
    <row r="174" spans="17:17">
      <c r="Q174" s="6"/>
    </row>
    <row r="175" spans="17:17">
      <c r="Q175" s="6"/>
    </row>
    <row r="176" spans="17:17">
      <c r="Q176" s="6"/>
    </row>
    <row r="177" spans="17:17">
      <c r="Q177" s="6"/>
    </row>
    <row r="178" spans="17:17">
      <c r="Q178" s="6"/>
    </row>
    <row r="179" spans="17:17">
      <c r="Q179" s="6"/>
    </row>
    <row r="180" spans="17:17">
      <c r="Q180" s="6"/>
    </row>
    <row r="181" spans="17:17">
      <c r="Q181" s="6"/>
    </row>
    <row r="182" spans="17:17">
      <c r="Q182" s="6"/>
    </row>
    <row r="183" spans="17:17">
      <c r="Q183" s="6"/>
    </row>
    <row r="184" spans="17:17">
      <c r="Q184" s="6"/>
    </row>
    <row r="185" spans="17:17">
      <c r="Q185" s="6"/>
    </row>
    <row r="186" spans="17:17">
      <c r="Q186" s="6"/>
    </row>
    <row r="187" spans="17:17">
      <c r="Q187" s="6"/>
    </row>
    <row r="188" spans="17:17">
      <c r="Q188" s="6"/>
    </row>
    <row r="189" spans="17:17">
      <c r="Q189" s="6"/>
    </row>
    <row r="190" spans="17:17">
      <c r="Q190" s="6"/>
    </row>
    <row r="191" spans="17:17">
      <c r="Q191" s="6"/>
    </row>
    <row r="192" spans="17:17">
      <c r="Q192" s="6"/>
    </row>
    <row r="193" spans="17:17">
      <c r="Q193" s="6"/>
    </row>
    <row r="194" spans="17:17">
      <c r="Q194" s="6"/>
    </row>
    <row r="195" spans="17:17">
      <c r="Q195" s="6"/>
    </row>
    <row r="196" spans="17:17">
      <c r="Q196" s="6"/>
    </row>
    <row r="197" spans="17:17">
      <c r="Q197" s="6"/>
    </row>
    <row r="198" spans="17:17">
      <c r="Q198" s="6"/>
    </row>
    <row r="199" spans="17:17">
      <c r="Q199" s="6"/>
    </row>
    <row r="200" spans="17:17">
      <c r="Q200" s="6"/>
    </row>
  </sheetData>
  <pageMargins left="0.75" right="0.75" top="1" bottom="1" header="0.5" footer="0.5"/>
  <headerFooter/>
  <picture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00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4.4"/>
  <cols>
    <col min="1" max="1" width="7" customWidth="1"/>
    <col min="2" max="2" width="30" customWidth="1"/>
    <col min="3" max="15" width="19" customWidth="1"/>
    <col min="16" max="17" width="14" customWidth="1"/>
    <col min="18" max="18" width="11" customWidth="1"/>
    <col min="19" max="20" width="14" customWidth="1"/>
  </cols>
  <sheetData>
    <row r="1" ht="17" spans="1:18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</row>
    <row r="2" ht="16.8" spans="1:18">
      <c r="B2" s="4" t="s">
        <v>16</v>
      </c>
      <c r="C2" s="5">
        <v>1030.0877387009</v>
      </c>
      <c r="D2" s="5">
        <v>939.53057485906</v>
      </c>
      <c r="E2" s="5">
        <v>1098.00561158227</v>
      </c>
      <c r="F2" s="5">
        <v>911.231461158486</v>
      </c>
      <c r="G2" s="5">
        <v>1590.41018997226</v>
      </c>
      <c r="H2" s="5">
        <v>1375.3369258479</v>
      </c>
      <c r="I2" s="5">
        <v>894.251992938141</v>
      </c>
      <c r="J2" s="5">
        <v>1124.0407961868</v>
      </c>
      <c r="K2" s="5">
        <v>1239.50118008515</v>
      </c>
      <c r="L2" s="5">
        <v>1642.48055918132</v>
      </c>
      <c r="M2" s="5">
        <v>1276.8560101699</v>
      </c>
      <c r="N2" s="5">
        <v>1141.02026440715</v>
      </c>
      <c r="O2" s="5">
        <f>SUM(C2:N2)</f>
        <v>14262.7533050893</v>
      </c>
      <c r="P2" s="5"/>
      <c r="Q2" s="6"/>
    </row>
    <row r="3" ht="16.8" spans="1:18">
      <c r="A3" s="7"/>
      <c r="B3" s="8" t="s">
        <v>17</v>
      </c>
      <c r="C3" s="9">
        <v>166666.666666667</v>
      </c>
      <c r="D3" s="9">
        <v>233333.333333333</v>
      </c>
      <c r="E3" s="9">
        <v>300000</v>
      </c>
      <c r="F3" s="9">
        <v>233333.333333333</v>
      </c>
      <c r="G3" s="9">
        <v>433333.333333333</v>
      </c>
      <c r="H3" s="9">
        <v>473333.333333333</v>
      </c>
      <c r="I3" s="9">
        <v>700000</v>
      </c>
      <c r="J3" s="9">
        <v>833333.333333333</v>
      </c>
      <c r="K3" s="9">
        <v>726666.666666667</v>
      </c>
      <c r="L3" s="9">
        <v>900000</v>
      </c>
      <c r="M3" s="9">
        <v>900000</v>
      </c>
      <c r="N3" s="9">
        <v>766666.666666667</v>
      </c>
      <c r="O3" s="9">
        <v>6666666.66666667</v>
      </c>
      <c r="P3" s="9"/>
      <c r="Q3" s="10" t="s">
        <v>83</v>
      </c>
    </row>
    <row r="4" ht="16.8" spans="1:18">
      <c r="A4" s="7"/>
      <c r="B4" s="8" t="s">
        <v>84</v>
      </c>
      <c r="C4" s="9">
        <v>141666.666666667</v>
      </c>
      <c r="D4" s="9">
        <v>198333.333333333</v>
      </c>
      <c r="E4" s="9">
        <v>255000</v>
      </c>
      <c r="F4" s="9">
        <v>198333.333333333</v>
      </c>
      <c r="G4" s="9">
        <v>368333.333333333</v>
      </c>
      <c r="H4" s="9">
        <v>402333.333333333</v>
      </c>
      <c r="I4" s="9">
        <v>595000</v>
      </c>
      <c r="J4" s="9">
        <v>708333.333333333</v>
      </c>
      <c r="K4" s="9">
        <v>617666.666666667</v>
      </c>
      <c r="L4" s="9">
        <v>765000</v>
      </c>
      <c r="M4" s="9">
        <v>765000</v>
      </c>
      <c r="N4" s="9">
        <v>651666.666666667</v>
      </c>
      <c r="O4" s="9">
        <v>5666666.66666667</v>
      </c>
      <c r="P4" s="9"/>
      <c r="Q4" s="10" t="s">
        <v>83</v>
      </c>
    </row>
    <row r="5" ht="16.8" spans="1:18">
      <c r="A5" s="7"/>
      <c r="B5" s="8" t="s">
        <v>18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1" t="s">
        <v>83</v>
      </c>
    </row>
    <row r="6" ht="16.8" spans="1:18">
      <c r="A6" s="7"/>
      <c r="B6" s="12" t="s">
        <v>85</v>
      </c>
      <c r="C6" s="13">
        <v>150000</v>
      </c>
      <c r="D6" s="13">
        <v>210000</v>
      </c>
      <c r="E6" s="13">
        <v>270000</v>
      </c>
      <c r="F6" s="13">
        <v>210000</v>
      </c>
      <c r="G6" s="13">
        <v>390000</v>
      </c>
      <c r="H6" s="13">
        <v>426000</v>
      </c>
      <c r="I6" s="13">
        <v>630000</v>
      </c>
      <c r="J6" s="13">
        <v>750000</v>
      </c>
      <c r="K6" s="13">
        <v>654000</v>
      </c>
      <c r="L6" s="13">
        <v>810000</v>
      </c>
      <c r="M6" s="13">
        <v>810000</v>
      </c>
      <c r="N6" s="13">
        <v>690000</v>
      </c>
      <c r="O6" s="13">
        <f>SUM(C6:N6)</f>
        <v>6000000</v>
      </c>
      <c r="P6" s="13"/>
      <c r="Q6" s="11" t="s">
        <v>83</v>
      </c>
    </row>
    <row r="7" ht="16.8" spans="1:18">
      <c r="A7" s="7"/>
      <c r="B7" s="14" t="s">
        <v>20</v>
      </c>
      <c r="C7" s="15">
        <v>0.15</v>
      </c>
      <c r="D7" s="15">
        <v>0.15</v>
      </c>
      <c r="E7" s="15">
        <v>0.15</v>
      </c>
      <c r="F7" s="15">
        <v>0.15</v>
      </c>
      <c r="G7" s="15">
        <v>0.15</v>
      </c>
      <c r="H7" s="15">
        <v>0.15</v>
      </c>
      <c r="I7" s="15">
        <v>0.15</v>
      </c>
      <c r="J7" s="15">
        <v>0.15</v>
      </c>
      <c r="K7" s="15">
        <v>0.15</v>
      </c>
      <c r="L7" s="15">
        <v>0.15</v>
      </c>
      <c r="M7" s="15">
        <v>0.15</v>
      </c>
      <c r="N7" s="15">
        <v>0.15</v>
      </c>
      <c r="O7" s="15">
        <v>0.15</v>
      </c>
      <c r="P7" s="15"/>
      <c r="Q7" s="6" t="s">
        <v>83</v>
      </c>
    </row>
    <row r="8" ht="16.8" spans="1:18">
      <c r="A8" s="7"/>
      <c r="B8" s="12" t="s">
        <v>86</v>
      </c>
      <c r="C8" s="13">
        <f t="shared" ref="C8:N8" si="0">C6*(1-C7)</f>
        <v>127500</v>
      </c>
      <c r="D8" s="13">
        <f t="shared" si="0"/>
        <v>178500</v>
      </c>
      <c r="E8" s="13">
        <f t="shared" si="0"/>
        <v>229500</v>
      </c>
      <c r="F8" s="13">
        <f t="shared" si="0"/>
        <v>178500</v>
      </c>
      <c r="G8" s="13">
        <f t="shared" si="0"/>
        <v>331500</v>
      </c>
      <c r="H8" s="13">
        <f t="shared" si="0"/>
        <v>362100</v>
      </c>
      <c r="I8" s="13">
        <f t="shared" si="0"/>
        <v>535500</v>
      </c>
      <c r="J8" s="13">
        <f t="shared" si="0"/>
        <v>637500</v>
      </c>
      <c r="K8" s="13">
        <f t="shared" si="0"/>
        <v>555900</v>
      </c>
      <c r="L8" s="13">
        <f t="shared" si="0"/>
        <v>688500</v>
      </c>
      <c r="M8" s="13">
        <f t="shared" si="0"/>
        <v>688500</v>
      </c>
      <c r="N8" s="13">
        <f t="shared" si="0"/>
        <v>586500</v>
      </c>
      <c r="O8" s="13">
        <f>SUM(C8:N8)</f>
        <v>5100000</v>
      </c>
      <c r="P8" s="13"/>
      <c r="Q8" s="6" t="s">
        <v>83</v>
      </c>
    </row>
    <row r="9" ht="16.8" spans="1:18">
      <c r="B9" s="4"/>
      <c r="C9" s="5">
        <f t="shared" ref="C9:O9" si="1">C10-C14-C15</f>
        <v>0</v>
      </c>
      <c r="D9" s="5">
        <f t="shared" si="1"/>
        <v>0</v>
      </c>
      <c r="E9" s="5">
        <f t="shared" si="1"/>
        <v>0</v>
      </c>
      <c r="F9" s="5">
        <f t="shared" si="1"/>
        <v>0</v>
      </c>
      <c r="G9" s="5">
        <f t="shared" si="1"/>
        <v>0</v>
      </c>
      <c r="H9" s="5">
        <f t="shared" si="1"/>
        <v>0</v>
      </c>
      <c r="I9" s="5">
        <f t="shared" si="1"/>
        <v>0</v>
      </c>
      <c r="J9" s="5">
        <f t="shared" si="1"/>
        <v>0</v>
      </c>
      <c r="K9" s="5">
        <f t="shared" si="1"/>
        <v>0</v>
      </c>
      <c r="L9" s="5">
        <f t="shared" si="1"/>
        <v>0</v>
      </c>
      <c r="M9" s="5">
        <f t="shared" si="1"/>
        <v>0</v>
      </c>
      <c r="N9" s="5">
        <f t="shared" si="1"/>
        <v>0</v>
      </c>
      <c r="O9" s="5">
        <f t="shared" si="1"/>
        <v>0</v>
      </c>
      <c r="P9" s="5"/>
      <c r="Q9" s="6"/>
    </row>
    <row r="10" ht="16.8" spans="1:18">
      <c r="A10" s="7"/>
      <c r="B10" s="12" t="s">
        <v>22</v>
      </c>
      <c r="C10" s="13">
        <v>131325</v>
      </c>
      <c r="D10" s="13">
        <v>183855</v>
      </c>
      <c r="E10" s="13">
        <v>236385</v>
      </c>
      <c r="F10" s="13">
        <v>183855</v>
      </c>
      <c r="G10" s="13">
        <v>341445</v>
      </c>
      <c r="H10" s="13">
        <v>372963</v>
      </c>
      <c r="I10" s="13">
        <v>551565</v>
      </c>
      <c r="J10" s="13">
        <v>656625</v>
      </c>
      <c r="K10" s="13">
        <v>572577</v>
      </c>
      <c r="L10" s="13">
        <v>709155</v>
      </c>
      <c r="M10" s="13">
        <v>709155</v>
      </c>
      <c r="N10" s="13">
        <v>604095</v>
      </c>
      <c r="O10" s="13">
        <v>5253000</v>
      </c>
      <c r="P10" s="13"/>
      <c r="Q10" s="6"/>
    </row>
    <row r="11" ht="16.8" spans="1:18">
      <c r="B11" s="17" t="s">
        <v>23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>
        <f>SUM(C11:N11)</f>
        <v>0</v>
      </c>
      <c r="P11" s="18"/>
      <c r="Q11" s="6" t="s">
        <v>88</v>
      </c>
    </row>
    <row r="12" ht="16.8" spans="1:18">
      <c r="B12" s="17" t="s">
        <v>25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9"/>
      <c r="Q12" s="6" t="s">
        <v>83</v>
      </c>
      <c r="R12" s="20">
        <f>O12/$O$10</f>
        <v>0</v>
      </c>
    </row>
    <row r="13" ht="16.8" spans="1:18">
      <c r="B13" s="17" t="s">
        <v>27</v>
      </c>
      <c r="C13" s="18">
        <f t="shared" ref="C13:O13" si="2">C8*0.03</f>
        <v>3825.00000000001</v>
      </c>
      <c r="D13" s="18">
        <f t="shared" si="2"/>
        <v>5354.99999999999</v>
      </c>
      <c r="E13" s="18">
        <f t="shared" si="2"/>
        <v>6885</v>
      </c>
      <c r="F13" s="18">
        <f t="shared" si="2"/>
        <v>5354.99999999999</v>
      </c>
      <c r="G13" s="18">
        <f t="shared" si="2"/>
        <v>9944.99999999999</v>
      </c>
      <c r="H13" s="18">
        <f t="shared" si="2"/>
        <v>10863</v>
      </c>
      <c r="I13" s="18">
        <f t="shared" si="2"/>
        <v>16065</v>
      </c>
      <c r="J13" s="18">
        <f t="shared" si="2"/>
        <v>19125</v>
      </c>
      <c r="K13" s="18">
        <f t="shared" si="2"/>
        <v>16677</v>
      </c>
      <c r="L13" s="18">
        <f t="shared" si="2"/>
        <v>20655</v>
      </c>
      <c r="M13" s="18">
        <f t="shared" si="2"/>
        <v>20655</v>
      </c>
      <c r="N13" s="18">
        <f t="shared" si="2"/>
        <v>17595</v>
      </c>
      <c r="O13" s="18">
        <f t="shared" si="2"/>
        <v>153000</v>
      </c>
      <c r="P13" s="19">
        <v>0.03</v>
      </c>
      <c r="Q13" s="6" t="s">
        <v>83</v>
      </c>
      <c r="R13" s="20">
        <f>O13/$O$10</f>
        <v>0.029126213592233</v>
      </c>
    </row>
    <row r="14" ht="16.8" spans="1:18">
      <c r="B14" s="21" t="s">
        <v>28</v>
      </c>
      <c r="C14" s="22">
        <f t="shared" ref="C14:N14" si="3">SUM(C11:C13)</f>
        <v>3825.00000000001</v>
      </c>
      <c r="D14" s="22">
        <f t="shared" si="3"/>
        <v>5354.99999999999</v>
      </c>
      <c r="E14" s="22">
        <f t="shared" si="3"/>
        <v>6885</v>
      </c>
      <c r="F14" s="22">
        <f t="shared" si="3"/>
        <v>5354.99999999999</v>
      </c>
      <c r="G14" s="22">
        <f t="shared" si="3"/>
        <v>9944.99999999999</v>
      </c>
      <c r="H14" s="22">
        <f t="shared" si="3"/>
        <v>10863</v>
      </c>
      <c r="I14" s="22">
        <f t="shared" si="3"/>
        <v>16065</v>
      </c>
      <c r="J14" s="22">
        <f t="shared" si="3"/>
        <v>19125</v>
      </c>
      <c r="K14" s="22">
        <f t="shared" si="3"/>
        <v>16677</v>
      </c>
      <c r="L14" s="22">
        <f t="shared" si="3"/>
        <v>20655</v>
      </c>
      <c r="M14" s="22">
        <f t="shared" si="3"/>
        <v>20655</v>
      </c>
      <c r="N14" s="22">
        <f t="shared" si="3"/>
        <v>17595</v>
      </c>
      <c r="O14" s="22">
        <f>SUM(C14:N14)</f>
        <v>153000</v>
      </c>
      <c r="P14" s="22"/>
      <c r="Q14" s="6"/>
    </row>
    <row r="15" ht="16.8" spans="1:18">
      <c r="A15" s="7"/>
      <c r="B15" s="12" t="s">
        <v>29</v>
      </c>
      <c r="C15" s="13">
        <f t="shared" ref="C15:N15" si="4">C8</f>
        <v>127500</v>
      </c>
      <c r="D15" s="13">
        <f t="shared" si="4"/>
        <v>178500</v>
      </c>
      <c r="E15" s="13">
        <f t="shared" si="4"/>
        <v>229500</v>
      </c>
      <c r="F15" s="13">
        <f t="shared" si="4"/>
        <v>178500</v>
      </c>
      <c r="G15" s="13">
        <f t="shared" si="4"/>
        <v>331500</v>
      </c>
      <c r="H15" s="13">
        <f t="shared" si="4"/>
        <v>362100</v>
      </c>
      <c r="I15" s="13">
        <f t="shared" si="4"/>
        <v>535500</v>
      </c>
      <c r="J15" s="13">
        <f t="shared" si="4"/>
        <v>637500</v>
      </c>
      <c r="K15" s="13">
        <f t="shared" si="4"/>
        <v>555900</v>
      </c>
      <c r="L15" s="13">
        <f t="shared" si="4"/>
        <v>688500</v>
      </c>
      <c r="M15" s="13">
        <f t="shared" si="4"/>
        <v>688500</v>
      </c>
      <c r="N15" s="13">
        <f t="shared" si="4"/>
        <v>586500</v>
      </c>
      <c r="O15" s="13">
        <f>SUM(C15:N15)</f>
        <v>5100000</v>
      </c>
      <c r="P15" s="13"/>
      <c r="Q15" s="6"/>
    </row>
    <row r="16" ht="16.8" spans="1:18">
      <c r="A16" s="7"/>
      <c r="B16" s="12" t="s">
        <v>30</v>
      </c>
      <c r="C16" s="13">
        <f t="shared" ref="C16:N16" si="5">+C8/1.13</f>
        <v>112831.85840708</v>
      </c>
      <c r="D16" s="13">
        <f t="shared" si="5"/>
        <v>157964.601769911</v>
      </c>
      <c r="E16" s="13">
        <f t="shared" si="5"/>
        <v>203097.345132743</v>
      </c>
      <c r="F16" s="13">
        <f t="shared" si="5"/>
        <v>157964.601769911</v>
      </c>
      <c r="G16" s="13">
        <f t="shared" si="5"/>
        <v>293362.831858407</v>
      </c>
      <c r="H16" s="13">
        <f t="shared" si="5"/>
        <v>320442.477876106</v>
      </c>
      <c r="I16" s="13">
        <f t="shared" si="5"/>
        <v>473893.805309735</v>
      </c>
      <c r="J16" s="13">
        <f t="shared" si="5"/>
        <v>564159.292035398</v>
      </c>
      <c r="K16" s="13">
        <f t="shared" si="5"/>
        <v>491946.902654868</v>
      </c>
      <c r="L16" s="13">
        <f t="shared" si="5"/>
        <v>609292.03539823</v>
      </c>
      <c r="M16" s="13">
        <f t="shared" si="5"/>
        <v>609292.03539823</v>
      </c>
      <c r="N16" s="13">
        <f t="shared" si="5"/>
        <v>519026.548672567</v>
      </c>
      <c r="O16" s="13">
        <f>SUM(C16:N16)</f>
        <v>4513274.33628319</v>
      </c>
      <c r="P16" s="13"/>
      <c r="Q16" s="6"/>
    </row>
    <row r="17" spans="1:17">
      <c r="Q17" s="6"/>
    </row>
    <row r="18" ht="16.8" spans="1:17">
      <c r="B18" s="17" t="s">
        <v>31</v>
      </c>
      <c r="C18" s="18">
        <f t="shared" ref="C18:N18" si="6">C64*C65</f>
        <v>55229.1325695582</v>
      </c>
      <c r="D18" s="18">
        <f t="shared" si="6"/>
        <v>76992.2779922779</v>
      </c>
      <c r="E18" s="18">
        <f t="shared" si="6"/>
        <v>104438.94707828</v>
      </c>
      <c r="F18" s="18">
        <f t="shared" si="6"/>
        <v>81449.9999999999</v>
      </c>
      <c r="G18" s="18">
        <f t="shared" si="6"/>
        <v>134748.937300744</v>
      </c>
      <c r="H18" s="18">
        <f t="shared" si="6"/>
        <v>149519.090667376</v>
      </c>
      <c r="I18" s="18">
        <f t="shared" si="6"/>
        <v>204260.139338144</v>
      </c>
      <c r="J18" s="18">
        <f t="shared" si="6"/>
        <v>242501.247193814</v>
      </c>
      <c r="K18" s="18">
        <f t="shared" si="6"/>
        <v>207805.326032852</v>
      </c>
      <c r="L18" s="18">
        <f t="shared" si="6"/>
        <v>253221.525338685</v>
      </c>
      <c r="M18" s="18">
        <f t="shared" si="6"/>
        <v>247389.112396279</v>
      </c>
      <c r="N18" s="18">
        <f t="shared" si="6"/>
        <v>208652.905198777</v>
      </c>
      <c r="O18" s="18">
        <f>SUM(C18:N18)</f>
        <v>1966208.64110679</v>
      </c>
      <c r="P18" s="23">
        <f>O18/O16</f>
        <v>0.435650149892288</v>
      </c>
      <c r="Q18" s="6"/>
    </row>
    <row r="19" ht="16.8" spans="1:17">
      <c r="B19" s="21" t="s">
        <v>32</v>
      </c>
      <c r="C19" s="22">
        <f t="shared" ref="C19:N19" si="7">C16-C18</f>
        <v>57602.7258375217</v>
      </c>
      <c r="D19" s="22">
        <f t="shared" si="7"/>
        <v>80972.3237776334</v>
      </c>
      <c r="E19" s="22">
        <f t="shared" si="7"/>
        <v>98658.3980544634</v>
      </c>
      <c r="F19" s="22">
        <f t="shared" si="7"/>
        <v>76514.6017699114</v>
      </c>
      <c r="G19" s="22">
        <f t="shared" si="7"/>
        <v>158613.894557663</v>
      </c>
      <c r="H19" s="22">
        <f t="shared" si="7"/>
        <v>170923.38720873</v>
      </c>
      <c r="I19" s="22">
        <f t="shared" si="7"/>
        <v>269633.665971591</v>
      </c>
      <c r="J19" s="22">
        <f t="shared" si="7"/>
        <v>321658.044841584</v>
      </c>
      <c r="K19" s="22">
        <f t="shared" si="7"/>
        <v>284141.576622015</v>
      </c>
      <c r="L19" s="22">
        <f t="shared" si="7"/>
        <v>356070.510059545</v>
      </c>
      <c r="M19" s="22">
        <f t="shared" si="7"/>
        <v>361902.923001952</v>
      </c>
      <c r="N19" s="22">
        <f t="shared" si="7"/>
        <v>310373.64347379</v>
      </c>
      <c r="O19" s="22">
        <f>SUM(C19:N19)</f>
        <v>2547065.6951764</v>
      </c>
      <c r="P19" s="24">
        <f>O19/$O$16</f>
        <v>0.564349850107712</v>
      </c>
      <c r="Q19" s="6"/>
    </row>
    <row r="20" ht="16.8" spans="1:17">
      <c r="A20" s="5"/>
      <c r="B20" s="4" t="s">
        <v>33</v>
      </c>
      <c r="C20" s="25">
        <f t="shared" ref="C20:N20" si="8">C16*2.5%</f>
        <v>2820.796460177</v>
      </c>
      <c r="D20" s="25">
        <f t="shared" si="8"/>
        <v>3949.11504424778</v>
      </c>
      <c r="E20" s="25">
        <f t="shared" si="8"/>
        <v>5077.43362831858</v>
      </c>
      <c r="F20" s="25">
        <f t="shared" si="8"/>
        <v>3949.11504424778</v>
      </c>
      <c r="G20" s="25">
        <f t="shared" si="8"/>
        <v>7334.07079646017</v>
      </c>
      <c r="H20" s="25">
        <f t="shared" si="8"/>
        <v>8011.06194690265</v>
      </c>
      <c r="I20" s="25">
        <f t="shared" si="8"/>
        <v>11847.3451327434</v>
      </c>
      <c r="J20" s="25">
        <f t="shared" si="8"/>
        <v>14103.982300885</v>
      </c>
      <c r="K20" s="25">
        <f t="shared" si="8"/>
        <v>12298.6725663717</v>
      </c>
      <c r="L20" s="25">
        <f t="shared" si="8"/>
        <v>15232.3008849558</v>
      </c>
      <c r="M20" s="25">
        <f t="shared" si="8"/>
        <v>15232.3008849558</v>
      </c>
      <c r="N20" s="25">
        <f t="shared" si="8"/>
        <v>12975.6637168142</v>
      </c>
      <c r="O20" s="25">
        <f>SUM(C20:N20)</f>
        <v>112831.85840708</v>
      </c>
      <c r="P20" s="26">
        <v>0.025</v>
      </c>
      <c r="Q20" s="6"/>
    </row>
    <row r="21" ht="16.8" spans="1:17">
      <c r="B21" s="21" t="s">
        <v>35</v>
      </c>
      <c r="C21" s="22">
        <f t="shared" ref="C21:N21" si="9">SUM(C18,C20)</f>
        <v>58049.9290297352</v>
      </c>
      <c r="D21" s="22">
        <f t="shared" si="9"/>
        <v>80941.3930365257</v>
      </c>
      <c r="E21" s="22">
        <f t="shared" si="9"/>
        <v>109516.380706599</v>
      </c>
      <c r="F21" s="22">
        <f t="shared" si="9"/>
        <v>85399.1150442477</v>
      </c>
      <c r="G21" s="22">
        <f t="shared" si="9"/>
        <v>142083.008097204</v>
      </c>
      <c r="H21" s="22">
        <f t="shared" si="9"/>
        <v>157530.152614278</v>
      </c>
      <c r="I21" s="22">
        <f t="shared" si="9"/>
        <v>216107.484470887</v>
      </c>
      <c r="J21" s="22">
        <f t="shared" si="9"/>
        <v>256605.229494699</v>
      </c>
      <c r="K21" s="22">
        <f t="shared" si="9"/>
        <v>220103.998599224</v>
      </c>
      <c r="L21" s="22">
        <f t="shared" si="9"/>
        <v>268453.826223641</v>
      </c>
      <c r="M21" s="22">
        <f t="shared" si="9"/>
        <v>262621.413281234</v>
      </c>
      <c r="N21" s="22">
        <f t="shared" si="9"/>
        <v>221628.568915591</v>
      </c>
      <c r="O21" s="22">
        <f>SUM(C21:N21)</f>
        <v>2079040.49951387</v>
      </c>
      <c r="P21" s="24">
        <f>O21/$O$16</f>
        <v>0.460650149892288</v>
      </c>
      <c r="Q21" s="6"/>
    </row>
    <row r="22" ht="16.8" spans="1:17">
      <c r="A22" s="7"/>
      <c r="B22" s="12" t="s">
        <v>36</v>
      </c>
      <c r="C22" s="13">
        <f t="shared" ref="C22:N22" si="10">C16-C21</f>
        <v>54781.9293773447</v>
      </c>
      <c r="D22" s="13">
        <f t="shared" si="10"/>
        <v>77023.2087333856</v>
      </c>
      <c r="E22" s="13">
        <f t="shared" si="10"/>
        <v>93580.9644261448</v>
      </c>
      <c r="F22" s="13">
        <f t="shared" si="10"/>
        <v>72565.4867256636</v>
      </c>
      <c r="G22" s="13">
        <f t="shared" si="10"/>
        <v>151279.823761203</v>
      </c>
      <c r="H22" s="13">
        <f t="shared" si="10"/>
        <v>162912.325261828</v>
      </c>
      <c r="I22" s="13">
        <f t="shared" si="10"/>
        <v>257786.320838847</v>
      </c>
      <c r="J22" s="13">
        <f t="shared" si="10"/>
        <v>307554.062540699</v>
      </c>
      <c r="K22" s="13">
        <f t="shared" si="10"/>
        <v>271842.904055644</v>
      </c>
      <c r="L22" s="13">
        <f t="shared" si="10"/>
        <v>340838.209174589</v>
      </c>
      <c r="M22" s="13">
        <f t="shared" si="10"/>
        <v>346670.622116996</v>
      </c>
      <c r="N22" s="13">
        <f t="shared" si="10"/>
        <v>297397.979756976</v>
      </c>
      <c r="O22" s="13">
        <f>SUM(C22:N22)</f>
        <v>2434233.83676932</v>
      </c>
      <c r="P22" s="27">
        <f>O22/$O$16</f>
        <v>0.539349850107712</v>
      </c>
      <c r="Q22" s="6"/>
    </row>
    <row r="23" ht="16.8" spans="1:17">
      <c r="B23" s="14" t="s">
        <v>37</v>
      </c>
      <c r="C23" s="65">
        <f t="shared" ref="C23:O23" si="11">C19/C16</f>
        <v>0.510518276050191</v>
      </c>
      <c r="D23" s="44">
        <f t="shared" si="11"/>
        <v>0.512597904026476</v>
      </c>
      <c r="E23" s="44">
        <f t="shared" si="11"/>
        <v>0.485769018743109</v>
      </c>
      <c r="F23" s="44">
        <f t="shared" si="11"/>
        <v>0.484378151260504</v>
      </c>
      <c r="G23" s="44">
        <f t="shared" si="11"/>
        <v>0.54067481402763</v>
      </c>
      <c r="H23" s="44">
        <f t="shared" si="11"/>
        <v>0.533398032438181</v>
      </c>
      <c r="I23" s="44">
        <f t="shared" si="11"/>
        <v>0.56897486937049</v>
      </c>
      <c r="J23" s="44">
        <f t="shared" si="11"/>
        <v>0.570154652032926</v>
      </c>
      <c r="K23" s="44">
        <f t="shared" si="11"/>
        <v>0.577585863613738</v>
      </c>
      <c r="L23" s="44">
        <f t="shared" si="11"/>
        <v>0.584400401404917</v>
      </c>
      <c r="M23" s="44">
        <f t="shared" si="11"/>
        <v>0.59397284385215</v>
      </c>
      <c r="N23" s="44">
        <f t="shared" si="11"/>
        <v>0.597991845056065</v>
      </c>
      <c r="O23" s="44">
        <f t="shared" si="11"/>
        <v>0.564349850107712</v>
      </c>
      <c r="P23" s="29"/>
      <c r="Q23" s="6"/>
    </row>
    <row r="24" ht="16.8" spans="1:17">
      <c r="B24" s="14" t="s">
        <v>38</v>
      </c>
      <c r="C24" s="65">
        <f t="shared" ref="C24:O24" si="12">IFERROR(1-C21/C16,0)</f>
        <v>0.485518276050191</v>
      </c>
      <c r="D24" s="28">
        <f t="shared" si="12"/>
        <v>0.487597904026476</v>
      </c>
      <c r="E24" s="28">
        <f t="shared" si="12"/>
        <v>0.460769018743109</v>
      </c>
      <c r="F24" s="28">
        <f t="shared" si="12"/>
        <v>0.459378151260504</v>
      </c>
      <c r="G24" s="28">
        <f t="shared" si="12"/>
        <v>0.51567481402763</v>
      </c>
      <c r="H24" s="28">
        <f t="shared" si="12"/>
        <v>0.508398032438181</v>
      </c>
      <c r="I24" s="28">
        <f t="shared" si="12"/>
        <v>0.54397486937049</v>
      </c>
      <c r="J24" s="28">
        <f t="shared" si="12"/>
        <v>0.545154652032926</v>
      </c>
      <c r="K24" s="28">
        <f t="shared" si="12"/>
        <v>0.552585863613738</v>
      </c>
      <c r="L24" s="28">
        <f t="shared" si="12"/>
        <v>0.559400401404917</v>
      </c>
      <c r="M24" s="28">
        <f t="shared" si="12"/>
        <v>0.56897284385215</v>
      </c>
      <c r="N24" s="28">
        <f t="shared" si="12"/>
        <v>0.572991845056065</v>
      </c>
      <c r="O24" s="28">
        <f t="shared" si="12"/>
        <v>0.539349850107712</v>
      </c>
      <c r="P24" s="29"/>
      <c r="Q24" s="6"/>
    </row>
    <row r="25" ht="16.8" spans="1:17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29"/>
      <c r="Q25" s="6"/>
    </row>
    <row r="26" ht="16.8" spans="1:17">
      <c r="B26" s="17" t="s">
        <v>39</v>
      </c>
      <c r="C26" s="18">
        <f t="shared" ref="C26:N26" si="13">SUM(C27:C31)</f>
        <v>4365.64882958656</v>
      </c>
      <c r="D26" s="18">
        <f t="shared" si="13"/>
        <v>15466.3062209212</v>
      </c>
      <c r="E26" s="18">
        <f t="shared" si="13"/>
        <v>27478.6777313145</v>
      </c>
      <c r="F26" s="18">
        <f t="shared" si="13"/>
        <v>15398.3782015467</v>
      </c>
      <c r="G26" s="18">
        <f t="shared" si="13"/>
        <v>66832.4177477103</v>
      </c>
      <c r="H26" s="18">
        <f t="shared" si="13"/>
        <v>38837.5145998863</v>
      </c>
      <c r="I26" s="18">
        <f t="shared" si="13"/>
        <v>7316.7433358146</v>
      </c>
      <c r="J26" s="18">
        <f t="shared" si="13"/>
        <v>12600.2310121439</v>
      </c>
      <c r="K26" s="18">
        <f t="shared" si="13"/>
        <v>10099.5798913088</v>
      </c>
      <c r="L26" s="18">
        <f t="shared" si="13"/>
        <v>35662.1305937392</v>
      </c>
      <c r="M26" s="18">
        <f t="shared" si="13"/>
        <v>14068.1030344853</v>
      </c>
      <c r="N26" s="18">
        <f t="shared" si="13"/>
        <v>8332.65460216922</v>
      </c>
      <c r="O26" s="18">
        <f t="shared" ref="O26:O31" si="14">SUM(C26:N26)</f>
        <v>256458.385800627</v>
      </c>
      <c r="P26" s="23">
        <f t="shared" ref="P26:P31" si="15">O26/$O$16</f>
        <v>0.0568231325401388</v>
      </c>
      <c r="Q26" s="6"/>
    </row>
    <row r="27" ht="16.8" spans="1:17">
      <c r="A27" s="5"/>
      <c r="B27" s="4" t="s">
        <v>40</v>
      </c>
      <c r="C27" s="30">
        <v>0</v>
      </c>
      <c r="D27" s="30">
        <v>0</v>
      </c>
      <c r="E27" s="30">
        <v>750.783544571434</v>
      </c>
      <c r="F27" s="30">
        <v>625.950333396208</v>
      </c>
      <c r="G27" s="30">
        <v>1331.32306270339</v>
      </c>
      <c r="H27" s="30">
        <v>1176.89438181474</v>
      </c>
      <c r="I27" s="30">
        <v>778.376950618574</v>
      </c>
      <c r="J27" s="30">
        <v>1067.81618746982</v>
      </c>
      <c r="K27" s="30">
        <v>855.896600958373</v>
      </c>
      <c r="L27" s="30">
        <v>1426.48522374957</v>
      </c>
      <c r="M27" s="30">
        <v>1082.16177188349</v>
      </c>
      <c r="N27" s="30">
        <v>0</v>
      </c>
      <c r="O27" s="5">
        <f t="shared" si="14"/>
        <v>9095.68805716559</v>
      </c>
      <c r="P27" s="29">
        <f t="shared" si="15"/>
        <v>0.00201531911854845</v>
      </c>
      <c r="Q27" s="4"/>
    </row>
    <row r="28" ht="16.8" spans="1:17">
      <c r="A28" s="5"/>
      <c r="B28" s="4" t="s">
        <v>41</v>
      </c>
      <c r="C28" s="30">
        <v>0</v>
      </c>
      <c r="D28" s="30">
        <v>0</v>
      </c>
      <c r="E28" s="30">
        <v>0</v>
      </c>
      <c r="F28" s="30">
        <v>751.140400075449</v>
      </c>
      <c r="G28" s="30">
        <v>7987.93837622036</v>
      </c>
      <c r="H28" s="30">
        <v>3766.06202180715</v>
      </c>
      <c r="I28" s="30">
        <v>0</v>
      </c>
      <c r="J28" s="30">
        <v>1281.37942496378</v>
      </c>
      <c r="K28" s="30">
        <v>2738.86912306679</v>
      </c>
      <c r="L28" s="30">
        <v>1711.78226849948</v>
      </c>
      <c r="M28" s="30">
        <v>1298.59412626018</v>
      </c>
      <c r="N28" s="30">
        <v>0</v>
      </c>
      <c r="O28" s="5">
        <f t="shared" si="14"/>
        <v>19535.7657408932</v>
      </c>
      <c r="P28" s="29">
        <f t="shared" si="15"/>
        <v>0.00432851280141359</v>
      </c>
      <c r="Q28" s="4"/>
    </row>
    <row r="29" ht="16.8" spans="1:17">
      <c r="A29" s="5"/>
      <c r="B29" s="4" t="s">
        <v>42</v>
      </c>
      <c r="C29" s="30">
        <v>363.804069132213</v>
      </c>
      <c r="D29" s="30">
        <v>297.428965786946</v>
      </c>
      <c r="E29" s="30">
        <v>300.313417828574</v>
      </c>
      <c r="F29" s="30">
        <v>1251.90066679242</v>
      </c>
      <c r="G29" s="30">
        <v>7987.93837622036</v>
      </c>
      <c r="H29" s="30">
        <v>5178.33527998484</v>
      </c>
      <c r="I29" s="30">
        <v>0</v>
      </c>
      <c r="J29" s="30">
        <v>1281.37942496378</v>
      </c>
      <c r="K29" s="30">
        <v>2738.86912306679</v>
      </c>
      <c r="L29" s="30">
        <v>2852.97044749914</v>
      </c>
      <c r="M29" s="30">
        <v>2164.32354376697</v>
      </c>
      <c r="N29" s="30">
        <v>378.757027371328</v>
      </c>
      <c r="O29" s="5">
        <f t="shared" si="14"/>
        <v>24796.0203424134</v>
      </c>
      <c r="P29" s="29">
        <f t="shared" si="15"/>
        <v>0.00549402019351512</v>
      </c>
      <c r="Q29" s="6"/>
    </row>
    <row r="30" ht="16.8" spans="1:17">
      <c r="A30" s="5"/>
      <c r="B30" s="4" t="s">
        <v>43</v>
      </c>
      <c r="C30" s="30">
        <v>363.804069132213</v>
      </c>
      <c r="D30" s="30">
        <v>297.428965786946</v>
      </c>
      <c r="E30" s="30">
        <v>2402.50734262859</v>
      </c>
      <c r="F30" s="30">
        <v>250.380133358483</v>
      </c>
      <c r="G30" s="30">
        <v>1597.58767524407</v>
      </c>
      <c r="H30" s="30">
        <v>470.757752725894</v>
      </c>
      <c r="I30" s="30">
        <v>311.35078024743</v>
      </c>
      <c r="J30" s="30">
        <v>427.126474987927</v>
      </c>
      <c r="K30" s="30">
        <v>342.358640383349</v>
      </c>
      <c r="L30" s="30">
        <v>1141.18817899966</v>
      </c>
      <c r="M30" s="30">
        <v>865.72941750679</v>
      </c>
      <c r="N30" s="30">
        <v>378.757027371328</v>
      </c>
      <c r="O30" s="5">
        <f t="shared" si="14"/>
        <v>8848.97645837267</v>
      </c>
      <c r="P30" s="29">
        <f t="shared" si="15"/>
        <v>0.00196065556822767</v>
      </c>
      <c r="Q30" s="6"/>
    </row>
    <row r="31" ht="16.8" spans="1:17">
      <c r="A31" s="5"/>
      <c r="B31" s="4" t="s">
        <v>44</v>
      </c>
      <c r="C31" s="30">
        <v>3638.04069132213</v>
      </c>
      <c r="D31" s="30">
        <v>14871.4482893473</v>
      </c>
      <c r="E31" s="30">
        <v>24025.0734262859</v>
      </c>
      <c r="F31" s="30">
        <v>12519.0066679242</v>
      </c>
      <c r="G31" s="30">
        <v>47927.6302573221</v>
      </c>
      <c r="H31" s="30">
        <v>28245.4651635537</v>
      </c>
      <c r="I31" s="30">
        <v>6227.0156049486</v>
      </c>
      <c r="J31" s="30">
        <v>8542.52949975855</v>
      </c>
      <c r="K31" s="30">
        <v>3423.58640383349</v>
      </c>
      <c r="L31" s="30">
        <v>28529.7044749914</v>
      </c>
      <c r="M31" s="30">
        <v>8657.29417506789</v>
      </c>
      <c r="N31" s="30">
        <v>7575.14054742656</v>
      </c>
      <c r="O31" s="5">
        <f t="shared" si="14"/>
        <v>194181.935201782</v>
      </c>
      <c r="P31" s="29">
        <f t="shared" si="15"/>
        <v>0.043024624858434</v>
      </c>
      <c r="Q31" s="6"/>
    </row>
    <row r="32" ht="16.8" outlineLevel="1" spans="1:17">
      <c r="A32" s="5"/>
      <c r="B32" s="4" t="s">
        <v>45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29"/>
      <c r="Q32" s="6"/>
    </row>
    <row r="33" ht="16.8" outlineLevel="1" spans="1:17">
      <c r="A33" s="5"/>
      <c r="B33" s="4" t="s">
        <v>46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29"/>
      <c r="Q33" s="6"/>
    </row>
    <row r="34" ht="16.8" outlineLevel="1" spans="1:17">
      <c r="A34" s="5"/>
      <c r="B34" s="4" t="s">
        <v>47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29"/>
      <c r="Q34" s="6"/>
    </row>
    <row r="35" ht="16.8" outlineLevel="1" spans="1:17">
      <c r="A35" s="5"/>
      <c r="B35" s="4" t="s">
        <v>48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29"/>
      <c r="Q35" s="6"/>
    </row>
    <row r="36" ht="16.8" outlineLevel="1" spans="1:17">
      <c r="A36" s="5"/>
      <c r="B36" s="4" t="s">
        <v>49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5"/>
      <c r="P36" s="29"/>
      <c r="Q36" s="6"/>
    </row>
    <row r="37" ht="16.8" spans="1:17">
      <c r="B37" s="17" t="s">
        <v>50</v>
      </c>
      <c r="C37" s="18">
        <f t="shared" ref="C37:N37" si="16">SUM(C38:C40)</f>
        <v>50147.4926253688</v>
      </c>
      <c r="D37" s="18">
        <f t="shared" si="16"/>
        <v>70206.4896755161</v>
      </c>
      <c r="E37" s="18">
        <f t="shared" si="16"/>
        <v>90265.4867256637</v>
      </c>
      <c r="F37" s="18">
        <f t="shared" si="16"/>
        <v>70206.4896755161</v>
      </c>
      <c r="G37" s="18">
        <f t="shared" si="16"/>
        <v>130383.480825959</v>
      </c>
      <c r="H37" s="18">
        <f t="shared" si="16"/>
        <v>142418.879056047</v>
      </c>
      <c r="I37" s="18">
        <f t="shared" si="16"/>
        <v>210619.469026549</v>
      </c>
      <c r="J37" s="18">
        <f t="shared" si="16"/>
        <v>250737.463126844</v>
      </c>
      <c r="K37" s="18">
        <f t="shared" si="16"/>
        <v>218643.067846608</v>
      </c>
      <c r="L37" s="18">
        <f t="shared" si="16"/>
        <v>270796.460176991</v>
      </c>
      <c r="M37" s="18">
        <f t="shared" si="16"/>
        <v>270796.460176991</v>
      </c>
      <c r="N37" s="18">
        <f t="shared" si="16"/>
        <v>230678.466076696</v>
      </c>
      <c r="O37" s="18">
        <f>SUM(C37:N37)</f>
        <v>2005899.70501475</v>
      </c>
      <c r="P37" s="23">
        <f>O37/$O$16</f>
        <v>0.444444444444445</v>
      </c>
      <c r="Q37" s="6"/>
    </row>
    <row r="38" ht="16.8" spans="1:17">
      <c r="A38" s="5"/>
      <c r="B38" s="4" t="s">
        <v>51</v>
      </c>
      <c r="C38" s="31">
        <v>50147.4926253688</v>
      </c>
      <c r="D38" s="31">
        <v>70206.4896755161</v>
      </c>
      <c r="E38" s="31">
        <v>90265.4867256637</v>
      </c>
      <c r="F38" s="31">
        <v>70206.4896755161</v>
      </c>
      <c r="G38" s="31">
        <v>130383.480825959</v>
      </c>
      <c r="H38" s="31">
        <v>142418.879056047</v>
      </c>
      <c r="I38" s="31">
        <v>210619.469026549</v>
      </c>
      <c r="J38" s="31">
        <v>250737.463126844</v>
      </c>
      <c r="K38" s="31">
        <v>218643.067846608</v>
      </c>
      <c r="L38" s="31">
        <v>270796.460176991</v>
      </c>
      <c r="M38" s="31">
        <v>270796.460176991</v>
      </c>
      <c r="N38" s="31">
        <v>230678.466076696</v>
      </c>
      <c r="O38" s="5">
        <f>SUM(C38:N38)</f>
        <v>2005899.70501475</v>
      </c>
      <c r="P38" s="29">
        <f>O38/$O$16</f>
        <v>0.444444444444445</v>
      </c>
      <c r="Q38" s="6" t="s">
        <v>91</v>
      </c>
    </row>
    <row r="39" ht="16.8" spans="1:17">
      <c r="A39" s="5"/>
      <c r="B39" s="4" t="s">
        <v>53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5">
        <f>SUM(C39:N39)</f>
        <v>0</v>
      </c>
      <c r="P39" s="29">
        <f>O39/$O$16</f>
        <v>0</v>
      </c>
      <c r="Q39" s="6" t="s">
        <v>91</v>
      </c>
    </row>
    <row r="40" ht="16.8" spans="1:17">
      <c r="A40" s="5"/>
      <c r="B40" s="4" t="s">
        <v>55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5">
        <f>SUM(C40:N40)</f>
        <v>0</v>
      </c>
      <c r="P40" s="29">
        <f>O40/$O$16</f>
        <v>0</v>
      </c>
      <c r="Q40" s="6" t="s">
        <v>91</v>
      </c>
    </row>
    <row r="41" ht="16.8" outlineLevel="1" spans="1:17">
      <c r="A41" s="5"/>
      <c r="B41" s="4" t="s">
        <v>57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29">
        <f>O38/$O$16</f>
        <v>0.444444444444445</v>
      </c>
      <c r="Q41" s="6" t="s">
        <v>91</v>
      </c>
    </row>
    <row r="42" ht="16.8" outlineLevel="1" spans="1:17">
      <c r="A42" s="5"/>
      <c r="B42" s="4" t="s">
        <v>58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29">
        <f>O39/$O$16</f>
        <v>0</v>
      </c>
      <c r="Q42" s="6" t="s">
        <v>91</v>
      </c>
    </row>
    <row r="43" ht="16.8" outlineLevel="1" spans="1:17">
      <c r="A43" s="5"/>
      <c r="B43" s="4" t="s">
        <v>59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29">
        <f>O40/$O$16</f>
        <v>0</v>
      </c>
      <c r="Q43" s="6" t="s">
        <v>91</v>
      </c>
    </row>
    <row r="44" ht="16.8" spans="1:17">
      <c r="B44" s="17" t="s">
        <v>60</v>
      </c>
      <c r="C44" s="18">
        <f t="shared" ref="C44:N44" si="17">SUM(C45:C46)</f>
        <v>3761.06194690266</v>
      </c>
      <c r="D44" s="18">
        <f t="shared" si="17"/>
        <v>5265.48672566371</v>
      </c>
      <c r="E44" s="18">
        <f t="shared" si="17"/>
        <v>6769.91150442478</v>
      </c>
      <c r="F44" s="18">
        <f t="shared" si="17"/>
        <v>5265.48672566371</v>
      </c>
      <c r="G44" s="18">
        <f t="shared" si="17"/>
        <v>9778.7610619469</v>
      </c>
      <c r="H44" s="18">
        <f t="shared" si="17"/>
        <v>10681.4159292035</v>
      </c>
      <c r="I44" s="18">
        <f t="shared" si="17"/>
        <v>15796.4601769912</v>
      </c>
      <c r="J44" s="18">
        <f t="shared" si="17"/>
        <v>18805.3097345133</v>
      </c>
      <c r="K44" s="18">
        <f t="shared" si="17"/>
        <v>16398.2300884956</v>
      </c>
      <c r="L44" s="18">
        <f t="shared" si="17"/>
        <v>20309.7345132743</v>
      </c>
      <c r="M44" s="18">
        <f t="shared" si="17"/>
        <v>20309.7345132743</v>
      </c>
      <c r="N44" s="18">
        <f t="shared" si="17"/>
        <v>17300.8849557522</v>
      </c>
      <c r="O44" s="18">
        <f>SUM(C44:N44)</f>
        <v>150442.477876106</v>
      </c>
      <c r="P44" s="23">
        <f>O44/$O$16</f>
        <v>0.0333333333333333</v>
      </c>
      <c r="Q44" s="6"/>
    </row>
    <row r="45" ht="16.8" spans="1:17">
      <c r="A45" s="5"/>
      <c r="B45" s="4" t="s">
        <v>61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5"/>
      <c r="P45" s="29"/>
      <c r="Q45" s="6" t="s">
        <v>92</v>
      </c>
    </row>
    <row r="46" ht="16.8" spans="1:17">
      <c r="A46" s="5"/>
      <c r="B46" s="4" t="s">
        <v>63</v>
      </c>
      <c r="C46" s="30">
        <v>3761.06194690266</v>
      </c>
      <c r="D46" s="30">
        <v>5265.48672566371</v>
      </c>
      <c r="E46" s="30">
        <v>6769.91150442478</v>
      </c>
      <c r="F46" s="30">
        <v>5265.48672566371</v>
      </c>
      <c r="G46" s="30">
        <v>9778.7610619469</v>
      </c>
      <c r="H46" s="30">
        <v>10681.4159292035</v>
      </c>
      <c r="I46" s="30">
        <v>15796.4601769912</v>
      </c>
      <c r="J46" s="30">
        <v>18805.3097345133</v>
      </c>
      <c r="K46" s="30">
        <v>16398.2300884956</v>
      </c>
      <c r="L46" s="30">
        <v>20309.7345132743</v>
      </c>
      <c r="M46" s="30">
        <v>20309.7345132743</v>
      </c>
      <c r="N46" s="30">
        <v>17300.8849557522</v>
      </c>
      <c r="O46" s="5">
        <v>150442.477876106</v>
      </c>
      <c r="P46" s="29">
        <v>0.03</v>
      </c>
      <c r="Q46" s="4" t="s">
        <v>83</v>
      </c>
    </row>
    <row r="47" ht="16.8" spans="1:17">
      <c r="B47" s="17" t="s">
        <v>65</v>
      </c>
      <c r="C47" s="18">
        <f t="shared" ref="C47:N47" si="18">SUM(C48:C51)</f>
        <v>0</v>
      </c>
      <c r="D47" s="18">
        <f t="shared" si="18"/>
        <v>0</v>
      </c>
      <c r="E47" s="18">
        <f t="shared" si="18"/>
        <v>0</v>
      </c>
      <c r="F47" s="18">
        <f t="shared" si="18"/>
        <v>0</v>
      </c>
      <c r="G47" s="18">
        <f t="shared" si="18"/>
        <v>0</v>
      </c>
      <c r="H47" s="18">
        <f t="shared" si="18"/>
        <v>0</v>
      </c>
      <c r="I47" s="18">
        <f t="shared" si="18"/>
        <v>0</v>
      </c>
      <c r="J47" s="18">
        <f t="shared" si="18"/>
        <v>0</v>
      </c>
      <c r="K47" s="18">
        <f t="shared" si="18"/>
        <v>0</v>
      </c>
      <c r="L47" s="18">
        <f t="shared" si="18"/>
        <v>0</v>
      </c>
      <c r="M47" s="18">
        <f t="shared" si="18"/>
        <v>0</v>
      </c>
      <c r="N47" s="18">
        <f t="shared" si="18"/>
        <v>0</v>
      </c>
      <c r="O47" s="18">
        <f t="shared" ref="O47:O60" si="19">SUM(C47:N47)</f>
        <v>0</v>
      </c>
      <c r="P47" s="23">
        <f t="shared" ref="P47:P52" si="20">O47/$O$16</f>
        <v>0</v>
      </c>
      <c r="Q47" s="6"/>
    </row>
    <row r="48" ht="16.8" spans="1:17">
      <c r="A48" s="5"/>
      <c r="B48" s="4" t="s">
        <v>66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5">
        <f t="shared" si="19"/>
        <v>0</v>
      </c>
      <c r="P48" s="29">
        <f t="shared" si="20"/>
        <v>0</v>
      </c>
      <c r="Q48" s="4" t="s">
        <v>95</v>
      </c>
    </row>
    <row r="49" ht="16.8" spans="1:18">
      <c r="A49" s="5"/>
      <c r="B49" s="4" t="s">
        <v>67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5">
        <f t="shared" si="19"/>
        <v>0</v>
      </c>
      <c r="P49" s="29">
        <f t="shared" si="20"/>
        <v>0</v>
      </c>
      <c r="Q49" s="4" t="s">
        <v>95</v>
      </c>
    </row>
    <row r="50" ht="16.8" spans="1:18">
      <c r="A50" s="5"/>
      <c r="B50" s="4" t="s">
        <v>68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5">
        <f t="shared" si="19"/>
        <v>0</v>
      </c>
      <c r="P50" s="29">
        <f t="shared" si="20"/>
        <v>0</v>
      </c>
      <c r="Q50" s="4" t="s">
        <v>95</v>
      </c>
    </row>
    <row r="51" ht="16.8" spans="1:18">
      <c r="B51" s="4" t="s">
        <v>69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5">
        <f t="shared" si="19"/>
        <v>0</v>
      </c>
      <c r="P51" s="29">
        <f t="shared" si="20"/>
        <v>0</v>
      </c>
      <c r="Q51" s="4" t="s">
        <v>95</v>
      </c>
    </row>
    <row r="52" ht="16.8" spans="1:18">
      <c r="B52" s="21" t="s">
        <v>70</v>
      </c>
      <c r="C52" s="22">
        <f t="shared" ref="C52:N52" si="21">SUM(C26,C37,C44,C47)</f>
        <v>58274.203401858</v>
      </c>
      <c r="D52" s="22">
        <f t="shared" si="21"/>
        <v>90938.282622101</v>
      </c>
      <c r="E52" s="22">
        <f t="shared" si="21"/>
        <v>124514.075961403</v>
      </c>
      <c r="F52" s="22">
        <f t="shared" si="21"/>
        <v>90870.3546027266</v>
      </c>
      <c r="G52" s="22">
        <f t="shared" si="21"/>
        <v>206994.659635616</v>
      </c>
      <c r="H52" s="22">
        <f t="shared" si="21"/>
        <v>191937.809585137</v>
      </c>
      <c r="I52" s="22">
        <f t="shared" si="21"/>
        <v>233732.672539354</v>
      </c>
      <c r="J52" s="22">
        <f t="shared" si="21"/>
        <v>282143.003873501</v>
      </c>
      <c r="K52" s="22">
        <f t="shared" si="21"/>
        <v>245140.877826412</v>
      </c>
      <c r="L52" s="22">
        <f t="shared" si="21"/>
        <v>326768.325284005</v>
      </c>
      <c r="M52" s="22">
        <f t="shared" si="21"/>
        <v>305174.297724751</v>
      </c>
      <c r="N52" s="22">
        <f t="shared" si="21"/>
        <v>256312.005634618</v>
      </c>
      <c r="O52" s="22">
        <f t="shared" si="19"/>
        <v>2412800.56869148</v>
      </c>
      <c r="P52" s="24">
        <f t="shared" si="20"/>
        <v>0.534600910317917</v>
      </c>
      <c r="Q52" s="6"/>
    </row>
    <row r="53" ht="16.8" spans="1:18">
      <c r="A53" s="5"/>
      <c r="B53" s="4" t="s">
        <v>71</v>
      </c>
      <c r="C53" s="30">
        <f t="shared" ref="C53:N53" si="22">C16*$P$53</f>
        <v>5641.59292035399</v>
      </c>
      <c r="D53" s="30">
        <f t="shared" si="22"/>
        <v>7898.23008849557</v>
      </c>
      <c r="E53" s="30">
        <f t="shared" si="22"/>
        <v>10154.8672566372</v>
      </c>
      <c r="F53" s="30">
        <f t="shared" si="22"/>
        <v>7898.23008849557</v>
      </c>
      <c r="G53" s="30">
        <f t="shared" si="22"/>
        <v>14668.1415929203</v>
      </c>
      <c r="H53" s="30">
        <f t="shared" si="22"/>
        <v>16022.1238938053</v>
      </c>
      <c r="I53" s="30">
        <f t="shared" si="22"/>
        <v>23694.6902654867</v>
      </c>
      <c r="J53" s="30">
        <f t="shared" si="22"/>
        <v>28207.9646017699</v>
      </c>
      <c r="K53" s="30">
        <f t="shared" si="22"/>
        <v>24597.3451327434</v>
      </c>
      <c r="L53" s="30">
        <f t="shared" si="22"/>
        <v>30464.6017699115</v>
      </c>
      <c r="M53" s="30">
        <f t="shared" si="22"/>
        <v>30464.6017699115</v>
      </c>
      <c r="N53" s="30">
        <f t="shared" si="22"/>
        <v>25951.3274336283</v>
      </c>
      <c r="O53" s="5">
        <f t="shared" si="19"/>
        <v>225663.716814159</v>
      </c>
      <c r="P53" s="29">
        <v>0.05</v>
      </c>
      <c r="Q53" s="6"/>
    </row>
    <row r="54" ht="16.8" spans="1:18">
      <c r="A54" s="5"/>
      <c r="B54" s="4" t="s">
        <v>73</v>
      </c>
      <c r="C54" s="30">
        <f t="shared" ref="C54:N54" si="23">C16*$P$54</f>
        <v>1579.64601769912</v>
      </c>
      <c r="D54" s="30">
        <f t="shared" si="23"/>
        <v>2211.50442477876</v>
      </c>
      <c r="E54" s="30">
        <f t="shared" si="23"/>
        <v>2843.36283185841</v>
      </c>
      <c r="F54" s="30">
        <f t="shared" si="23"/>
        <v>2211.50442477876</v>
      </c>
      <c r="G54" s="30">
        <f t="shared" si="23"/>
        <v>4107.0796460177</v>
      </c>
      <c r="H54" s="30">
        <f t="shared" si="23"/>
        <v>4486.19469026548</v>
      </c>
      <c r="I54" s="30">
        <f t="shared" si="23"/>
        <v>6634.51327433628</v>
      </c>
      <c r="J54" s="30">
        <f t="shared" si="23"/>
        <v>7898.23008849557</v>
      </c>
      <c r="K54" s="30">
        <f t="shared" si="23"/>
        <v>6887.25663716815</v>
      </c>
      <c r="L54" s="30">
        <f t="shared" si="23"/>
        <v>8530.08849557522</v>
      </c>
      <c r="M54" s="30">
        <f t="shared" si="23"/>
        <v>8530.08849557522</v>
      </c>
      <c r="N54" s="30">
        <f t="shared" si="23"/>
        <v>7266.37168141593</v>
      </c>
      <c r="O54" s="5">
        <f t="shared" si="19"/>
        <v>63185.8407079646</v>
      </c>
      <c r="P54" s="29">
        <v>0.014</v>
      </c>
      <c r="Q54" s="6"/>
    </row>
    <row r="55" ht="16.8" spans="1:18">
      <c r="A55" s="5"/>
      <c r="B55" s="4" t="s">
        <v>75</v>
      </c>
      <c r="C55" s="30">
        <v>23917.4478334978</v>
      </c>
      <c r="D55" s="30">
        <v>15639.8889394309</v>
      </c>
      <c r="E55" s="30">
        <v>12198.9915806958</v>
      </c>
      <c r="F55" s="30">
        <v>18773.5556389814</v>
      </c>
      <c r="G55" s="30">
        <v>16122.6767413024</v>
      </c>
      <c r="H55" s="30">
        <v>11295.0477398109</v>
      </c>
      <c r="I55" s="30">
        <v>15737.1301652738</v>
      </c>
      <c r="J55" s="30">
        <v>12175.0746082588</v>
      </c>
      <c r="K55" s="30">
        <v>16776.4827810112</v>
      </c>
      <c r="L55" s="30">
        <v>13242.1247306471</v>
      </c>
      <c r="M55" s="30">
        <v>11598.5544596052</v>
      </c>
      <c r="N55" s="30">
        <v>11316.4405831171</v>
      </c>
      <c r="O55" s="5">
        <f t="shared" si="19"/>
        <v>178793.415801632</v>
      </c>
      <c r="P55" s="29">
        <v>0.03</v>
      </c>
      <c r="Q55" s="6"/>
    </row>
    <row r="56" ht="16.8" spans="1:18">
      <c r="A56" s="5"/>
      <c r="B56" s="4" t="s">
        <v>77</v>
      </c>
      <c r="C56" s="30">
        <f t="shared" ref="C56:N56" si="24">C16*$P$56</f>
        <v>112.83185840708</v>
      </c>
      <c r="D56" s="30">
        <f t="shared" si="24"/>
        <v>157.964601769911</v>
      </c>
      <c r="E56" s="30">
        <f t="shared" si="24"/>
        <v>203.097345132743</v>
      </c>
      <c r="F56" s="30">
        <f t="shared" si="24"/>
        <v>157.964601769911</v>
      </c>
      <c r="G56" s="30">
        <f t="shared" si="24"/>
        <v>293.362831858407</v>
      </c>
      <c r="H56" s="30">
        <f t="shared" si="24"/>
        <v>320.442477876106</v>
      </c>
      <c r="I56" s="30">
        <f t="shared" si="24"/>
        <v>473.893805309735</v>
      </c>
      <c r="J56" s="30">
        <f t="shared" si="24"/>
        <v>564.159292035398</v>
      </c>
      <c r="K56" s="30">
        <f t="shared" si="24"/>
        <v>491.946902654868</v>
      </c>
      <c r="L56" s="30">
        <f t="shared" si="24"/>
        <v>609.29203539823</v>
      </c>
      <c r="M56" s="30">
        <f t="shared" si="24"/>
        <v>609.29203539823</v>
      </c>
      <c r="N56" s="30">
        <f t="shared" si="24"/>
        <v>519.026548672567</v>
      </c>
      <c r="O56" s="5">
        <f t="shared" si="19"/>
        <v>4513.27433628319</v>
      </c>
      <c r="P56" s="29">
        <v>0.001</v>
      </c>
      <c r="Q56" s="6"/>
    </row>
    <row r="57" ht="16.8" spans="1:18">
      <c r="A57" s="5"/>
      <c r="B57" s="4" t="s">
        <v>79</v>
      </c>
      <c r="C57" s="30">
        <v>2829.91137005741</v>
      </c>
      <c r="D57" s="30"/>
      <c r="E57" s="30"/>
      <c r="F57" s="30"/>
      <c r="G57" s="30">
        <v>1131.96454802296</v>
      </c>
      <c r="H57" s="30"/>
      <c r="I57" s="30"/>
      <c r="J57" s="30"/>
      <c r="K57" s="30"/>
      <c r="L57" s="30">
        <v>1131.96454802296</v>
      </c>
      <c r="M57" s="30"/>
      <c r="N57" s="30">
        <v>3395.89364406889</v>
      </c>
      <c r="O57" s="5">
        <f t="shared" si="19"/>
        <v>8489.73411017223</v>
      </c>
      <c r="P57" s="29">
        <f>O57/$O$16</f>
        <v>0.00188105873421463</v>
      </c>
      <c r="Q57" s="4"/>
    </row>
    <row r="58" ht="16.8" spans="1:18">
      <c r="B58" s="21" t="s">
        <v>80</v>
      </c>
      <c r="C58" s="22">
        <f t="shared" ref="C58:N58" si="25">SUM(C53:C57)</f>
        <v>34081.4300000154</v>
      </c>
      <c r="D58" s="22">
        <f t="shared" si="25"/>
        <v>25907.5880544751</v>
      </c>
      <c r="E58" s="22">
        <f t="shared" si="25"/>
        <v>25400.3190143241</v>
      </c>
      <c r="F58" s="22">
        <f t="shared" si="25"/>
        <v>29041.2547540256</v>
      </c>
      <c r="G58" s="22">
        <f t="shared" si="25"/>
        <v>36323.2253601218</v>
      </c>
      <c r="H58" s="22">
        <f t="shared" si="25"/>
        <v>32123.8088017578</v>
      </c>
      <c r="I58" s="22">
        <f t="shared" si="25"/>
        <v>46540.2275104065</v>
      </c>
      <c r="J58" s="22">
        <f t="shared" si="25"/>
        <v>48845.4285905597</v>
      </c>
      <c r="K58" s="22">
        <f t="shared" si="25"/>
        <v>48753.0314535776</v>
      </c>
      <c r="L58" s="22">
        <f t="shared" si="25"/>
        <v>53978.071579555</v>
      </c>
      <c r="M58" s="22">
        <f t="shared" si="25"/>
        <v>51202.5367604901</v>
      </c>
      <c r="N58" s="22">
        <f t="shared" si="25"/>
        <v>48449.0598909028</v>
      </c>
      <c r="O58" s="22">
        <f t="shared" si="19"/>
        <v>480645.981770212</v>
      </c>
      <c r="P58" s="24">
        <f>O58/$O$16</f>
        <v>0.106496070470655</v>
      </c>
      <c r="Q58" s="6"/>
    </row>
    <row r="59" ht="16.8" spans="1:18">
      <c r="A59" s="7"/>
      <c r="B59" s="12" t="s">
        <v>81</v>
      </c>
      <c r="C59" s="13">
        <f t="shared" ref="C59:N59" si="26">SUM(C52,C58)</f>
        <v>92355.6334018734</v>
      </c>
      <c r="D59" s="13">
        <f t="shared" si="26"/>
        <v>116845.870676576</v>
      </c>
      <c r="E59" s="13">
        <f t="shared" si="26"/>
        <v>149914.394975727</v>
      </c>
      <c r="F59" s="13">
        <f t="shared" si="26"/>
        <v>119911.609356752</v>
      </c>
      <c r="G59" s="13">
        <f t="shared" si="26"/>
        <v>243317.884995738</v>
      </c>
      <c r="H59" s="13">
        <f t="shared" si="26"/>
        <v>224061.618386895</v>
      </c>
      <c r="I59" s="13">
        <f t="shared" si="26"/>
        <v>280272.900049761</v>
      </c>
      <c r="J59" s="13">
        <f t="shared" si="26"/>
        <v>330988.43246406</v>
      </c>
      <c r="K59" s="13">
        <f t="shared" si="26"/>
        <v>293893.90927999</v>
      </c>
      <c r="L59" s="13">
        <f t="shared" si="26"/>
        <v>380746.39686356</v>
      </c>
      <c r="M59" s="13">
        <f t="shared" si="26"/>
        <v>356376.834485241</v>
      </c>
      <c r="N59" s="13">
        <f t="shared" si="26"/>
        <v>304761.065525521</v>
      </c>
      <c r="O59" s="13">
        <f t="shared" si="19"/>
        <v>2893446.55046169</v>
      </c>
      <c r="P59" s="27">
        <f>O59/$O$16</f>
        <v>0.641096980788571</v>
      </c>
      <c r="Q59" s="32"/>
      <c r="R59" s="33"/>
    </row>
    <row r="60" ht="16.8" spans="1:18">
      <c r="A60" s="7"/>
      <c r="B60" s="12" t="s">
        <v>82</v>
      </c>
      <c r="C60" s="13">
        <f t="shared" ref="C60:N60" si="27">C22-C59</f>
        <v>-37573.7040245287</v>
      </c>
      <c r="D60" s="13">
        <f t="shared" si="27"/>
        <v>-39822.6619431905</v>
      </c>
      <c r="E60" s="13">
        <f t="shared" si="27"/>
        <v>-56333.4305495823</v>
      </c>
      <c r="F60" s="13">
        <f t="shared" si="27"/>
        <v>-47346.1226310886</v>
      </c>
      <c r="G60" s="13">
        <f t="shared" si="27"/>
        <v>-92038.0612345347</v>
      </c>
      <c r="H60" s="13">
        <f t="shared" si="27"/>
        <v>-61149.293125067</v>
      </c>
      <c r="I60" s="13">
        <f t="shared" si="27"/>
        <v>-22486.5792109137</v>
      </c>
      <c r="J60" s="13">
        <f t="shared" si="27"/>
        <v>-23434.3699233611</v>
      </c>
      <c r="K60" s="13">
        <f t="shared" si="27"/>
        <v>-22051.0052243462</v>
      </c>
      <c r="L60" s="13">
        <f t="shared" si="27"/>
        <v>-39908.1876889707</v>
      </c>
      <c r="M60" s="13">
        <f t="shared" si="27"/>
        <v>-9706.21236824512</v>
      </c>
      <c r="N60" s="13">
        <f t="shared" si="27"/>
        <v>-7363.08576854493</v>
      </c>
      <c r="O60" s="13">
        <f t="shared" si="19"/>
        <v>-459212.713692373</v>
      </c>
      <c r="P60" s="27">
        <f>O60/$O$16</f>
        <v>-0.101747130680859</v>
      </c>
      <c r="Q60" s="32"/>
      <c r="R60" s="34"/>
    </row>
    <row r="61" spans="1:18">
      <c r="Q61" s="6"/>
    </row>
    <row r="62" spans="1:18">
      <c r="B62" s="61" t="s">
        <v>117</v>
      </c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35">
        <f>O16-O18-O20-O37-O44-O47-O58-O60</f>
        <v>256458.385800626</v>
      </c>
      <c r="Q62" s="6"/>
    </row>
    <row r="63" ht="16.8" spans="1:18">
      <c r="B63" s="63" t="s">
        <v>118</v>
      </c>
      <c r="C63" s="63">
        <v>366.6</v>
      </c>
      <c r="D63" s="63">
        <v>362.6</v>
      </c>
      <c r="E63" s="63">
        <v>362.8</v>
      </c>
      <c r="F63" s="63">
        <v>357</v>
      </c>
      <c r="G63" s="63">
        <v>376.4</v>
      </c>
      <c r="H63" s="63">
        <v>376.1</v>
      </c>
      <c r="I63" s="63">
        <v>401.9</v>
      </c>
      <c r="J63" s="63">
        <v>400.9</v>
      </c>
      <c r="K63" s="63">
        <v>401.8</v>
      </c>
      <c r="L63" s="63">
        <v>398.6</v>
      </c>
      <c r="M63" s="63">
        <v>397.7</v>
      </c>
      <c r="N63" s="63">
        <v>392.4</v>
      </c>
      <c r="Q63" s="6"/>
    </row>
    <row r="64" ht="16.8" spans="1:18">
      <c r="B64" s="63" t="s">
        <v>119</v>
      </c>
      <c r="C64" s="63">
        <v>158.8</v>
      </c>
      <c r="D64" s="63">
        <v>156.4</v>
      </c>
      <c r="E64" s="63">
        <v>165.1</v>
      </c>
      <c r="F64" s="63">
        <v>162.9</v>
      </c>
      <c r="G64" s="63">
        <v>153</v>
      </c>
      <c r="H64" s="63">
        <v>155.3</v>
      </c>
      <c r="I64" s="63">
        <v>153.3</v>
      </c>
      <c r="J64" s="63">
        <v>152.5</v>
      </c>
      <c r="K64" s="63">
        <v>150.2</v>
      </c>
      <c r="L64" s="63">
        <v>146.6</v>
      </c>
      <c r="M64" s="63">
        <v>142.9</v>
      </c>
      <c r="N64" s="63">
        <v>139.6</v>
      </c>
      <c r="Q64" s="6"/>
    </row>
    <row r="65" spans="2:17">
      <c r="B65" s="61" t="s">
        <v>16</v>
      </c>
      <c r="C65" s="64">
        <f t="shared" ref="C65:N65" si="28">C8/C63</f>
        <v>347.790507364976</v>
      </c>
      <c r="D65" s="64">
        <f t="shared" si="28"/>
        <v>492.277992277992</v>
      </c>
      <c r="E65" s="64">
        <f t="shared" si="28"/>
        <v>632.57993384785</v>
      </c>
      <c r="F65" s="64">
        <f t="shared" si="28"/>
        <v>499.999999999999</v>
      </c>
      <c r="G65" s="64">
        <f t="shared" si="28"/>
        <v>880.712008501593</v>
      </c>
      <c r="H65" s="64">
        <f t="shared" si="28"/>
        <v>962.775857484711</v>
      </c>
      <c r="I65" s="64">
        <f t="shared" si="28"/>
        <v>1332.42100024882</v>
      </c>
      <c r="J65" s="64">
        <f t="shared" si="28"/>
        <v>1590.17211274632</v>
      </c>
      <c r="K65" s="64">
        <f t="shared" si="28"/>
        <v>1383.52414136386</v>
      </c>
      <c r="L65" s="64">
        <f t="shared" si="28"/>
        <v>1727.2955343703</v>
      </c>
      <c r="M65" s="64">
        <f t="shared" si="28"/>
        <v>1731.20442544632</v>
      </c>
      <c r="N65" s="64">
        <f t="shared" si="28"/>
        <v>1494.64831804281</v>
      </c>
      <c r="Q65" s="6"/>
    </row>
    <row r="66" spans="2:17">
      <c r="Q66" s="6"/>
    </row>
    <row r="67" spans="2:17">
      <c r="Q67" s="6"/>
    </row>
    <row r="68" spans="2:17">
      <c r="Q68" s="6"/>
    </row>
    <row r="69" spans="2:17">
      <c r="Q69" s="6"/>
    </row>
    <row r="70" spans="2:17">
      <c r="Q70" s="6"/>
    </row>
    <row r="71" spans="2:17">
      <c r="Q71" s="6"/>
    </row>
    <row r="72" spans="2:17">
      <c r="Q72" s="6"/>
    </row>
    <row r="73" spans="2:17">
      <c r="Q73" s="6"/>
    </row>
    <row r="74" spans="2:17">
      <c r="Q74" s="6"/>
    </row>
    <row r="75" spans="2:17">
      <c r="Q75" s="6"/>
    </row>
    <row r="76" spans="2:17">
      <c r="Q76" s="6"/>
    </row>
    <row r="77" spans="2:17">
      <c r="Q77" s="6"/>
    </row>
    <row r="78" spans="2:17">
      <c r="Q78" s="6"/>
    </row>
    <row r="79" spans="2:17">
      <c r="Q79" s="6"/>
    </row>
    <row r="80" spans="2:17">
      <c r="Q80" s="6"/>
    </row>
    <row r="81" spans="2:17">
      <c r="C81" s="35">
        <f t="shared" ref="C81:O81" si="29">C16-C18-C20-C26-C37-C44-C47-C58-C60</f>
        <v>0</v>
      </c>
      <c r="D81" s="35">
        <f t="shared" si="29"/>
        <v>0</v>
      </c>
      <c r="E81" s="35">
        <f t="shared" si="29"/>
        <v>0</v>
      </c>
      <c r="F81" s="35">
        <f t="shared" si="29"/>
        <v>0</v>
      </c>
      <c r="G81" s="35">
        <f t="shared" si="29"/>
        <v>0</v>
      </c>
      <c r="H81" s="35">
        <f t="shared" si="29"/>
        <v>0</v>
      </c>
      <c r="I81" s="35">
        <f t="shared" si="29"/>
        <v>0</v>
      </c>
      <c r="J81" s="35">
        <f t="shared" si="29"/>
        <v>1.0550138540566e-10</v>
      </c>
      <c r="K81" s="35">
        <f t="shared" si="29"/>
        <v>0</v>
      </c>
      <c r="L81" s="35">
        <f t="shared" si="29"/>
        <v>0</v>
      </c>
      <c r="M81" s="35">
        <f t="shared" si="29"/>
        <v>-2.18278728425503e-11</v>
      </c>
      <c r="N81" s="35">
        <f t="shared" si="29"/>
        <v>7.27595761418343e-12</v>
      </c>
      <c r="O81" s="35">
        <f t="shared" si="29"/>
        <v>-6.98491930961609e-10</v>
      </c>
      <c r="Q81" s="6"/>
    </row>
    <row r="82" spans="2:17">
      <c r="C82" s="53">
        <f t="shared" ref="C82:O82" si="30">C10-C11-C12-C13-C15</f>
        <v>0</v>
      </c>
      <c r="D82" s="53">
        <f t="shared" si="30"/>
        <v>0</v>
      </c>
      <c r="E82" s="53">
        <f t="shared" si="30"/>
        <v>0</v>
      </c>
      <c r="F82" s="53">
        <f t="shared" si="30"/>
        <v>0</v>
      </c>
      <c r="G82" s="53">
        <f t="shared" si="30"/>
        <v>0</v>
      </c>
      <c r="H82" s="53">
        <f t="shared" si="30"/>
        <v>0</v>
      </c>
      <c r="I82" s="53">
        <f t="shared" si="30"/>
        <v>0</v>
      </c>
      <c r="J82" s="53">
        <f t="shared" si="30"/>
        <v>0</v>
      </c>
      <c r="K82" s="53">
        <f t="shared" si="30"/>
        <v>0</v>
      </c>
      <c r="L82" s="53">
        <f t="shared" si="30"/>
        <v>0</v>
      </c>
      <c r="M82" s="53">
        <f t="shared" si="30"/>
        <v>0</v>
      </c>
      <c r="N82" s="53">
        <f t="shared" si="30"/>
        <v>0</v>
      </c>
      <c r="O82" s="53">
        <f t="shared" si="30"/>
        <v>0</v>
      </c>
      <c r="Q82" s="6"/>
    </row>
    <row r="83" spans="2:17">
      <c r="Q83" s="6"/>
    </row>
    <row r="84" spans="2:17">
      <c r="Q84" s="6"/>
    </row>
    <row r="85" spans="2:17">
      <c r="Q85" s="6"/>
    </row>
    <row r="86" spans="2:17">
      <c r="Q86" s="6"/>
    </row>
    <row r="87" spans="2:17">
      <c r="Q87" s="6"/>
    </row>
    <row r="88" spans="2:17">
      <c r="Q88" s="6"/>
    </row>
    <row r="89" spans="2:17">
      <c r="Q89" s="6"/>
    </row>
    <row r="90" spans="2:17">
      <c r="Q90" s="6"/>
    </row>
    <row r="91" spans="2:17">
      <c r="Q91" s="6"/>
    </row>
    <row r="92" spans="2:17">
      <c r="Q92" s="6"/>
    </row>
    <row r="93" spans="2:17">
      <c r="B93" s="6" t="s">
        <v>120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Q93" s="6"/>
    </row>
    <row r="94" ht="16.8" spans="2:17">
      <c r="B94" s="17" t="s">
        <v>39</v>
      </c>
      <c r="C94" s="37">
        <f t="shared" ref="C94:N94" si="31">SUM(C95:C99)</f>
        <v>0</v>
      </c>
      <c r="D94" s="37">
        <f t="shared" si="31"/>
        <v>0</v>
      </c>
      <c r="E94" s="37">
        <f t="shared" si="31"/>
        <v>0</v>
      </c>
      <c r="F94" s="37">
        <f t="shared" si="31"/>
        <v>0</v>
      </c>
      <c r="G94" s="37">
        <f t="shared" si="31"/>
        <v>0</v>
      </c>
      <c r="H94" s="37">
        <f t="shared" si="31"/>
        <v>0</v>
      </c>
      <c r="I94" s="37">
        <f t="shared" si="31"/>
        <v>0</v>
      </c>
      <c r="J94" s="37">
        <f t="shared" si="31"/>
        <v>0</v>
      </c>
      <c r="K94" s="37">
        <f t="shared" si="31"/>
        <v>0</v>
      </c>
      <c r="L94" s="37">
        <f t="shared" si="31"/>
        <v>0</v>
      </c>
      <c r="M94" s="37">
        <f t="shared" si="31"/>
        <v>0</v>
      </c>
      <c r="N94" s="37">
        <f t="shared" si="31"/>
        <v>0</v>
      </c>
      <c r="Q94" s="6"/>
    </row>
    <row r="95" ht="16.8" spans="2:17">
      <c r="B95" s="4" t="s">
        <v>40</v>
      </c>
      <c r="C95" s="45">
        <f>'线下门店-小计'!C27*(C15/('26年全渠道汇总'!C15-'线下门店-小计'!C15))</f>
        <v>0</v>
      </c>
      <c r="D95" s="45">
        <f>'线下门店-小计'!D27*(D15/('26年全渠道汇总'!D15-'线下门店-小计'!D15))</f>
        <v>0</v>
      </c>
      <c r="E95" s="45">
        <f>'线下门店-小计'!E27*(E15/('26年全渠道汇总'!E15-'线下门店-小计'!E15))</f>
        <v>0</v>
      </c>
      <c r="F95" s="45">
        <f>'线下门店-小计'!F27*(F15/('26年全渠道汇总'!F15-'线下门店-小计'!F15))</f>
        <v>0</v>
      </c>
      <c r="G95" s="45">
        <f>'线下门店-小计'!G27*(G15/('26年全渠道汇总'!G15-'线下门店-小计'!G15))</f>
        <v>0</v>
      </c>
      <c r="H95" s="45">
        <f>'线下门店-小计'!H27*(H15/('26年全渠道汇总'!H15-'线下门店-小计'!H15))</f>
        <v>0</v>
      </c>
      <c r="I95" s="45">
        <f>'线下门店-小计'!I27*(I15/('26年全渠道汇总'!I15-'线下门店-小计'!I15))</f>
        <v>0</v>
      </c>
      <c r="J95" s="45">
        <f>'线下门店-小计'!J27*(J15/('26年全渠道汇总'!J15-'线下门店-小计'!J15))</f>
        <v>0</v>
      </c>
      <c r="K95" s="45">
        <f>'线下门店-小计'!K27*(K15/('26年全渠道汇总'!K15-'线下门店-小计'!K15))</f>
        <v>0</v>
      </c>
      <c r="L95" s="45">
        <f>'线下门店-小计'!L27*(L15/('26年全渠道汇总'!L15-'线下门店-小计'!L15))</f>
        <v>0</v>
      </c>
      <c r="M95" s="45">
        <f>'线下门店-小计'!M27*(M15/('26年全渠道汇总'!M15-'线下门店-小计'!M15))</f>
        <v>0</v>
      </c>
      <c r="N95" s="45">
        <f>'线下门店-小计'!N27*(N15/('26年全渠道汇总'!N15-'线下门店-小计'!N15))</f>
        <v>0</v>
      </c>
      <c r="Q95" s="6"/>
    </row>
    <row r="96" ht="16.8" spans="2:17">
      <c r="B96" s="4" t="s">
        <v>41</v>
      </c>
      <c r="C96" s="45">
        <f>'线下门店-小计'!C28*(C15/('26年全渠道汇总'!C15-'线下门店-小计'!C15))</f>
        <v>0</v>
      </c>
      <c r="D96" s="45">
        <f>'线下门店-小计'!D28*(D15/('26年全渠道汇总'!D15-'线下门店-小计'!D15))</f>
        <v>0</v>
      </c>
      <c r="E96" s="45">
        <f>'线下门店-小计'!E28*(E15/('26年全渠道汇总'!E15-'线下门店-小计'!E15))</f>
        <v>0</v>
      </c>
      <c r="F96" s="45">
        <f>'线下门店-小计'!F28*(F15/('26年全渠道汇总'!F15-'线下门店-小计'!F15))</f>
        <v>0</v>
      </c>
      <c r="G96" s="45">
        <f>'线下门店-小计'!G28*(G15/('26年全渠道汇总'!G15-'线下门店-小计'!G15))</f>
        <v>0</v>
      </c>
      <c r="H96" s="45">
        <f>'线下门店-小计'!H28*(H15/('26年全渠道汇总'!H15-'线下门店-小计'!H15))</f>
        <v>0</v>
      </c>
      <c r="I96" s="45">
        <f>'线下门店-小计'!I28*(I15/('26年全渠道汇总'!I15-'线下门店-小计'!I15))</f>
        <v>0</v>
      </c>
      <c r="J96" s="45">
        <f>'线下门店-小计'!J28*(J15/('26年全渠道汇总'!J15-'线下门店-小计'!J15))</f>
        <v>0</v>
      </c>
      <c r="K96" s="45">
        <f>'线下门店-小计'!K28*(K15/('26年全渠道汇总'!K15-'线下门店-小计'!K15))</f>
        <v>0</v>
      </c>
      <c r="L96" s="45">
        <f>'线下门店-小计'!L28*(L15/('26年全渠道汇总'!L15-'线下门店-小计'!L15))</f>
        <v>0</v>
      </c>
      <c r="M96" s="45">
        <f>'线下门店-小计'!M28*(M15/('26年全渠道汇总'!M15-'线下门店-小计'!M15))</f>
        <v>0</v>
      </c>
      <c r="N96" s="45">
        <f>'线下门店-小计'!N28*(N15/('26年全渠道汇总'!N15-'线下门店-小计'!N15))</f>
        <v>0</v>
      </c>
      <c r="Q96" s="6"/>
    </row>
    <row r="97" ht="16.8" spans="2:17">
      <c r="B97" s="4" t="s">
        <v>42</v>
      </c>
      <c r="C97" s="45">
        <f>'线下门店-小计'!C29*(C15/('26年全渠道汇总'!C15-'线下门店-小计'!C15))</f>
        <v>0</v>
      </c>
      <c r="D97" s="45">
        <f>'线下门店-小计'!D29*(D15/('26年全渠道汇总'!D15-'线下门店-小计'!D15))</f>
        <v>0</v>
      </c>
      <c r="E97" s="45">
        <f>'线下门店-小计'!E29*(E15/('26年全渠道汇总'!E15-'线下门店-小计'!E15))</f>
        <v>0</v>
      </c>
      <c r="F97" s="45">
        <f>'线下门店-小计'!F29*(F15/('26年全渠道汇总'!F15-'线下门店-小计'!F15))</f>
        <v>0</v>
      </c>
      <c r="G97" s="45">
        <f>'线下门店-小计'!G29*(G15/('26年全渠道汇总'!G15-'线下门店-小计'!G15))</f>
        <v>0</v>
      </c>
      <c r="H97" s="45">
        <f>'线下门店-小计'!H29*(H15/('26年全渠道汇总'!H15-'线下门店-小计'!H15))</f>
        <v>0</v>
      </c>
      <c r="I97" s="45">
        <f>'线下门店-小计'!I29*(I15/('26年全渠道汇总'!I15-'线下门店-小计'!I15))</f>
        <v>0</v>
      </c>
      <c r="J97" s="45">
        <f>'线下门店-小计'!J29*(J15/('26年全渠道汇总'!J15-'线下门店-小计'!J15))</f>
        <v>0</v>
      </c>
      <c r="K97" s="45">
        <f>'线下门店-小计'!K29*(K15/('26年全渠道汇总'!K15-'线下门店-小计'!K15))</f>
        <v>0</v>
      </c>
      <c r="L97" s="45">
        <f>'线下门店-小计'!L29*(L15/('26年全渠道汇总'!L15-'线下门店-小计'!L15))</f>
        <v>0</v>
      </c>
      <c r="M97" s="45">
        <f>'线下门店-小计'!M29*(M15/('26年全渠道汇总'!M15-'线下门店-小计'!M15))</f>
        <v>0</v>
      </c>
      <c r="N97" s="45">
        <f>'线下门店-小计'!N29*(N15/('26年全渠道汇总'!N15-'线下门店-小计'!N15))</f>
        <v>0</v>
      </c>
      <c r="Q97" s="6"/>
    </row>
    <row r="98" ht="16.8" spans="2:17">
      <c r="B98" s="4" t="s">
        <v>43</v>
      </c>
      <c r="C98" s="45">
        <f>'线下门店-小计'!C30*(C15/('26年全渠道汇总'!C15-'线下门店-小计'!C15))</f>
        <v>0</v>
      </c>
      <c r="D98" s="45">
        <f>'线下门店-小计'!D30*(D15/('26年全渠道汇总'!D15-'线下门店-小计'!D15))</f>
        <v>0</v>
      </c>
      <c r="E98" s="45">
        <f>'线下门店-小计'!E30*(E15/('26年全渠道汇总'!E15-'线下门店-小计'!E15))</f>
        <v>0</v>
      </c>
      <c r="F98" s="45">
        <f>'线下门店-小计'!F30*(F15/('26年全渠道汇总'!F15-'线下门店-小计'!F15))</f>
        <v>0</v>
      </c>
      <c r="G98" s="45">
        <f>'线下门店-小计'!G30*(G15/('26年全渠道汇总'!G15-'线下门店-小计'!G15))</f>
        <v>0</v>
      </c>
      <c r="H98" s="45">
        <f>'线下门店-小计'!H30*(H15/('26年全渠道汇总'!H15-'线下门店-小计'!H15))</f>
        <v>0</v>
      </c>
      <c r="I98" s="45">
        <f>'线下门店-小计'!I30*(I15/('26年全渠道汇总'!I15-'线下门店-小计'!I15))</f>
        <v>0</v>
      </c>
      <c r="J98" s="45">
        <f>'线下门店-小计'!J30*(J15/('26年全渠道汇总'!J15-'线下门店-小计'!J15))</f>
        <v>0</v>
      </c>
      <c r="K98" s="45">
        <f>'线下门店-小计'!K30*(K15/('26年全渠道汇总'!K15-'线下门店-小计'!K15))</f>
        <v>0</v>
      </c>
      <c r="L98" s="45">
        <f>'线下门店-小计'!L30*(L15/('26年全渠道汇总'!L15-'线下门店-小计'!L15))</f>
        <v>0</v>
      </c>
      <c r="M98" s="45">
        <f>'线下门店-小计'!M30*(M15/('26年全渠道汇总'!M15-'线下门店-小计'!M15))</f>
        <v>0</v>
      </c>
      <c r="N98" s="45">
        <f>'线下门店-小计'!N30*(N15/('26年全渠道汇总'!N15-'线下门店-小计'!N15))</f>
        <v>0</v>
      </c>
      <c r="Q98" s="6"/>
    </row>
    <row r="99" ht="16.8" spans="2:17">
      <c r="B99" s="4" t="s">
        <v>44</v>
      </c>
      <c r="C99" s="45">
        <f>'线下门店-小计'!C31*(C15/('26年全渠道汇总'!C15-'线下门店-小计'!C15))</f>
        <v>0</v>
      </c>
      <c r="D99" s="45">
        <f>'线下门店-小计'!D31*(D15/('26年全渠道汇总'!D15-'线下门店-小计'!D15))</f>
        <v>0</v>
      </c>
      <c r="E99" s="45">
        <f>'线下门店-小计'!E31*(E15/('26年全渠道汇总'!E15-'线下门店-小计'!E15))</f>
        <v>0</v>
      </c>
      <c r="F99" s="45">
        <f>'线下门店-小计'!F31*(F15/('26年全渠道汇总'!F15-'线下门店-小计'!F15))</f>
        <v>0</v>
      </c>
      <c r="G99" s="45">
        <f>'线下门店-小计'!G31*(G15/('26年全渠道汇总'!G15-'线下门店-小计'!G15))</f>
        <v>0</v>
      </c>
      <c r="H99" s="45">
        <f>'线下门店-小计'!H31*(H15/('26年全渠道汇总'!H15-'线下门店-小计'!H15))</f>
        <v>0</v>
      </c>
      <c r="I99" s="45">
        <f>'线下门店-小计'!I31*(I15/('26年全渠道汇总'!I15-'线下门店-小计'!I15))</f>
        <v>0</v>
      </c>
      <c r="J99" s="45">
        <f>'线下门店-小计'!J31*(J15/('26年全渠道汇总'!J15-'线下门店-小计'!J15))</f>
        <v>0</v>
      </c>
      <c r="K99" s="45">
        <f>'线下门店-小计'!K31*(K15/('26年全渠道汇总'!K15-'线下门店-小计'!K15))</f>
        <v>0</v>
      </c>
      <c r="L99" s="45">
        <f>'线下门店-小计'!L31*(L15/('26年全渠道汇总'!L15-'线下门店-小计'!L15))</f>
        <v>0</v>
      </c>
      <c r="M99" s="45">
        <f>'线下门店-小计'!M31*(M15/('26年全渠道汇总'!M15-'线下门店-小计'!M15))</f>
        <v>0</v>
      </c>
      <c r="N99" s="45">
        <f>'线下门店-小计'!N31*(N15/('26年全渠道汇总'!N15-'线下门店-小计'!N15))</f>
        <v>0</v>
      </c>
      <c r="Q99" s="6"/>
    </row>
    <row r="100" spans="2:17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Q100" s="6"/>
    </row>
    <row r="101" spans="2:17">
      <c r="B101" s="6" t="s">
        <v>121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Q101" s="6"/>
    </row>
    <row r="102" ht="16.8" spans="2:17">
      <c r="B102" s="17" t="s">
        <v>39</v>
      </c>
      <c r="C102" s="37">
        <f t="shared" ref="C102:N102" si="32">SUM(C103:C107)</f>
        <v>4365.64882958656</v>
      </c>
      <c r="D102" s="37">
        <f t="shared" si="32"/>
        <v>15466.3062209212</v>
      </c>
      <c r="E102" s="37">
        <f t="shared" si="32"/>
        <v>27478.6777313145</v>
      </c>
      <c r="F102" s="37">
        <f t="shared" si="32"/>
        <v>15398.3782015467</v>
      </c>
      <c r="G102" s="37">
        <f t="shared" si="32"/>
        <v>66832.4177477103</v>
      </c>
      <c r="H102" s="37">
        <f t="shared" si="32"/>
        <v>38837.5145998863</v>
      </c>
      <c r="I102" s="37">
        <f t="shared" si="32"/>
        <v>7316.7433358146</v>
      </c>
      <c r="J102" s="37">
        <f t="shared" si="32"/>
        <v>12600.2310121439</v>
      </c>
      <c r="K102" s="37">
        <f t="shared" si="32"/>
        <v>10099.5798913088</v>
      </c>
      <c r="L102" s="37">
        <f t="shared" si="32"/>
        <v>35662.1305937392</v>
      </c>
      <c r="M102" s="37">
        <f t="shared" si="32"/>
        <v>14068.1030344853</v>
      </c>
      <c r="N102" s="37">
        <f t="shared" si="32"/>
        <v>8332.65460216922</v>
      </c>
      <c r="Q102" s="6"/>
    </row>
    <row r="103" ht="16.8" spans="2:17">
      <c r="B103" s="4" t="s">
        <v>40</v>
      </c>
      <c r="C103" s="45">
        <f t="shared" ref="C103:N103" si="33">C95+C27</f>
        <v>0</v>
      </c>
      <c r="D103" s="45">
        <f t="shared" si="33"/>
        <v>0</v>
      </c>
      <c r="E103" s="45">
        <f t="shared" si="33"/>
        <v>750.783544571434</v>
      </c>
      <c r="F103" s="45">
        <f t="shared" si="33"/>
        <v>625.950333396208</v>
      </c>
      <c r="G103" s="45">
        <f t="shared" si="33"/>
        <v>1331.32306270339</v>
      </c>
      <c r="H103" s="45">
        <f t="shared" si="33"/>
        <v>1176.89438181474</v>
      </c>
      <c r="I103" s="45">
        <f t="shared" si="33"/>
        <v>778.376950618574</v>
      </c>
      <c r="J103" s="45">
        <f t="shared" si="33"/>
        <v>1067.81618746982</v>
      </c>
      <c r="K103" s="45">
        <f t="shared" si="33"/>
        <v>855.896600958373</v>
      </c>
      <c r="L103" s="45">
        <f t="shared" si="33"/>
        <v>1426.48522374957</v>
      </c>
      <c r="M103" s="45">
        <f t="shared" si="33"/>
        <v>1082.16177188349</v>
      </c>
      <c r="N103" s="45">
        <f t="shared" si="33"/>
        <v>0</v>
      </c>
      <c r="Q103" s="6"/>
    </row>
    <row r="104" ht="16.8" spans="2:17">
      <c r="B104" s="4" t="s">
        <v>41</v>
      </c>
      <c r="C104" s="45">
        <f t="shared" ref="C104:N104" si="34">C96+C28</f>
        <v>0</v>
      </c>
      <c r="D104" s="45">
        <f t="shared" si="34"/>
        <v>0</v>
      </c>
      <c r="E104" s="45">
        <f t="shared" si="34"/>
        <v>0</v>
      </c>
      <c r="F104" s="45">
        <f t="shared" si="34"/>
        <v>751.140400075449</v>
      </c>
      <c r="G104" s="45">
        <f t="shared" si="34"/>
        <v>7987.93837622036</v>
      </c>
      <c r="H104" s="45">
        <f t="shared" si="34"/>
        <v>3766.06202180715</v>
      </c>
      <c r="I104" s="45">
        <f t="shared" si="34"/>
        <v>0</v>
      </c>
      <c r="J104" s="45">
        <f t="shared" si="34"/>
        <v>1281.37942496378</v>
      </c>
      <c r="K104" s="45">
        <f t="shared" si="34"/>
        <v>2738.86912306679</v>
      </c>
      <c r="L104" s="45">
        <f t="shared" si="34"/>
        <v>1711.78226849948</v>
      </c>
      <c r="M104" s="45">
        <f t="shared" si="34"/>
        <v>1298.59412626018</v>
      </c>
      <c r="N104" s="45">
        <f t="shared" si="34"/>
        <v>0</v>
      </c>
      <c r="Q104" s="6"/>
    </row>
    <row r="105" ht="16.8" spans="2:17">
      <c r="B105" s="4" t="s">
        <v>42</v>
      </c>
      <c r="C105" s="45">
        <f t="shared" ref="C105:N105" si="35">C97+C29</f>
        <v>363.804069132213</v>
      </c>
      <c r="D105" s="45">
        <f t="shared" si="35"/>
        <v>297.428965786946</v>
      </c>
      <c r="E105" s="45">
        <f t="shared" si="35"/>
        <v>300.313417828574</v>
      </c>
      <c r="F105" s="45">
        <f t="shared" si="35"/>
        <v>1251.90066679242</v>
      </c>
      <c r="G105" s="45">
        <f t="shared" si="35"/>
        <v>7987.93837622036</v>
      </c>
      <c r="H105" s="45">
        <f t="shared" si="35"/>
        <v>5178.33527998484</v>
      </c>
      <c r="I105" s="45">
        <f t="shared" si="35"/>
        <v>0</v>
      </c>
      <c r="J105" s="45">
        <f t="shared" si="35"/>
        <v>1281.37942496378</v>
      </c>
      <c r="K105" s="45">
        <f t="shared" si="35"/>
        <v>2738.86912306679</v>
      </c>
      <c r="L105" s="45">
        <f t="shared" si="35"/>
        <v>2852.97044749914</v>
      </c>
      <c r="M105" s="45">
        <f t="shared" si="35"/>
        <v>2164.32354376697</v>
      </c>
      <c r="N105" s="45">
        <f t="shared" si="35"/>
        <v>378.757027371328</v>
      </c>
      <c r="Q105" s="6"/>
    </row>
    <row r="106" ht="16.8" spans="2:17">
      <c r="B106" s="4" t="s">
        <v>43</v>
      </c>
      <c r="C106" s="45">
        <f t="shared" ref="C106:N106" si="36">C98+C30</f>
        <v>363.804069132213</v>
      </c>
      <c r="D106" s="45">
        <f t="shared" si="36"/>
        <v>297.428965786946</v>
      </c>
      <c r="E106" s="45">
        <f t="shared" si="36"/>
        <v>2402.50734262859</v>
      </c>
      <c r="F106" s="45">
        <f t="shared" si="36"/>
        <v>250.380133358483</v>
      </c>
      <c r="G106" s="45">
        <f t="shared" si="36"/>
        <v>1597.58767524407</v>
      </c>
      <c r="H106" s="45">
        <f t="shared" si="36"/>
        <v>470.757752725894</v>
      </c>
      <c r="I106" s="45">
        <f t="shared" si="36"/>
        <v>311.35078024743</v>
      </c>
      <c r="J106" s="45">
        <f t="shared" si="36"/>
        <v>427.126474987927</v>
      </c>
      <c r="K106" s="45">
        <f t="shared" si="36"/>
        <v>342.358640383349</v>
      </c>
      <c r="L106" s="45">
        <f t="shared" si="36"/>
        <v>1141.18817899966</v>
      </c>
      <c r="M106" s="45">
        <f t="shared" si="36"/>
        <v>865.72941750679</v>
      </c>
      <c r="N106" s="45">
        <f t="shared" si="36"/>
        <v>378.757027371328</v>
      </c>
      <c r="Q106" s="6"/>
    </row>
    <row r="107" ht="16.8" spans="2:17">
      <c r="B107" s="4" t="s">
        <v>44</v>
      </c>
      <c r="C107" s="45">
        <f t="shared" ref="C107:N107" si="37">C99+C31</f>
        <v>3638.04069132213</v>
      </c>
      <c r="D107" s="45">
        <f t="shared" si="37"/>
        <v>14871.4482893473</v>
      </c>
      <c r="E107" s="45">
        <f t="shared" si="37"/>
        <v>24025.0734262859</v>
      </c>
      <c r="F107" s="45">
        <f t="shared" si="37"/>
        <v>12519.0066679242</v>
      </c>
      <c r="G107" s="45">
        <f t="shared" si="37"/>
        <v>47927.6302573221</v>
      </c>
      <c r="H107" s="45">
        <f t="shared" si="37"/>
        <v>28245.4651635537</v>
      </c>
      <c r="I107" s="45">
        <f t="shared" si="37"/>
        <v>6227.0156049486</v>
      </c>
      <c r="J107" s="45">
        <f t="shared" si="37"/>
        <v>8542.52949975855</v>
      </c>
      <c r="K107" s="45">
        <f t="shared" si="37"/>
        <v>3423.58640383349</v>
      </c>
      <c r="L107" s="45">
        <f t="shared" si="37"/>
        <v>28529.7044749914</v>
      </c>
      <c r="M107" s="45">
        <f t="shared" si="37"/>
        <v>8657.29417506789</v>
      </c>
      <c r="N107" s="45">
        <f t="shared" si="37"/>
        <v>7575.14054742656</v>
      </c>
      <c r="Q107" s="6"/>
    </row>
    <row r="108" spans="2:17">
      <c r="Q108" s="6"/>
    </row>
    <row r="109" spans="2:17">
      <c r="Q109" s="6"/>
    </row>
    <row r="110" spans="2:17">
      <c r="Q110" s="6"/>
    </row>
    <row r="111" spans="2:17">
      <c r="Q111" s="6"/>
    </row>
    <row r="112" spans="2:17">
      <c r="Q112" s="6"/>
    </row>
    <row r="113" spans="17:17">
      <c r="Q113" s="6"/>
    </row>
    <row r="114" spans="17:17">
      <c r="Q114" s="6"/>
    </row>
    <row r="115" spans="17:17">
      <c r="Q115" s="6"/>
    </row>
    <row r="116" spans="17:17">
      <c r="Q116" s="6"/>
    </row>
    <row r="117" spans="17:17">
      <c r="Q117" s="6"/>
    </row>
    <row r="118" spans="17:17">
      <c r="Q118" s="6"/>
    </row>
    <row r="119" spans="17:17">
      <c r="Q119" s="6"/>
    </row>
    <row r="120" spans="17:17">
      <c r="Q120" s="6"/>
    </row>
    <row r="121" spans="17:17">
      <c r="Q121" s="6"/>
    </row>
    <row r="122" spans="17:17">
      <c r="Q122" s="6"/>
    </row>
    <row r="123" spans="17:17">
      <c r="Q123" s="6"/>
    </row>
    <row r="124" spans="17:17">
      <c r="Q124" s="6"/>
    </row>
    <row r="125" spans="17:17">
      <c r="Q125" s="6"/>
    </row>
    <row r="126" spans="17:17">
      <c r="Q126" s="6"/>
    </row>
    <row r="127" spans="17:17">
      <c r="Q127" s="6"/>
    </row>
    <row r="128" spans="17:17">
      <c r="Q128" s="6"/>
    </row>
    <row r="129" spans="17:17">
      <c r="Q129" s="6"/>
    </row>
    <row r="130" spans="17:17">
      <c r="Q130" s="6"/>
    </row>
    <row r="131" spans="17:17">
      <c r="Q131" s="6"/>
    </row>
    <row r="132" spans="17:17">
      <c r="Q132" s="6"/>
    </row>
    <row r="133" spans="17:17">
      <c r="Q133" s="6"/>
    </row>
    <row r="134" spans="17:17">
      <c r="Q134" s="6"/>
    </row>
    <row r="135" spans="17:17">
      <c r="Q135" s="6"/>
    </row>
    <row r="136" spans="17:17">
      <c r="Q136" s="6"/>
    </row>
    <row r="137" spans="17:17">
      <c r="Q137" s="6"/>
    </row>
    <row r="138" spans="17:17">
      <c r="Q138" s="6"/>
    </row>
    <row r="139" spans="17:17">
      <c r="Q139" s="6"/>
    </row>
    <row r="140" spans="17:17">
      <c r="Q140" s="6"/>
    </row>
    <row r="141" spans="17:17">
      <c r="Q141" s="6"/>
    </row>
    <row r="142" spans="17:17">
      <c r="Q142" s="6"/>
    </row>
    <row r="143" spans="17:17">
      <c r="Q143" s="6"/>
    </row>
    <row r="144" spans="17:17">
      <c r="Q144" s="6"/>
    </row>
    <row r="145" spans="17:17">
      <c r="Q145" s="6"/>
    </row>
    <row r="146" spans="17:17">
      <c r="Q146" s="6"/>
    </row>
    <row r="147" spans="17:17">
      <c r="Q147" s="6"/>
    </row>
    <row r="148" spans="17:17">
      <c r="Q148" s="6"/>
    </row>
    <row r="149" spans="17:17">
      <c r="Q149" s="6"/>
    </row>
    <row r="150" spans="17:17">
      <c r="Q150" s="6"/>
    </row>
    <row r="151" spans="17:17">
      <c r="Q151" s="6"/>
    </row>
    <row r="152" spans="17:17">
      <c r="Q152" s="6"/>
    </row>
    <row r="153" spans="17:17">
      <c r="Q153" s="6"/>
    </row>
    <row r="154" spans="17:17">
      <c r="Q154" s="6"/>
    </row>
    <row r="155" spans="17:17">
      <c r="Q155" s="6"/>
    </row>
    <row r="156" spans="17:17">
      <c r="Q156" s="6"/>
    </row>
    <row r="157" spans="17:17">
      <c r="Q157" s="6"/>
    </row>
    <row r="158" spans="17:17">
      <c r="Q158" s="6"/>
    </row>
    <row r="159" spans="17:17">
      <c r="Q159" s="6"/>
    </row>
    <row r="160" spans="17:17">
      <c r="Q160" s="6"/>
    </row>
    <row r="161" spans="17:17">
      <c r="Q161" s="6"/>
    </row>
    <row r="162" spans="17:17">
      <c r="Q162" s="6"/>
    </row>
    <row r="163" spans="17:17">
      <c r="Q163" s="6"/>
    </row>
    <row r="164" spans="17:17">
      <c r="Q164" s="6"/>
    </row>
    <row r="165" spans="17:17">
      <c r="Q165" s="6"/>
    </row>
    <row r="166" spans="17:17">
      <c r="Q166" s="6"/>
    </row>
    <row r="167" spans="17:17">
      <c r="Q167" s="6"/>
    </row>
    <row r="168" spans="17:17">
      <c r="Q168" s="6"/>
    </row>
    <row r="169" spans="17:17">
      <c r="Q169" s="6"/>
    </row>
    <row r="170" spans="17:17">
      <c r="Q170" s="6"/>
    </row>
    <row r="171" spans="17:17">
      <c r="Q171" s="6"/>
    </row>
    <row r="172" spans="17:17">
      <c r="Q172" s="6"/>
    </row>
    <row r="173" spans="17:17">
      <c r="Q173" s="6"/>
    </row>
    <row r="174" spans="17:17">
      <c r="Q174" s="6"/>
    </row>
    <row r="175" spans="17:17">
      <c r="Q175" s="6"/>
    </row>
    <row r="176" spans="17:17">
      <c r="Q176" s="6"/>
    </row>
    <row r="177" spans="17:17">
      <c r="Q177" s="6"/>
    </row>
    <row r="178" spans="17:17">
      <c r="Q178" s="6"/>
    </row>
    <row r="179" spans="17:17">
      <c r="Q179" s="6"/>
    </row>
    <row r="180" spans="17:17">
      <c r="Q180" s="6"/>
    </row>
    <row r="181" spans="17:17">
      <c r="Q181" s="6"/>
    </row>
    <row r="182" spans="17:17">
      <c r="Q182" s="6"/>
    </row>
    <row r="183" spans="17:17">
      <c r="Q183" s="6"/>
    </row>
    <row r="184" spans="17:17">
      <c r="Q184" s="6"/>
    </row>
    <row r="185" spans="17:17">
      <c r="Q185" s="6"/>
    </row>
    <row r="186" spans="17:17">
      <c r="Q186" s="6"/>
    </row>
    <row r="187" spans="17:17">
      <c r="Q187" s="6"/>
    </row>
    <row r="188" spans="17:17">
      <c r="Q188" s="6"/>
    </row>
    <row r="189" spans="17:17">
      <c r="Q189" s="6"/>
    </row>
    <row r="190" spans="17:17">
      <c r="Q190" s="6"/>
    </row>
    <row r="191" spans="17:17">
      <c r="Q191" s="6"/>
    </row>
    <row r="192" spans="17:17">
      <c r="Q192" s="6"/>
    </row>
    <row r="193" spans="17:17">
      <c r="Q193" s="6"/>
    </row>
    <row r="194" spans="17:17">
      <c r="Q194" s="6"/>
    </row>
    <row r="195" spans="17:17">
      <c r="Q195" s="6"/>
    </row>
    <row r="196" spans="17:17">
      <c r="Q196" s="6"/>
    </row>
    <row r="197" spans="17:17">
      <c r="Q197" s="6"/>
    </row>
    <row r="198" spans="17:17">
      <c r="Q198" s="6"/>
    </row>
    <row r="199" spans="17:17">
      <c r="Q199" s="6"/>
    </row>
    <row r="200" spans="17:17">
      <c r="Q200" s="6"/>
    </row>
  </sheetData>
  <pageMargins left="0.75" right="0.75" top="1" bottom="1" header="0.5" footer="0.5"/>
  <headerFooter/>
  <picture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4.4"/>
  <cols>
    <col min="1" max="1" width="7" customWidth="1"/>
    <col min="2" max="2" width="30" customWidth="1"/>
    <col min="3" max="15" width="19" customWidth="1"/>
    <col min="16" max="17" width="14" customWidth="1"/>
    <col min="18" max="18" width="11" customWidth="1"/>
    <col min="19" max="20" width="14" customWidth="1"/>
  </cols>
  <sheetData>
    <row r="1" ht="17" spans="1:20">
      <c r="A1" s="6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6"/>
      <c r="S1" s="6"/>
      <c r="T1" s="6"/>
    </row>
    <row r="2" ht="16.8" spans="1:20">
      <c r="A2" s="6"/>
      <c r="B2" s="4" t="s">
        <v>16</v>
      </c>
      <c r="C2" s="36">
        <v>344.251686670056</v>
      </c>
      <c r="D2" s="36">
        <v>313.987802127634</v>
      </c>
      <c r="E2" s="36">
        <v>366.949600076873</v>
      </c>
      <c r="F2" s="36">
        <v>304.530338208127</v>
      </c>
      <c r="G2" s="36">
        <v>531.509472276296</v>
      </c>
      <c r="H2" s="36">
        <v>459.632746488042</v>
      </c>
      <c r="I2" s="36">
        <v>298.855859856422</v>
      </c>
      <c r="J2" s="36">
        <v>375.65046688282</v>
      </c>
      <c r="K2" s="36">
        <v>414.236919674408</v>
      </c>
      <c r="L2" s="36">
        <v>548.911205888189</v>
      </c>
      <c r="M2" s="36">
        <v>426.720772048158</v>
      </c>
      <c r="N2" s="36">
        <v>381.324945234524</v>
      </c>
      <c r="O2" s="36">
        <f>SUM(C2:N2)</f>
        <v>4766.56181543155</v>
      </c>
      <c r="P2" s="36"/>
      <c r="Q2" s="6"/>
      <c r="R2" s="6"/>
      <c r="S2" s="6"/>
      <c r="T2" s="6"/>
    </row>
    <row r="3" ht="16.8" spans="1:20">
      <c r="A3" s="32"/>
      <c r="B3" s="8" t="s">
        <v>17</v>
      </c>
      <c r="C3" s="8">
        <v>178238.1173</v>
      </c>
      <c r="D3" s="8">
        <v>189377.9996</v>
      </c>
      <c r="E3" s="8">
        <v>155958.353</v>
      </c>
      <c r="F3" s="8">
        <v>144818.4703</v>
      </c>
      <c r="G3" s="8">
        <v>189377.9996</v>
      </c>
      <c r="H3" s="8">
        <v>189377.9996</v>
      </c>
      <c r="I3" s="8">
        <v>144818.4703</v>
      </c>
      <c r="J3" s="8">
        <v>256217.2936</v>
      </c>
      <c r="K3" s="8">
        <v>155958.3526</v>
      </c>
      <c r="L3" s="8">
        <v>211657.7643</v>
      </c>
      <c r="M3" s="8">
        <v>189377.9996</v>
      </c>
      <c r="N3" s="8">
        <v>222797.6466</v>
      </c>
      <c r="O3" s="8">
        <f>SUM(C3:N3)</f>
        <v>2227976.4664</v>
      </c>
      <c r="P3" s="8"/>
      <c r="Q3" s="10" t="s">
        <v>83</v>
      </c>
      <c r="R3" s="6"/>
      <c r="S3" s="6"/>
      <c r="T3" s="6"/>
    </row>
    <row r="4" ht="16.8" spans="1:20">
      <c r="A4" s="32"/>
      <c r="B4" s="8" t="s">
        <v>84</v>
      </c>
      <c r="C4" s="8">
        <v>160414.3055</v>
      </c>
      <c r="D4" s="8">
        <v>170440.1996</v>
      </c>
      <c r="E4" s="8">
        <v>140362.5173</v>
      </c>
      <c r="F4" s="8">
        <v>130336.6233</v>
      </c>
      <c r="G4" s="8">
        <v>170440.1996</v>
      </c>
      <c r="H4" s="8">
        <v>170440.1996</v>
      </c>
      <c r="I4" s="8">
        <v>130336.6233</v>
      </c>
      <c r="J4" s="8">
        <v>230595.5642</v>
      </c>
      <c r="K4" s="8">
        <v>140362.5173</v>
      </c>
      <c r="L4" s="8">
        <v>190491.9878</v>
      </c>
      <c r="M4" s="8">
        <v>170440.1996</v>
      </c>
      <c r="N4" s="8">
        <v>200517.8819</v>
      </c>
      <c r="O4" s="8">
        <f>SUM(C4:N4)</f>
        <v>2005178.819</v>
      </c>
      <c r="P4" s="8"/>
      <c r="Q4" s="10" t="s">
        <v>83</v>
      </c>
      <c r="R4" s="6"/>
      <c r="S4" s="6"/>
      <c r="T4" s="6"/>
    </row>
    <row r="5" ht="16.8" spans="1:20">
      <c r="A5" s="32"/>
      <c r="B5" s="8" t="s">
        <v>18</v>
      </c>
      <c r="C5" s="8">
        <f t="shared" ref="C5:N5" si="0">C3*$P$12</f>
        <v>26735.717595</v>
      </c>
      <c r="D5" s="8">
        <f t="shared" si="0"/>
        <v>28406.69994</v>
      </c>
      <c r="E5" s="8">
        <f t="shared" si="0"/>
        <v>23393.75295</v>
      </c>
      <c r="F5" s="8">
        <f t="shared" si="0"/>
        <v>21722.770545</v>
      </c>
      <c r="G5" s="8">
        <f t="shared" si="0"/>
        <v>28406.69994</v>
      </c>
      <c r="H5" s="8">
        <f t="shared" si="0"/>
        <v>28406.69994</v>
      </c>
      <c r="I5" s="8">
        <f t="shared" si="0"/>
        <v>21722.770545</v>
      </c>
      <c r="J5" s="8">
        <f t="shared" si="0"/>
        <v>38432.59404</v>
      </c>
      <c r="K5" s="8">
        <f t="shared" si="0"/>
        <v>23393.75289</v>
      </c>
      <c r="L5" s="8">
        <f t="shared" si="0"/>
        <v>31748.664645</v>
      </c>
      <c r="M5" s="8">
        <f t="shared" si="0"/>
        <v>28406.69994</v>
      </c>
      <c r="N5" s="8">
        <f t="shared" si="0"/>
        <v>33419.64699</v>
      </c>
      <c r="O5" s="8">
        <f>SUM(C5:N5)</f>
        <v>334196.46996</v>
      </c>
      <c r="P5" s="8"/>
      <c r="Q5" s="11" t="s">
        <v>83</v>
      </c>
      <c r="R5" s="6"/>
      <c r="S5" s="6"/>
      <c r="T5" s="6"/>
    </row>
    <row r="6" ht="16.8" spans="1:20">
      <c r="A6" s="32"/>
      <c r="B6" s="12" t="s">
        <v>85</v>
      </c>
      <c r="C6" s="12">
        <v>151502.4</v>
      </c>
      <c r="D6" s="12">
        <v>160971.3</v>
      </c>
      <c r="E6" s="12">
        <v>132564.6</v>
      </c>
      <c r="F6" s="12">
        <v>123095.7</v>
      </c>
      <c r="G6" s="12">
        <v>160971.3</v>
      </c>
      <c r="H6" s="12">
        <v>160971.3</v>
      </c>
      <c r="I6" s="12">
        <v>123095.7</v>
      </c>
      <c r="J6" s="12">
        <v>217784.7</v>
      </c>
      <c r="K6" s="12">
        <v>132564.6</v>
      </c>
      <c r="L6" s="12">
        <v>179909.1</v>
      </c>
      <c r="M6" s="12">
        <v>160971.3</v>
      </c>
      <c r="N6" s="12">
        <v>189378</v>
      </c>
      <c r="O6" s="12">
        <f>SUM(C6:N6)</f>
        <v>1893780</v>
      </c>
      <c r="P6" s="12"/>
      <c r="Q6" s="11" t="s">
        <v>83</v>
      </c>
      <c r="R6" s="6"/>
      <c r="S6" s="6"/>
      <c r="T6" s="6"/>
    </row>
    <row r="7" ht="16.8" spans="1:20">
      <c r="A7" s="32"/>
      <c r="B7" s="14" t="s">
        <v>20</v>
      </c>
      <c r="C7" s="14">
        <f t="shared" ref="C7:O7" si="1">1-C8/C6</f>
        <v>0.0999997359777798</v>
      </c>
      <c r="D7" s="14">
        <f t="shared" si="1"/>
        <v>0.0999998136313739</v>
      </c>
      <c r="E7" s="14">
        <f t="shared" si="1"/>
        <v>0.10000030173968</v>
      </c>
      <c r="F7" s="14">
        <f t="shared" si="1"/>
        <v>0.100000243712818</v>
      </c>
      <c r="G7" s="14">
        <f t="shared" si="1"/>
        <v>0.0999998136313739</v>
      </c>
      <c r="H7" s="14">
        <f t="shared" si="1"/>
        <v>0.0999998136313739</v>
      </c>
      <c r="I7" s="14">
        <f t="shared" si="1"/>
        <v>0.100000243712818</v>
      </c>
      <c r="J7" s="14">
        <f t="shared" si="1"/>
        <v>0.100000137750724</v>
      </c>
      <c r="K7" s="14">
        <f t="shared" si="1"/>
        <v>0.10000030173968</v>
      </c>
      <c r="L7" s="14">
        <f t="shared" si="1"/>
        <v>0.0999999444163747</v>
      </c>
      <c r="M7" s="14">
        <f t="shared" si="1"/>
        <v>0.0999998136313739</v>
      </c>
      <c r="N7" s="14">
        <f t="shared" si="1"/>
        <v>0.1</v>
      </c>
      <c r="O7" s="14">
        <f t="shared" si="1"/>
        <v>0.1</v>
      </c>
      <c r="P7" s="14"/>
      <c r="Q7" s="6" t="s">
        <v>83</v>
      </c>
      <c r="R7" s="6"/>
      <c r="S7" s="6"/>
      <c r="T7" s="6"/>
    </row>
    <row r="8" ht="16.8" spans="1:20">
      <c r="A8" s="32"/>
      <c r="B8" s="12" t="s">
        <v>86</v>
      </c>
      <c r="C8" s="12">
        <v>136352.2</v>
      </c>
      <c r="D8" s="12">
        <v>144874.2</v>
      </c>
      <c r="E8" s="12">
        <v>119308.1</v>
      </c>
      <c r="F8" s="12">
        <v>110786.1</v>
      </c>
      <c r="G8" s="12">
        <v>144874.2</v>
      </c>
      <c r="H8" s="12">
        <v>144874.2</v>
      </c>
      <c r="I8" s="12">
        <v>110786.1</v>
      </c>
      <c r="J8" s="12">
        <v>196006.2</v>
      </c>
      <c r="K8" s="12">
        <v>119308.1</v>
      </c>
      <c r="L8" s="12">
        <v>161918.2</v>
      </c>
      <c r="M8" s="12">
        <v>144874.2</v>
      </c>
      <c r="N8" s="12">
        <v>170440.2</v>
      </c>
      <c r="O8" s="12">
        <f>SUM(C8:N8)</f>
        <v>1704402</v>
      </c>
      <c r="P8" s="12"/>
      <c r="Q8" s="6" t="s">
        <v>83</v>
      </c>
      <c r="R8" s="6"/>
      <c r="S8" s="6"/>
      <c r="T8" s="6"/>
    </row>
    <row r="9" ht="16.8" spans="1:20">
      <c r="A9" s="6"/>
      <c r="B9" s="4"/>
      <c r="C9" s="5">
        <f t="shared" ref="C9:O9" si="2">C10-C14-C15</f>
        <v>-0.0403250000381377</v>
      </c>
      <c r="D9" s="5">
        <f t="shared" si="2"/>
        <v>-0.0303400000266265</v>
      </c>
      <c r="E9" s="5">
        <f t="shared" si="2"/>
        <v>0.0397050000028685</v>
      </c>
      <c r="F9" s="5">
        <f t="shared" si="2"/>
        <v>0.029804999998305</v>
      </c>
      <c r="G9" s="5">
        <f t="shared" si="2"/>
        <v>-0.0303400000266265</v>
      </c>
      <c r="H9" s="5">
        <f t="shared" si="2"/>
        <v>-0.0303400000266265</v>
      </c>
      <c r="I9" s="5">
        <f t="shared" si="2"/>
        <v>0.029804999998305</v>
      </c>
      <c r="J9" s="5">
        <f t="shared" si="2"/>
        <v>0.0295699999842327</v>
      </c>
      <c r="K9" s="5">
        <f t="shared" si="2"/>
        <v>0.0397050000028685</v>
      </c>
      <c r="L9" s="5">
        <f t="shared" si="2"/>
        <v>-0.0103700000036042</v>
      </c>
      <c r="M9" s="5">
        <f t="shared" si="2"/>
        <v>-0.0303400000266265</v>
      </c>
      <c r="N9" s="5">
        <f t="shared" si="2"/>
        <v>-0.000385000021196902</v>
      </c>
      <c r="O9" s="5">
        <f t="shared" si="2"/>
        <v>-0.00385000044479966</v>
      </c>
      <c r="P9" s="36"/>
      <c r="Q9" s="6"/>
      <c r="R9" s="6"/>
      <c r="S9" s="6"/>
      <c r="T9" s="6"/>
    </row>
    <row r="10" ht="16.8" spans="1:20">
      <c r="A10" s="32"/>
      <c r="B10" s="12" t="s">
        <v>22</v>
      </c>
      <c r="C10" s="12">
        <f t="shared" ref="C10:N10" si="3">C13+C4</f>
        <v>160673.37468</v>
      </c>
      <c r="D10" s="12">
        <f t="shared" si="3"/>
        <v>170715.46058</v>
      </c>
      <c r="E10" s="12">
        <f t="shared" si="3"/>
        <v>140589.20269</v>
      </c>
      <c r="F10" s="12">
        <f t="shared" si="3"/>
        <v>130547.11689</v>
      </c>
      <c r="G10" s="12">
        <f t="shared" si="3"/>
        <v>170715.46058</v>
      </c>
      <c r="H10" s="12">
        <f t="shared" si="3"/>
        <v>170715.46058</v>
      </c>
      <c r="I10" s="12">
        <f t="shared" si="3"/>
        <v>130547.11689</v>
      </c>
      <c r="J10" s="12">
        <f t="shared" si="3"/>
        <v>230967.97598</v>
      </c>
      <c r="K10" s="12">
        <f t="shared" si="3"/>
        <v>140589.20269</v>
      </c>
      <c r="L10" s="12">
        <f t="shared" si="3"/>
        <v>190799.63238</v>
      </c>
      <c r="M10" s="12">
        <f t="shared" si="3"/>
        <v>170715.46058</v>
      </c>
      <c r="N10" s="12">
        <f t="shared" si="3"/>
        <v>200841.71828</v>
      </c>
      <c r="O10" s="12">
        <f t="shared" ref="O10:O16" si="4">SUM(C10:N10)</f>
        <v>2008417.1828</v>
      </c>
      <c r="P10" s="12"/>
      <c r="Q10" s="6"/>
      <c r="R10" s="6"/>
      <c r="S10" s="6"/>
      <c r="T10" s="6"/>
    </row>
    <row r="11" ht="16.8" spans="1:20">
      <c r="A11" s="6"/>
      <c r="B11" s="17" t="s">
        <v>23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>
        <f t="shared" si="4"/>
        <v>0</v>
      </c>
      <c r="P11" s="37"/>
      <c r="Q11" s="6" t="s">
        <v>88</v>
      </c>
      <c r="R11" s="6"/>
      <c r="S11" s="6"/>
      <c r="T11" s="6"/>
    </row>
    <row r="12" ht="16.8" spans="1:20">
      <c r="A12" s="6"/>
      <c r="B12" s="17" t="s">
        <v>25</v>
      </c>
      <c r="C12" s="37">
        <f t="shared" ref="C12:N12" si="5">C4*$P$12</f>
        <v>24062.145825</v>
      </c>
      <c r="D12" s="37">
        <f t="shared" si="5"/>
        <v>25566.02994</v>
      </c>
      <c r="E12" s="37">
        <f t="shared" si="5"/>
        <v>21054.377595</v>
      </c>
      <c r="F12" s="37">
        <f t="shared" si="5"/>
        <v>19550.493495</v>
      </c>
      <c r="G12" s="37">
        <f t="shared" si="5"/>
        <v>25566.02994</v>
      </c>
      <c r="H12" s="37">
        <f t="shared" si="5"/>
        <v>25566.02994</v>
      </c>
      <c r="I12" s="37">
        <f t="shared" si="5"/>
        <v>19550.493495</v>
      </c>
      <c r="J12" s="37">
        <f t="shared" si="5"/>
        <v>34589.33463</v>
      </c>
      <c r="K12" s="37">
        <f t="shared" si="5"/>
        <v>21054.377595</v>
      </c>
      <c r="L12" s="37">
        <f t="shared" si="5"/>
        <v>28573.79817</v>
      </c>
      <c r="M12" s="37">
        <f t="shared" si="5"/>
        <v>25566.02994</v>
      </c>
      <c r="N12" s="37">
        <f t="shared" si="5"/>
        <v>30077.682285</v>
      </c>
      <c r="O12" s="37">
        <f t="shared" si="4"/>
        <v>300776.82285</v>
      </c>
      <c r="P12" s="39">
        <v>0.15</v>
      </c>
      <c r="Q12" s="6" t="s">
        <v>83</v>
      </c>
      <c r="R12" s="20">
        <f>O12/$O$10</f>
        <v>0.149758140602381</v>
      </c>
      <c r="S12" s="6"/>
      <c r="T12" s="6"/>
    </row>
    <row r="13" ht="68" spans="1:20">
      <c r="A13" s="6"/>
      <c r="B13" s="17" t="s">
        <v>27</v>
      </c>
      <c r="C13" s="37">
        <f t="shared" ref="C13:N13" si="6">C15*$P$13</f>
        <v>259.06918</v>
      </c>
      <c r="D13" s="37">
        <f t="shared" si="6"/>
        <v>275.26098</v>
      </c>
      <c r="E13" s="37">
        <f t="shared" si="6"/>
        <v>226.68539</v>
      </c>
      <c r="F13" s="37">
        <f t="shared" si="6"/>
        <v>210.49359</v>
      </c>
      <c r="G13" s="37">
        <f t="shared" si="6"/>
        <v>275.26098</v>
      </c>
      <c r="H13" s="37">
        <f t="shared" si="6"/>
        <v>275.26098</v>
      </c>
      <c r="I13" s="37">
        <f t="shared" si="6"/>
        <v>210.49359</v>
      </c>
      <c r="J13" s="37">
        <f t="shared" si="6"/>
        <v>372.41178</v>
      </c>
      <c r="K13" s="37">
        <f t="shared" si="6"/>
        <v>226.68539</v>
      </c>
      <c r="L13" s="37">
        <f t="shared" si="6"/>
        <v>307.64458</v>
      </c>
      <c r="M13" s="37">
        <f t="shared" si="6"/>
        <v>275.26098</v>
      </c>
      <c r="N13" s="37">
        <f t="shared" si="6"/>
        <v>323.83638</v>
      </c>
      <c r="O13" s="37">
        <f t="shared" si="4"/>
        <v>3238.3638</v>
      </c>
      <c r="P13" s="58">
        <v>0.0019</v>
      </c>
      <c r="Q13" s="59" t="s">
        <v>134</v>
      </c>
      <c r="R13" s="20">
        <f>O13/$O$10</f>
        <v>0.00161239598412781</v>
      </c>
      <c r="S13" s="6"/>
      <c r="T13" s="6"/>
    </row>
    <row r="14" ht="16.8" spans="1:20">
      <c r="A14" s="6"/>
      <c r="B14" s="21" t="s">
        <v>28</v>
      </c>
      <c r="C14" s="40">
        <f t="shared" ref="C14:N14" si="7">SUM(C11:C13)</f>
        <v>24321.215005</v>
      </c>
      <c r="D14" s="40">
        <f t="shared" si="7"/>
        <v>25841.29092</v>
      </c>
      <c r="E14" s="40">
        <f t="shared" si="7"/>
        <v>21281.062985</v>
      </c>
      <c r="F14" s="40">
        <f t="shared" si="7"/>
        <v>19760.987085</v>
      </c>
      <c r="G14" s="40">
        <f t="shared" si="7"/>
        <v>25841.29092</v>
      </c>
      <c r="H14" s="40">
        <f t="shared" si="7"/>
        <v>25841.29092</v>
      </c>
      <c r="I14" s="40">
        <f t="shared" si="7"/>
        <v>19760.987085</v>
      </c>
      <c r="J14" s="40">
        <f t="shared" si="7"/>
        <v>34961.74641</v>
      </c>
      <c r="K14" s="40">
        <f t="shared" si="7"/>
        <v>21281.062985</v>
      </c>
      <c r="L14" s="40">
        <f t="shared" si="7"/>
        <v>28881.44275</v>
      </c>
      <c r="M14" s="40">
        <f t="shared" si="7"/>
        <v>25841.29092</v>
      </c>
      <c r="N14" s="40">
        <f t="shared" si="7"/>
        <v>30401.518665</v>
      </c>
      <c r="O14" s="40">
        <f t="shared" si="4"/>
        <v>304015.18665</v>
      </c>
      <c r="P14" s="40"/>
      <c r="Q14" s="6"/>
      <c r="R14" s="6"/>
      <c r="S14" s="6"/>
      <c r="T14" s="6"/>
    </row>
    <row r="15" ht="16.8" spans="1:20">
      <c r="A15" s="32"/>
      <c r="B15" s="12" t="s">
        <v>29</v>
      </c>
      <c r="C15" s="12">
        <f t="shared" ref="C15:N15" si="8">C8</f>
        <v>136352.2</v>
      </c>
      <c r="D15" s="12">
        <f t="shared" si="8"/>
        <v>144874.2</v>
      </c>
      <c r="E15" s="12">
        <f t="shared" si="8"/>
        <v>119308.1</v>
      </c>
      <c r="F15" s="12">
        <f t="shared" si="8"/>
        <v>110786.1</v>
      </c>
      <c r="G15" s="12">
        <f t="shared" si="8"/>
        <v>144874.2</v>
      </c>
      <c r="H15" s="12">
        <f t="shared" si="8"/>
        <v>144874.2</v>
      </c>
      <c r="I15" s="12">
        <f t="shared" si="8"/>
        <v>110786.1</v>
      </c>
      <c r="J15" s="12">
        <f t="shared" si="8"/>
        <v>196006.2</v>
      </c>
      <c r="K15" s="12">
        <f t="shared" si="8"/>
        <v>119308.1</v>
      </c>
      <c r="L15" s="12">
        <f t="shared" si="8"/>
        <v>161918.2</v>
      </c>
      <c r="M15" s="12">
        <f t="shared" si="8"/>
        <v>144874.2</v>
      </c>
      <c r="N15" s="12">
        <f t="shared" si="8"/>
        <v>170440.2</v>
      </c>
      <c r="O15" s="12">
        <f t="shared" si="4"/>
        <v>1704402</v>
      </c>
      <c r="P15" s="12"/>
      <c r="Q15" s="6"/>
      <c r="R15" s="6"/>
      <c r="S15" s="6"/>
      <c r="T15" s="6"/>
    </row>
    <row r="16" ht="16.8" spans="1:20">
      <c r="A16" s="32"/>
      <c r="B16" s="12" t="s">
        <v>30</v>
      </c>
      <c r="C16" s="12">
        <f t="shared" ref="C16:N16" si="9">+C8/1.13</f>
        <v>120665.663716814</v>
      </c>
      <c r="D16" s="12">
        <f t="shared" si="9"/>
        <v>128207.256637168</v>
      </c>
      <c r="E16" s="12">
        <f t="shared" si="9"/>
        <v>105582.389380531</v>
      </c>
      <c r="F16" s="12">
        <f t="shared" si="9"/>
        <v>98040.796460177</v>
      </c>
      <c r="G16" s="12">
        <f t="shared" si="9"/>
        <v>128207.256637168</v>
      </c>
      <c r="H16" s="12">
        <f t="shared" si="9"/>
        <v>128207.256637168</v>
      </c>
      <c r="I16" s="12">
        <f t="shared" si="9"/>
        <v>98040.796460177</v>
      </c>
      <c r="J16" s="12">
        <f t="shared" si="9"/>
        <v>173456.814159292</v>
      </c>
      <c r="K16" s="12">
        <f t="shared" si="9"/>
        <v>105582.389380531</v>
      </c>
      <c r="L16" s="12">
        <f t="shared" si="9"/>
        <v>143290.442477876</v>
      </c>
      <c r="M16" s="12">
        <f t="shared" si="9"/>
        <v>128207.256637168</v>
      </c>
      <c r="N16" s="12">
        <f t="shared" si="9"/>
        <v>150832.03539823</v>
      </c>
      <c r="O16" s="12">
        <f t="shared" si="4"/>
        <v>1508320.3539823</v>
      </c>
      <c r="P16" s="12"/>
      <c r="Q16" s="6"/>
      <c r="R16" s="6"/>
      <c r="S16" s="6"/>
      <c r="T16" s="6"/>
    </row>
    <row r="17" spans="1:20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ht="16.8" spans="1:20">
      <c r="A18" s="6"/>
      <c r="B18" s="17" t="s">
        <v>31</v>
      </c>
      <c r="C18" s="18">
        <f t="shared" ref="C18:N18" si="10">C64*C65</f>
        <v>59063.6370976541</v>
      </c>
      <c r="D18" s="18">
        <f t="shared" si="10"/>
        <v>62488.4856039713</v>
      </c>
      <c r="E18" s="18">
        <f t="shared" si="10"/>
        <v>54293.7356945976</v>
      </c>
      <c r="F18" s="18">
        <f t="shared" si="10"/>
        <v>50551.9767226891</v>
      </c>
      <c r="G18" s="18">
        <f t="shared" si="10"/>
        <v>58888.8219978746</v>
      </c>
      <c r="H18" s="18">
        <f t="shared" si="10"/>
        <v>59821.7582026057</v>
      </c>
      <c r="I18" s="18">
        <f t="shared" si="10"/>
        <v>42258.047101269</v>
      </c>
      <c r="J18" s="18">
        <f t="shared" si="10"/>
        <v>74559.604639561</v>
      </c>
      <c r="K18" s="18">
        <f t="shared" si="10"/>
        <v>44599.493827775</v>
      </c>
      <c r="L18" s="18">
        <f t="shared" si="10"/>
        <v>59551.4503763171</v>
      </c>
      <c r="M18" s="18">
        <f t="shared" si="10"/>
        <v>52055.627809907</v>
      </c>
      <c r="N18" s="18">
        <f t="shared" si="10"/>
        <v>60635.7082568807</v>
      </c>
      <c r="O18" s="37">
        <f>SUM(C18:N18)</f>
        <v>678768.347331102</v>
      </c>
      <c r="P18" s="38">
        <f>O18/O16</f>
        <v>0.450016036406989</v>
      </c>
      <c r="Q18" s="6"/>
      <c r="R18" s="6"/>
      <c r="S18" s="6"/>
      <c r="T18" s="6"/>
    </row>
    <row r="19" ht="16.8" spans="1:20">
      <c r="A19" s="6"/>
      <c r="B19" s="21" t="s">
        <v>32</v>
      </c>
      <c r="C19" s="40">
        <f t="shared" ref="C19:N19" si="11">C16-C18</f>
        <v>61602.0266191601</v>
      </c>
      <c r="D19" s="40">
        <f t="shared" si="11"/>
        <v>65718.7710331968</v>
      </c>
      <c r="E19" s="40">
        <f t="shared" si="11"/>
        <v>51288.6536859334</v>
      </c>
      <c r="F19" s="40">
        <f t="shared" si="11"/>
        <v>47488.8197374879</v>
      </c>
      <c r="G19" s="40">
        <f t="shared" si="11"/>
        <v>69318.4346392936</v>
      </c>
      <c r="H19" s="40">
        <f t="shared" si="11"/>
        <v>68385.4984345625</v>
      </c>
      <c r="I19" s="40">
        <f t="shared" si="11"/>
        <v>55782.749358908</v>
      </c>
      <c r="J19" s="40">
        <f t="shared" si="11"/>
        <v>98897.2095197311</v>
      </c>
      <c r="K19" s="40">
        <f t="shared" si="11"/>
        <v>60982.895552756</v>
      </c>
      <c r="L19" s="40">
        <f t="shared" si="11"/>
        <v>83738.992101559</v>
      </c>
      <c r="M19" s="40">
        <f t="shared" si="11"/>
        <v>76151.6288272612</v>
      </c>
      <c r="N19" s="40">
        <f t="shared" si="11"/>
        <v>90196.3271413494</v>
      </c>
      <c r="O19" s="40">
        <f>SUM(C19:N19)</f>
        <v>829552.006651199</v>
      </c>
      <c r="P19" s="41">
        <f>O19/$O$16</f>
        <v>0.549983963593011</v>
      </c>
      <c r="Q19" s="6"/>
      <c r="R19" s="6"/>
      <c r="S19" s="6"/>
      <c r="T19" s="6"/>
    </row>
    <row r="20" ht="72" spans="1:20">
      <c r="A20" s="36"/>
      <c r="B20" s="4" t="s">
        <v>33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42"/>
      <c r="Q20" s="60" t="s">
        <v>135</v>
      </c>
      <c r="R20" s="6"/>
      <c r="S20" s="6"/>
      <c r="T20" s="6"/>
    </row>
    <row r="21" ht="16.8" spans="1:20">
      <c r="A21" s="6"/>
      <c r="B21" s="21" t="s">
        <v>35</v>
      </c>
      <c r="C21" s="40">
        <f t="shared" ref="C21:N21" si="12">SUM(C18,C20)</f>
        <v>59063.6370976541</v>
      </c>
      <c r="D21" s="40">
        <f t="shared" si="12"/>
        <v>62488.4856039713</v>
      </c>
      <c r="E21" s="40">
        <f t="shared" si="12"/>
        <v>54293.7356945976</v>
      </c>
      <c r="F21" s="40">
        <f t="shared" si="12"/>
        <v>50551.9767226891</v>
      </c>
      <c r="G21" s="40">
        <f t="shared" si="12"/>
        <v>58888.8219978746</v>
      </c>
      <c r="H21" s="40">
        <f t="shared" si="12"/>
        <v>59821.7582026057</v>
      </c>
      <c r="I21" s="40">
        <f t="shared" si="12"/>
        <v>42258.047101269</v>
      </c>
      <c r="J21" s="40">
        <f t="shared" si="12"/>
        <v>74559.604639561</v>
      </c>
      <c r="K21" s="40">
        <f t="shared" si="12"/>
        <v>44599.493827775</v>
      </c>
      <c r="L21" s="40">
        <f t="shared" si="12"/>
        <v>59551.4503763171</v>
      </c>
      <c r="M21" s="40">
        <f t="shared" si="12"/>
        <v>52055.627809907</v>
      </c>
      <c r="N21" s="40">
        <f t="shared" si="12"/>
        <v>60635.7082568807</v>
      </c>
      <c r="O21" s="40">
        <f>SUM(C21:N21)</f>
        <v>678768.347331102</v>
      </c>
      <c r="P21" s="41">
        <f>O21/$O$16</f>
        <v>0.450016036406989</v>
      </c>
      <c r="Q21" s="6"/>
      <c r="R21" s="6"/>
      <c r="S21" s="6"/>
      <c r="T21" s="6"/>
    </row>
    <row r="22" ht="16.8" spans="1:20">
      <c r="A22" s="32"/>
      <c r="B22" s="12" t="s">
        <v>36</v>
      </c>
      <c r="C22" s="12">
        <f t="shared" ref="C22:N22" si="13">C16-C21</f>
        <v>61602.0266191601</v>
      </c>
      <c r="D22" s="12">
        <f t="shared" si="13"/>
        <v>65718.7710331968</v>
      </c>
      <c r="E22" s="12">
        <f t="shared" si="13"/>
        <v>51288.6536859334</v>
      </c>
      <c r="F22" s="12">
        <f t="shared" si="13"/>
        <v>47488.8197374879</v>
      </c>
      <c r="G22" s="12">
        <f t="shared" si="13"/>
        <v>69318.4346392936</v>
      </c>
      <c r="H22" s="12">
        <f t="shared" si="13"/>
        <v>68385.4984345625</v>
      </c>
      <c r="I22" s="12">
        <f t="shared" si="13"/>
        <v>55782.749358908</v>
      </c>
      <c r="J22" s="12">
        <f t="shared" si="13"/>
        <v>98897.2095197311</v>
      </c>
      <c r="K22" s="12">
        <f t="shared" si="13"/>
        <v>60982.895552756</v>
      </c>
      <c r="L22" s="12">
        <f t="shared" si="13"/>
        <v>83738.992101559</v>
      </c>
      <c r="M22" s="12">
        <f t="shared" si="13"/>
        <v>76151.6288272612</v>
      </c>
      <c r="N22" s="12">
        <f t="shared" si="13"/>
        <v>90196.3271413494</v>
      </c>
      <c r="O22" s="12">
        <f>SUM(C22:N22)</f>
        <v>829552.006651199</v>
      </c>
      <c r="P22" s="43">
        <f>O22/$O$16</f>
        <v>0.549983963593011</v>
      </c>
      <c r="Q22" s="6"/>
      <c r="R22" s="6"/>
      <c r="S22" s="6"/>
      <c r="T22" s="6"/>
    </row>
    <row r="23" ht="16.8" spans="1:20">
      <c r="A23" s="6"/>
      <c r="B23" s="14" t="s">
        <v>37</v>
      </c>
      <c r="C23" s="44">
        <f t="shared" ref="C23:O23" si="14">C19/C16</f>
        <v>0.510518276050191</v>
      </c>
      <c r="D23" s="44">
        <f t="shared" si="14"/>
        <v>0.512597904026475</v>
      </c>
      <c r="E23" s="44">
        <f t="shared" si="14"/>
        <v>0.485769018743109</v>
      </c>
      <c r="F23" s="44">
        <f t="shared" si="14"/>
        <v>0.484378151260504</v>
      </c>
      <c r="G23" s="44">
        <f t="shared" si="14"/>
        <v>0.54067481402763</v>
      </c>
      <c r="H23" s="44">
        <f t="shared" si="14"/>
        <v>0.533398032438181</v>
      </c>
      <c r="I23" s="44">
        <f t="shared" si="14"/>
        <v>0.56897486937049</v>
      </c>
      <c r="J23" s="44">
        <f t="shared" si="14"/>
        <v>0.570154652032926</v>
      </c>
      <c r="K23" s="44">
        <f t="shared" si="14"/>
        <v>0.577585863613738</v>
      </c>
      <c r="L23" s="44">
        <f t="shared" si="14"/>
        <v>0.584400401404917</v>
      </c>
      <c r="M23" s="44">
        <f t="shared" si="14"/>
        <v>0.59397284385215</v>
      </c>
      <c r="N23" s="44">
        <f t="shared" si="14"/>
        <v>0.597991845056065</v>
      </c>
      <c r="O23" s="44">
        <f t="shared" si="14"/>
        <v>0.549983963593011</v>
      </c>
      <c r="P23" s="42"/>
      <c r="Q23" s="6"/>
      <c r="R23" s="6"/>
      <c r="S23" s="6"/>
      <c r="T23" s="6"/>
    </row>
    <row r="24" ht="16.8" spans="1:20">
      <c r="A24" s="6"/>
      <c r="B24" s="14" t="s">
        <v>38</v>
      </c>
      <c r="C24" s="44">
        <f t="shared" ref="C24:O24" si="15">IFERROR(1-C21/C16,0)</f>
        <v>0.510518276050191</v>
      </c>
      <c r="D24" s="44">
        <f t="shared" si="15"/>
        <v>0.512597904026475</v>
      </c>
      <c r="E24" s="44">
        <f t="shared" si="15"/>
        <v>0.485769018743109</v>
      </c>
      <c r="F24" s="44">
        <f t="shared" si="15"/>
        <v>0.484378151260504</v>
      </c>
      <c r="G24" s="44">
        <f t="shared" si="15"/>
        <v>0.54067481402763</v>
      </c>
      <c r="H24" s="44">
        <f t="shared" si="15"/>
        <v>0.533398032438181</v>
      </c>
      <c r="I24" s="44">
        <f t="shared" si="15"/>
        <v>0.56897486937049</v>
      </c>
      <c r="J24" s="44">
        <f t="shared" si="15"/>
        <v>0.570154652032926</v>
      </c>
      <c r="K24" s="44">
        <f t="shared" si="15"/>
        <v>0.577585863613738</v>
      </c>
      <c r="L24" s="44">
        <f t="shared" si="15"/>
        <v>0.584400401404917</v>
      </c>
      <c r="M24" s="44">
        <f t="shared" si="15"/>
        <v>0.59397284385215</v>
      </c>
      <c r="N24" s="44">
        <f t="shared" si="15"/>
        <v>0.597991845056065</v>
      </c>
      <c r="O24" s="44">
        <f t="shared" si="15"/>
        <v>0.549983963593011</v>
      </c>
      <c r="P24" s="42"/>
      <c r="Q24" s="6"/>
      <c r="R24" s="6"/>
      <c r="S24" s="6"/>
      <c r="T24" s="6"/>
    </row>
    <row r="25" ht="16.8" spans="1:20">
      <c r="A25" s="6"/>
      <c r="B25" s="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42"/>
      <c r="Q25" s="6"/>
      <c r="R25" s="6"/>
      <c r="S25" s="6"/>
      <c r="T25" s="6"/>
    </row>
    <row r="26" ht="16.8" spans="1:20">
      <c r="A26" s="6"/>
      <c r="B26" s="17" t="s">
        <v>39</v>
      </c>
      <c r="C26" s="37">
        <f t="shared" ref="C26:N26" si="16">SUM(C27:C31)</f>
        <v>1492.8735009694</v>
      </c>
      <c r="D26" s="37">
        <f t="shared" si="16"/>
        <v>5277.52769789309</v>
      </c>
      <c r="E26" s="37">
        <f t="shared" si="16"/>
        <v>9299.83821062717</v>
      </c>
      <c r="F26" s="37">
        <f t="shared" si="16"/>
        <v>5237.48701562314</v>
      </c>
      <c r="G26" s="37">
        <f t="shared" si="16"/>
        <v>22465.4923172341</v>
      </c>
      <c r="H26" s="37">
        <f t="shared" si="16"/>
        <v>13038.204996943</v>
      </c>
      <c r="I26" s="37">
        <f t="shared" si="16"/>
        <v>2400.97247054063</v>
      </c>
      <c r="J26" s="37">
        <f t="shared" si="16"/>
        <v>4196.63778138112</v>
      </c>
      <c r="K26" s="37">
        <f t="shared" si="16"/>
        <v>3318.3398199771</v>
      </c>
      <c r="L26" s="37">
        <f t="shared" si="16"/>
        <v>11789.0993797212</v>
      </c>
      <c r="M26" s="37">
        <f t="shared" si="16"/>
        <v>4635.56995763584</v>
      </c>
      <c r="N26" s="37">
        <f t="shared" si="16"/>
        <v>2770.84735439761</v>
      </c>
      <c r="O26" s="37">
        <f t="shared" ref="O26:O31" si="17">SUM(C26:N26)</f>
        <v>85922.8905029434</v>
      </c>
      <c r="P26" s="38">
        <f t="shared" ref="P26:P31" si="18">O26/$O$16</f>
        <v>0.0569659424644691</v>
      </c>
      <c r="Q26" s="6"/>
      <c r="R26" s="6"/>
      <c r="S26" s="6"/>
      <c r="T26" s="6"/>
    </row>
    <row r="27" ht="16.8" spans="1:20">
      <c r="A27" s="36"/>
      <c r="B27" s="4" t="s">
        <v>40</v>
      </c>
      <c r="C27" s="45">
        <v>0</v>
      </c>
      <c r="D27" s="45">
        <v>0</v>
      </c>
      <c r="E27" s="45">
        <v>254.09394018107</v>
      </c>
      <c r="F27" s="45">
        <v>212.905976244843</v>
      </c>
      <c r="G27" s="45">
        <v>447.51976727558</v>
      </c>
      <c r="H27" s="45">
        <v>395.097121119484</v>
      </c>
      <c r="I27" s="45">
        <v>255.422603249003</v>
      </c>
      <c r="J27" s="45">
        <v>355.647269608569</v>
      </c>
      <c r="K27" s="45">
        <v>281.21523898111</v>
      </c>
      <c r="L27" s="45">
        <v>471.563975188847</v>
      </c>
      <c r="M27" s="45">
        <v>356.582304433526</v>
      </c>
      <c r="N27" s="45">
        <v>0</v>
      </c>
      <c r="O27" s="36">
        <f t="shared" si="17"/>
        <v>3030.04819628203</v>
      </c>
      <c r="P27" s="42">
        <f t="shared" si="18"/>
        <v>0.00200888901902174</v>
      </c>
      <c r="Q27" s="4"/>
      <c r="R27" s="6"/>
      <c r="S27" s="6"/>
      <c r="T27" s="6"/>
    </row>
    <row r="28" ht="16.8" spans="1:20">
      <c r="A28" s="36"/>
      <c r="B28" s="4" t="s">
        <v>41</v>
      </c>
      <c r="C28" s="45">
        <v>0</v>
      </c>
      <c r="D28" s="45">
        <v>0</v>
      </c>
      <c r="E28" s="45">
        <v>0</v>
      </c>
      <c r="F28" s="45">
        <v>255.487171493812</v>
      </c>
      <c r="G28" s="45">
        <v>2685.11860365348</v>
      </c>
      <c r="H28" s="45">
        <v>1264.31078758235</v>
      </c>
      <c r="I28" s="45">
        <v>0</v>
      </c>
      <c r="J28" s="45">
        <v>426.776723530283</v>
      </c>
      <c r="K28" s="45">
        <v>899.888764739553</v>
      </c>
      <c r="L28" s="45">
        <v>565.876770226616</v>
      </c>
      <c r="M28" s="45">
        <v>427.898765320231</v>
      </c>
      <c r="N28" s="45">
        <v>0</v>
      </c>
      <c r="O28" s="36">
        <f t="shared" si="17"/>
        <v>6525.35758654632</v>
      </c>
      <c r="P28" s="42">
        <f t="shared" si="18"/>
        <v>0.0043262411524965</v>
      </c>
      <c r="Q28" s="4"/>
      <c r="R28" s="6"/>
      <c r="S28" s="6"/>
      <c r="T28" s="6"/>
    </row>
    <row r="29" ht="16.8" spans="1:20">
      <c r="A29" s="36"/>
      <c r="B29" s="4" t="s">
        <v>42</v>
      </c>
      <c r="C29" s="45">
        <v>124.406125080783</v>
      </c>
      <c r="D29" s="45">
        <v>101.490917267175</v>
      </c>
      <c r="E29" s="45">
        <v>101.637576072428</v>
      </c>
      <c r="F29" s="45">
        <v>425.811952489686</v>
      </c>
      <c r="G29" s="45">
        <v>2685.11860365348</v>
      </c>
      <c r="H29" s="45">
        <v>1738.42733292573</v>
      </c>
      <c r="I29" s="45">
        <v>0</v>
      </c>
      <c r="J29" s="45">
        <v>426.776723530283</v>
      </c>
      <c r="K29" s="45">
        <v>899.888764739553</v>
      </c>
      <c r="L29" s="45">
        <v>943.127950377694</v>
      </c>
      <c r="M29" s="45">
        <v>713.164608867052</v>
      </c>
      <c r="N29" s="45">
        <v>125.947607018073</v>
      </c>
      <c r="O29" s="36">
        <f t="shared" si="17"/>
        <v>8285.79816202194</v>
      </c>
      <c r="P29" s="42">
        <f t="shared" si="18"/>
        <v>0.00549339411892546</v>
      </c>
      <c r="Q29" s="6"/>
      <c r="R29" s="6"/>
      <c r="S29" s="6"/>
      <c r="T29" s="6"/>
    </row>
    <row r="30" ht="16.8" spans="1:20">
      <c r="A30" s="36"/>
      <c r="B30" s="4" t="s">
        <v>43</v>
      </c>
      <c r="C30" s="45">
        <v>124.406125080783</v>
      </c>
      <c r="D30" s="45">
        <v>101.490917267175</v>
      </c>
      <c r="E30" s="45">
        <v>813.100608579425</v>
      </c>
      <c r="F30" s="45">
        <v>85.1623904979372</v>
      </c>
      <c r="G30" s="45">
        <v>537.023720730697</v>
      </c>
      <c r="H30" s="45">
        <v>158.038848447793</v>
      </c>
      <c r="I30" s="45">
        <v>102.169041299601</v>
      </c>
      <c r="J30" s="45">
        <v>142.258907843428</v>
      </c>
      <c r="K30" s="45">
        <v>112.486095592444</v>
      </c>
      <c r="L30" s="45">
        <v>377.251180151078</v>
      </c>
      <c r="M30" s="45">
        <v>285.265843546821</v>
      </c>
      <c r="N30" s="45">
        <v>125.947607018073</v>
      </c>
      <c r="O30" s="36">
        <f t="shared" si="17"/>
        <v>2964.60128605526</v>
      </c>
      <c r="P30" s="42">
        <f t="shared" si="18"/>
        <v>0.00196549842891667</v>
      </c>
      <c r="Q30" s="6"/>
      <c r="R30" s="6"/>
      <c r="S30" s="6"/>
      <c r="T30" s="6"/>
    </row>
    <row r="31" ht="16.8" spans="1:20">
      <c r="A31" s="36"/>
      <c r="B31" s="4" t="s">
        <v>44</v>
      </c>
      <c r="C31" s="45">
        <v>1244.06125080783</v>
      </c>
      <c r="D31" s="45">
        <v>5074.54586335874</v>
      </c>
      <c r="E31" s="45">
        <v>8131.00608579425</v>
      </c>
      <c r="F31" s="45">
        <v>4258.11952489686</v>
      </c>
      <c r="G31" s="45">
        <v>16110.7116219209</v>
      </c>
      <c r="H31" s="45">
        <v>9482.3309068676</v>
      </c>
      <c r="I31" s="45">
        <v>2043.38082599202</v>
      </c>
      <c r="J31" s="45">
        <v>2845.17815686855</v>
      </c>
      <c r="K31" s="45">
        <v>1124.86095592444</v>
      </c>
      <c r="L31" s="45">
        <v>9431.27950377694</v>
      </c>
      <c r="M31" s="45">
        <v>2852.65843546821</v>
      </c>
      <c r="N31" s="45">
        <v>2518.95214036146</v>
      </c>
      <c r="O31" s="36">
        <f t="shared" si="17"/>
        <v>65117.0852720378</v>
      </c>
      <c r="P31" s="42">
        <f t="shared" si="18"/>
        <v>0.0431719197451087</v>
      </c>
      <c r="Q31" s="6"/>
      <c r="R31" s="6"/>
      <c r="S31" s="6"/>
      <c r="T31" s="6"/>
    </row>
    <row r="32" ht="16.8" outlineLevel="1" spans="1:20">
      <c r="A32" s="36"/>
      <c r="B32" s="4" t="s">
        <v>45</v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42"/>
      <c r="Q32" s="6"/>
      <c r="R32" s="6"/>
      <c r="S32" s="6"/>
      <c r="T32" s="6"/>
    </row>
    <row r="33" ht="16.8" outlineLevel="1" spans="1:20">
      <c r="A33" s="36"/>
      <c r="B33" s="4" t="s">
        <v>46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42"/>
      <c r="Q33" s="6"/>
      <c r="R33" s="6"/>
      <c r="S33" s="6"/>
      <c r="T33" s="6"/>
    </row>
    <row r="34" ht="16.8" outlineLevel="1" spans="1:20">
      <c r="A34" s="36"/>
      <c r="B34" s="4" t="s">
        <v>47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42"/>
      <c r="Q34" s="6"/>
      <c r="R34" s="6"/>
      <c r="S34" s="6"/>
      <c r="T34" s="6"/>
    </row>
    <row r="35" ht="16.8" outlineLevel="1" spans="1:20">
      <c r="A35" s="36"/>
      <c r="B35" s="4" t="s">
        <v>48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42"/>
      <c r="Q35" s="6"/>
      <c r="R35" s="6"/>
      <c r="S35" s="6"/>
      <c r="T35" s="6"/>
    </row>
    <row r="36" ht="16.8" outlineLevel="1" spans="1:20">
      <c r="A36" s="36"/>
      <c r="B36" s="4" t="s">
        <v>49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36"/>
      <c r="P36" s="42"/>
      <c r="Q36" s="6"/>
      <c r="R36" s="6"/>
      <c r="S36" s="6"/>
      <c r="T36" s="6"/>
    </row>
    <row r="37" ht="16.8" spans="1:20">
      <c r="A37" s="6"/>
      <c r="B37" s="17" t="s">
        <v>50</v>
      </c>
      <c r="C37" s="37">
        <f t="shared" ref="C37:N37" si="19">SUM(C38:C40)</f>
        <v>5966.15194788017</v>
      </c>
      <c r="D37" s="37">
        <f t="shared" si="19"/>
        <v>6339.03644485513</v>
      </c>
      <c r="E37" s="37">
        <f t="shared" si="19"/>
        <v>5220.38295393025</v>
      </c>
      <c r="F37" s="37">
        <f t="shared" si="19"/>
        <v>4847.4984606745</v>
      </c>
      <c r="G37" s="37">
        <f t="shared" si="19"/>
        <v>6339.03644485513</v>
      </c>
      <c r="H37" s="37">
        <f t="shared" si="19"/>
        <v>6339.03644485513</v>
      </c>
      <c r="I37" s="37">
        <f t="shared" si="19"/>
        <v>4847.4984606745</v>
      </c>
      <c r="J37" s="37">
        <f t="shared" si="19"/>
        <v>8576.3434267049</v>
      </c>
      <c r="K37" s="37">
        <f t="shared" si="19"/>
        <v>5220.38295393025</v>
      </c>
      <c r="L37" s="37">
        <f t="shared" si="19"/>
        <v>7084.80543880505</v>
      </c>
      <c r="M37" s="37">
        <f t="shared" si="19"/>
        <v>6339.03644485513</v>
      </c>
      <c r="N37" s="37">
        <f t="shared" si="19"/>
        <v>7457.68993578001</v>
      </c>
      <c r="O37" s="37">
        <f>SUM(C37:N37)</f>
        <v>74576.8993578001</v>
      </c>
      <c r="P37" s="38">
        <f>O37/$O$16</f>
        <v>0.0494436736605062</v>
      </c>
      <c r="Q37" s="6"/>
      <c r="R37" s="6"/>
      <c r="S37" s="6"/>
      <c r="T37" s="6"/>
    </row>
    <row r="38" ht="16.8" spans="1:20">
      <c r="A38" s="36"/>
      <c r="B38" s="4" t="s">
        <v>51</v>
      </c>
      <c r="C38" s="47">
        <v>5966.15194788017</v>
      </c>
      <c r="D38" s="47">
        <v>6339.03644485513</v>
      </c>
      <c r="E38" s="47">
        <v>5220.38295393025</v>
      </c>
      <c r="F38" s="47">
        <v>4847.4984606745</v>
      </c>
      <c r="G38" s="47">
        <v>6339.03644485513</v>
      </c>
      <c r="H38" s="47">
        <v>6339.03644485513</v>
      </c>
      <c r="I38" s="47">
        <v>4847.4984606745</v>
      </c>
      <c r="J38" s="47">
        <v>8576.3434267049</v>
      </c>
      <c r="K38" s="47">
        <v>5220.38295393025</v>
      </c>
      <c r="L38" s="47">
        <v>7084.80543880505</v>
      </c>
      <c r="M38" s="47">
        <v>6339.03644485513</v>
      </c>
      <c r="N38" s="47">
        <v>7457.68993578001</v>
      </c>
      <c r="O38" s="36">
        <f>SUM(C38:N38)</f>
        <v>74576.8993578001</v>
      </c>
      <c r="P38" s="42">
        <f>O38/$O$16</f>
        <v>0.0494436736605062</v>
      </c>
      <c r="Q38" s="6" t="s">
        <v>91</v>
      </c>
      <c r="R38" s="6"/>
      <c r="S38" s="6"/>
      <c r="T38" s="6"/>
    </row>
    <row r="39" ht="16.8" spans="1:20">
      <c r="A39" s="36"/>
      <c r="B39" s="4" t="s">
        <v>53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36">
        <f>SUM(C39:N39)</f>
        <v>0</v>
      </c>
      <c r="P39" s="42">
        <f>O39/$O$16</f>
        <v>0</v>
      </c>
      <c r="Q39" s="6" t="s">
        <v>91</v>
      </c>
      <c r="R39" s="6"/>
      <c r="S39" s="6"/>
      <c r="T39" s="6"/>
    </row>
    <row r="40" ht="16.8" spans="1:20">
      <c r="A40" s="36"/>
      <c r="B40" s="4" t="s">
        <v>55</v>
      </c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36">
        <f>SUM(C40:N40)</f>
        <v>0</v>
      </c>
      <c r="P40" s="42">
        <f>O40/$O$16</f>
        <v>0</v>
      </c>
      <c r="Q40" s="6" t="s">
        <v>91</v>
      </c>
      <c r="R40" s="6"/>
      <c r="S40" s="6"/>
      <c r="T40" s="6"/>
    </row>
    <row r="41" ht="16.8" outlineLevel="1" spans="1:20">
      <c r="A41" s="36"/>
      <c r="B41" s="4" t="s">
        <v>57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2">
        <f>O38/$O$16</f>
        <v>0.0494436736605062</v>
      </c>
      <c r="P41" s="6"/>
      <c r="Q41" s="6" t="s">
        <v>91</v>
      </c>
      <c r="R41" s="6"/>
      <c r="S41" s="6"/>
      <c r="T41" s="6"/>
    </row>
    <row r="42" ht="16.8" outlineLevel="1" spans="1:20">
      <c r="A42" s="36"/>
      <c r="B42" s="4" t="s">
        <v>58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2">
        <f>O39/$O$16</f>
        <v>0</v>
      </c>
      <c r="P42" s="6"/>
      <c r="Q42" s="6" t="s">
        <v>91</v>
      </c>
      <c r="R42" s="6"/>
      <c r="S42" s="6"/>
      <c r="T42" s="6"/>
    </row>
    <row r="43" ht="16.8" outlineLevel="1" spans="1:20">
      <c r="A43" s="36"/>
      <c r="B43" s="4" t="s">
        <v>59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2">
        <f>O40/$O$16</f>
        <v>0</v>
      </c>
      <c r="P43" s="6"/>
      <c r="Q43" s="6" t="s">
        <v>91</v>
      </c>
      <c r="R43" s="6"/>
      <c r="S43" s="6"/>
      <c r="T43" s="6"/>
    </row>
    <row r="44" ht="16.8" spans="1:20">
      <c r="A44" s="6"/>
      <c r="B44" s="17" t="s">
        <v>60</v>
      </c>
      <c r="C44" s="37">
        <f t="shared" ref="C44:N44" si="20">SUM(C45:C46)</f>
        <v>0</v>
      </c>
      <c r="D44" s="37">
        <f t="shared" si="20"/>
        <v>0</v>
      </c>
      <c r="E44" s="37">
        <f t="shared" si="20"/>
        <v>0</v>
      </c>
      <c r="F44" s="37">
        <f t="shared" si="20"/>
        <v>0</v>
      </c>
      <c r="G44" s="37">
        <f t="shared" si="20"/>
        <v>0</v>
      </c>
      <c r="H44" s="37">
        <f t="shared" si="20"/>
        <v>0</v>
      </c>
      <c r="I44" s="37">
        <f t="shared" si="20"/>
        <v>0</v>
      </c>
      <c r="J44" s="37">
        <f t="shared" si="20"/>
        <v>0</v>
      </c>
      <c r="K44" s="37">
        <f t="shared" si="20"/>
        <v>0</v>
      </c>
      <c r="L44" s="37">
        <f t="shared" si="20"/>
        <v>0</v>
      </c>
      <c r="M44" s="37">
        <f t="shared" si="20"/>
        <v>0</v>
      </c>
      <c r="N44" s="37">
        <f t="shared" si="20"/>
        <v>0</v>
      </c>
      <c r="O44" s="37">
        <f>SUM(C44:N44)</f>
        <v>0</v>
      </c>
      <c r="P44" s="38">
        <f>O44/$O$16</f>
        <v>0</v>
      </c>
      <c r="Q44" s="59" t="s">
        <v>136</v>
      </c>
      <c r="R44" s="6"/>
      <c r="S44" s="6"/>
      <c r="T44" s="6"/>
    </row>
    <row r="45" ht="16.8" spans="1:20">
      <c r="A45" s="36"/>
      <c r="B45" s="4" t="s">
        <v>61</v>
      </c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36"/>
      <c r="P45" s="42"/>
      <c r="Q45" s="59"/>
      <c r="R45" s="6"/>
      <c r="S45" s="6"/>
      <c r="T45" s="6"/>
    </row>
    <row r="46" ht="16.8" spans="1:20">
      <c r="A46" s="36"/>
      <c r="B46" s="4" t="s">
        <v>63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36"/>
      <c r="P46" s="42"/>
      <c r="Q46" s="59"/>
      <c r="R46" s="6"/>
      <c r="S46" s="6"/>
      <c r="T46" s="6"/>
    </row>
    <row r="47" ht="16.8" spans="1:20">
      <c r="A47" s="6"/>
      <c r="B47" s="17" t="s">
        <v>65</v>
      </c>
      <c r="C47" s="37">
        <f t="shared" ref="C47:N47" si="21">SUM(C48:C51)</f>
        <v>0</v>
      </c>
      <c r="D47" s="37">
        <f t="shared" si="21"/>
        <v>0</v>
      </c>
      <c r="E47" s="37">
        <f t="shared" si="21"/>
        <v>0</v>
      </c>
      <c r="F47" s="37">
        <f t="shared" si="21"/>
        <v>0</v>
      </c>
      <c r="G47" s="37">
        <f t="shared" si="21"/>
        <v>0</v>
      </c>
      <c r="H47" s="37">
        <f t="shared" si="21"/>
        <v>0</v>
      </c>
      <c r="I47" s="37">
        <f t="shared" si="21"/>
        <v>0</v>
      </c>
      <c r="J47" s="37">
        <f t="shared" si="21"/>
        <v>0</v>
      </c>
      <c r="K47" s="37">
        <f t="shared" si="21"/>
        <v>0</v>
      </c>
      <c r="L47" s="37">
        <f t="shared" si="21"/>
        <v>0</v>
      </c>
      <c r="M47" s="37">
        <f t="shared" si="21"/>
        <v>0</v>
      </c>
      <c r="N47" s="37">
        <f t="shared" si="21"/>
        <v>0</v>
      </c>
      <c r="O47" s="37">
        <f t="shared" ref="O47:O60" si="22">SUM(C47:N47)</f>
        <v>0</v>
      </c>
      <c r="P47" s="38">
        <f t="shared" ref="P47:P52" si="23">O47/$O$16</f>
        <v>0</v>
      </c>
      <c r="Q47" s="6"/>
      <c r="R47" s="6"/>
      <c r="S47" s="6"/>
      <c r="T47" s="6"/>
    </row>
    <row r="48" ht="16.8" spans="1:20">
      <c r="A48" s="36"/>
      <c r="B48" s="4" t="s">
        <v>66</v>
      </c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36">
        <f t="shared" si="22"/>
        <v>0</v>
      </c>
      <c r="P48" s="42">
        <f t="shared" si="23"/>
        <v>0</v>
      </c>
      <c r="Q48" s="4" t="s">
        <v>95</v>
      </c>
      <c r="R48" s="6"/>
      <c r="S48" s="6"/>
      <c r="T48" s="6"/>
    </row>
    <row r="49" ht="16.8" spans="1:20">
      <c r="A49" s="36"/>
      <c r="B49" s="4" t="s">
        <v>67</v>
      </c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36">
        <f t="shared" si="22"/>
        <v>0</v>
      </c>
      <c r="P49" s="42">
        <f t="shared" si="23"/>
        <v>0</v>
      </c>
      <c r="Q49" s="4" t="s">
        <v>95</v>
      </c>
      <c r="R49" s="6"/>
      <c r="S49" s="6"/>
      <c r="T49" s="6"/>
    </row>
    <row r="50" ht="16.8" spans="1:20">
      <c r="A50" s="36"/>
      <c r="B50" s="4" t="s">
        <v>68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36">
        <f t="shared" si="22"/>
        <v>0</v>
      </c>
      <c r="P50" s="42">
        <f t="shared" si="23"/>
        <v>0</v>
      </c>
      <c r="Q50" s="4" t="s">
        <v>95</v>
      </c>
      <c r="R50" s="6"/>
      <c r="S50" s="6"/>
      <c r="T50" s="6"/>
    </row>
    <row r="51" ht="16.8" spans="1:20">
      <c r="A51" s="6"/>
      <c r="B51" s="4" t="s">
        <v>69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36">
        <f t="shared" si="22"/>
        <v>0</v>
      </c>
      <c r="P51" s="42">
        <f t="shared" si="23"/>
        <v>0</v>
      </c>
      <c r="Q51" s="4" t="s">
        <v>95</v>
      </c>
      <c r="R51" s="6"/>
      <c r="S51" s="6"/>
      <c r="T51" s="6"/>
    </row>
    <row r="52" ht="16.8" spans="1:20">
      <c r="A52" s="6"/>
      <c r="B52" s="21" t="s">
        <v>70</v>
      </c>
      <c r="C52" s="40">
        <f t="shared" ref="C52:N52" si="24">SUM(C26,C37,C44,C47)</f>
        <v>7459.02544884956</v>
      </c>
      <c r="D52" s="40">
        <f t="shared" si="24"/>
        <v>11616.5641427482</v>
      </c>
      <c r="E52" s="40">
        <f t="shared" si="24"/>
        <v>14520.2211645574</v>
      </c>
      <c r="F52" s="40">
        <f t="shared" si="24"/>
        <v>10084.9854762976</v>
      </c>
      <c r="G52" s="40">
        <f t="shared" si="24"/>
        <v>28804.5287620893</v>
      </c>
      <c r="H52" s="40">
        <f t="shared" si="24"/>
        <v>19377.2414417981</v>
      </c>
      <c r="I52" s="40">
        <f t="shared" si="24"/>
        <v>7248.47093121513</v>
      </c>
      <c r="J52" s="40">
        <f t="shared" si="24"/>
        <v>12772.981208086</v>
      </c>
      <c r="K52" s="40">
        <f t="shared" si="24"/>
        <v>8538.72277390735</v>
      </c>
      <c r="L52" s="40">
        <f t="shared" si="24"/>
        <v>18873.9048185262</v>
      </c>
      <c r="M52" s="40">
        <f t="shared" si="24"/>
        <v>10974.606402491</v>
      </c>
      <c r="N52" s="40">
        <f t="shared" si="24"/>
        <v>10228.5372901776</v>
      </c>
      <c r="O52" s="40">
        <f t="shared" si="22"/>
        <v>160499.789860743</v>
      </c>
      <c r="P52" s="41">
        <f t="shared" si="23"/>
        <v>0.106409616124975</v>
      </c>
      <c r="Q52" s="6"/>
      <c r="R52" s="6"/>
      <c r="S52" s="6"/>
      <c r="T52" s="6"/>
    </row>
    <row r="53" ht="44" spans="1:20">
      <c r="A53" s="36"/>
      <c r="B53" s="4" t="s">
        <v>71</v>
      </c>
      <c r="C53" s="45">
        <f t="shared" ref="C53:N53" si="25">C16*$P$53</f>
        <v>19306.5061946903</v>
      </c>
      <c r="D53" s="45">
        <f t="shared" si="25"/>
        <v>20513.1610619469</v>
      </c>
      <c r="E53" s="45">
        <f t="shared" si="25"/>
        <v>16893.182300885</v>
      </c>
      <c r="F53" s="45">
        <f t="shared" si="25"/>
        <v>15686.5274336283</v>
      </c>
      <c r="G53" s="45">
        <f t="shared" si="25"/>
        <v>20513.1610619469</v>
      </c>
      <c r="H53" s="45">
        <f t="shared" si="25"/>
        <v>20513.1610619469</v>
      </c>
      <c r="I53" s="45">
        <f t="shared" si="25"/>
        <v>15686.5274336283</v>
      </c>
      <c r="J53" s="45">
        <f t="shared" si="25"/>
        <v>27753.0902654867</v>
      </c>
      <c r="K53" s="45">
        <f t="shared" si="25"/>
        <v>16893.182300885</v>
      </c>
      <c r="L53" s="45">
        <f t="shared" si="25"/>
        <v>22926.4707964602</v>
      </c>
      <c r="M53" s="45">
        <f t="shared" si="25"/>
        <v>20513.1610619469</v>
      </c>
      <c r="N53" s="45">
        <f t="shared" si="25"/>
        <v>24133.1256637168</v>
      </c>
      <c r="O53" s="36">
        <f t="shared" si="22"/>
        <v>241331.256637168</v>
      </c>
      <c r="P53" s="44">
        <v>0.16</v>
      </c>
      <c r="Q53" s="60" t="s">
        <v>137</v>
      </c>
      <c r="R53" s="6"/>
      <c r="S53" s="6"/>
      <c r="T53" s="6"/>
    </row>
    <row r="54" ht="68" spans="1:20">
      <c r="A54" s="36"/>
      <c r="B54" s="4" t="s">
        <v>73</v>
      </c>
      <c r="C54" s="45">
        <f t="shared" ref="C54:N54" si="26">C16*$P$54</f>
        <v>1291.12260176991</v>
      </c>
      <c r="D54" s="45">
        <f t="shared" si="26"/>
        <v>1371.8176460177</v>
      </c>
      <c r="E54" s="45">
        <f t="shared" si="26"/>
        <v>1129.73156637168</v>
      </c>
      <c r="F54" s="45">
        <f t="shared" si="26"/>
        <v>1049.03652212389</v>
      </c>
      <c r="G54" s="45">
        <f t="shared" si="26"/>
        <v>1371.8176460177</v>
      </c>
      <c r="H54" s="45">
        <f t="shared" si="26"/>
        <v>1371.8176460177</v>
      </c>
      <c r="I54" s="45">
        <f t="shared" si="26"/>
        <v>1049.03652212389</v>
      </c>
      <c r="J54" s="45">
        <f t="shared" si="26"/>
        <v>1855.98791150443</v>
      </c>
      <c r="K54" s="45">
        <f t="shared" si="26"/>
        <v>1129.73156637168</v>
      </c>
      <c r="L54" s="45">
        <f t="shared" si="26"/>
        <v>1533.20773451327</v>
      </c>
      <c r="M54" s="45">
        <f t="shared" si="26"/>
        <v>1371.8176460177</v>
      </c>
      <c r="N54" s="45">
        <f t="shared" si="26"/>
        <v>1613.90277876106</v>
      </c>
      <c r="O54" s="36">
        <f t="shared" si="22"/>
        <v>16139.0277876106</v>
      </c>
      <c r="P54" s="44">
        <v>0.0107</v>
      </c>
      <c r="Q54" s="59" t="s">
        <v>138</v>
      </c>
      <c r="R54" s="6"/>
      <c r="S54" s="6"/>
      <c r="T54" s="6"/>
    </row>
    <row r="55" ht="51" spans="1:20">
      <c r="A55" s="36"/>
      <c r="B55" s="4" t="s">
        <v>75</v>
      </c>
      <c r="C55" s="45">
        <v>7993.12665143319</v>
      </c>
      <c r="D55" s="45">
        <v>5226.79568394977</v>
      </c>
      <c r="E55" s="45">
        <v>4076.85993100412</v>
      </c>
      <c r="F55" s="45">
        <v>6274.05603493945</v>
      </c>
      <c r="G55" s="45">
        <v>5388.14166337828</v>
      </c>
      <c r="H55" s="45">
        <v>3774.76508977044</v>
      </c>
      <c r="I55" s="45">
        <v>5259.29335842215</v>
      </c>
      <c r="J55" s="45">
        <v>4068.86696322853</v>
      </c>
      <c r="K55" s="45">
        <v>5606.64133429826</v>
      </c>
      <c r="L55" s="45">
        <v>4425.47134807145</v>
      </c>
      <c r="M55" s="45">
        <v>3876.19596432548</v>
      </c>
      <c r="N55" s="45">
        <v>3781.9145024992</v>
      </c>
      <c r="O55" s="36">
        <f t="shared" si="22"/>
        <v>59752.1285253203</v>
      </c>
      <c r="P55" s="44">
        <v>0.032</v>
      </c>
      <c r="Q55" s="59" t="s">
        <v>139</v>
      </c>
      <c r="R55" s="6"/>
      <c r="S55" s="6"/>
      <c r="T55" s="6"/>
    </row>
    <row r="56" ht="68" spans="1:20">
      <c r="A56" s="36"/>
      <c r="B56" s="4" t="s">
        <v>77</v>
      </c>
      <c r="C56" s="45">
        <f t="shared" ref="C56:N56" si="27">C16*$P$56</f>
        <v>84.4659646017699</v>
      </c>
      <c r="D56" s="45">
        <f t="shared" si="27"/>
        <v>89.7450796460177</v>
      </c>
      <c r="E56" s="45">
        <f t="shared" si="27"/>
        <v>73.9076725663717</v>
      </c>
      <c r="F56" s="45">
        <f t="shared" si="27"/>
        <v>68.6285575221239</v>
      </c>
      <c r="G56" s="45">
        <f t="shared" si="27"/>
        <v>89.7450796460177</v>
      </c>
      <c r="H56" s="45">
        <f t="shared" si="27"/>
        <v>89.7450796460177</v>
      </c>
      <c r="I56" s="45">
        <f t="shared" si="27"/>
        <v>68.6285575221239</v>
      </c>
      <c r="J56" s="45">
        <f t="shared" si="27"/>
        <v>121.419769911504</v>
      </c>
      <c r="K56" s="45">
        <f t="shared" si="27"/>
        <v>73.9076725663717</v>
      </c>
      <c r="L56" s="45">
        <f t="shared" si="27"/>
        <v>100.303309734513</v>
      </c>
      <c r="M56" s="45">
        <f t="shared" si="27"/>
        <v>89.7450796460177</v>
      </c>
      <c r="N56" s="45">
        <f t="shared" si="27"/>
        <v>105.582424778761</v>
      </c>
      <c r="O56" s="36">
        <f t="shared" si="22"/>
        <v>1055.82424778761</v>
      </c>
      <c r="P56" s="44">
        <v>0.0007</v>
      </c>
      <c r="Q56" s="59" t="s">
        <v>140</v>
      </c>
      <c r="R56" s="6"/>
      <c r="S56" s="6"/>
      <c r="T56" s="6"/>
    </row>
    <row r="57" ht="16.8" spans="1:20">
      <c r="A57" s="36"/>
      <c r="B57" s="4" t="s">
        <v>79</v>
      </c>
      <c r="C57" s="45">
        <v>945.746391950704</v>
      </c>
      <c r="D57" s="45"/>
      <c r="E57" s="45"/>
      <c r="F57" s="45"/>
      <c r="G57" s="45">
        <v>378.298556780282</v>
      </c>
      <c r="H57" s="45"/>
      <c r="I57" s="45"/>
      <c r="J57" s="45"/>
      <c r="K57" s="45"/>
      <c r="L57" s="45">
        <v>378.298556780282</v>
      </c>
      <c r="M57" s="45"/>
      <c r="N57" s="45">
        <v>1134.89567034084</v>
      </c>
      <c r="O57" s="36">
        <f t="shared" si="22"/>
        <v>2837.23917585211</v>
      </c>
      <c r="P57" s="42">
        <f>O57/$O$16</f>
        <v>0.00188105873421463</v>
      </c>
      <c r="Q57" s="4"/>
      <c r="R57" s="6"/>
      <c r="S57" s="6"/>
      <c r="T57" s="6"/>
    </row>
    <row r="58" ht="16.8" spans="1:20">
      <c r="A58" s="6"/>
      <c r="B58" s="21" t="s">
        <v>80</v>
      </c>
      <c r="C58" s="40">
        <f t="shared" ref="C58:N58" si="28">SUM(C53:C57)</f>
        <v>29620.9678044458</v>
      </c>
      <c r="D58" s="40">
        <f t="shared" si="28"/>
        <v>27201.5194715604</v>
      </c>
      <c r="E58" s="40">
        <f t="shared" si="28"/>
        <v>22173.6814708271</v>
      </c>
      <c r="F58" s="40">
        <f t="shared" si="28"/>
        <v>23078.2485482138</v>
      </c>
      <c r="G58" s="40">
        <f t="shared" si="28"/>
        <v>27741.1640077692</v>
      </c>
      <c r="H58" s="40">
        <f t="shared" si="28"/>
        <v>25749.4888773811</v>
      </c>
      <c r="I58" s="40">
        <f t="shared" si="28"/>
        <v>22063.4858716965</v>
      </c>
      <c r="J58" s="40">
        <f t="shared" si="28"/>
        <v>33799.3649101312</v>
      </c>
      <c r="K58" s="40">
        <f t="shared" si="28"/>
        <v>23703.4628741213</v>
      </c>
      <c r="L58" s="40">
        <f t="shared" si="28"/>
        <v>29363.7517455597</v>
      </c>
      <c r="M58" s="40">
        <f t="shared" si="28"/>
        <v>25850.9197519361</v>
      </c>
      <c r="N58" s="40">
        <f t="shared" si="28"/>
        <v>30769.4210400967</v>
      </c>
      <c r="O58" s="40">
        <f t="shared" si="22"/>
        <v>321115.476373739</v>
      </c>
      <c r="P58" s="41">
        <f>O58/$O$16</f>
        <v>0.212896070470655</v>
      </c>
      <c r="Q58" s="6"/>
      <c r="R58" s="6"/>
      <c r="S58" s="6"/>
      <c r="T58" s="6"/>
    </row>
    <row r="59" ht="16.8" spans="1:20">
      <c r="A59" s="32"/>
      <c r="B59" s="12" t="s">
        <v>81</v>
      </c>
      <c r="C59" s="12">
        <f t="shared" ref="C59:N59" si="29">SUM(C52,C58)</f>
        <v>37079.9932532954</v>
      </c>
      <c r="D59" s="12">
        <f t="shared" si="29"/>
        <v>38818.0836143086</v>
      </c>
      <c r="E59" s="12">
        <f t="shared" si="29"/>
        <v>36693.9026353846</v>
      </c>
      <c r="F59" s="12">
        <f t="shared" si="29"/>
        <v>33163.2340245114</v>
      </c>
      <c r="G59" s="12">
        <f t="shared" si="29"/>
        <v>56545.6927698585</v>
      </c>
      <c r="H59" s="12">
        <f t="shared" si="29"/>
        <v>45126.7303191792</v>
      </c>
      <c r="I59" s="12">
        <f t="shared" si="29"/>
        <v>29311.9568029116</v>
      </c>
      <c r="J59" s="12">
        <f t="shared" si="29"/>
        <v>46572.3461182172</v>
      </c>
      <c r="K59" s="12">
        <f t="shared" si="29"/>
        <v>32242.1856480286</v>
      </c>
      <c r="L59" s="12">
        <f t="shared" si="29"/>
        <v>48237.6565640859</v>
      </c>
      <c r="M59" s="12">
        <f t="shared" si="29"/>
        <v>36825.5261544271</v>
      </c>
      <c r="N59" s="12">
        <f t="shared" si="29"/>
        <v>40997.9583302743</v>
      </c>
      <c r="O59" s="12">
        <f t="shared" si="22"/>
        <v>481615.266234482</v>
      </c>
      <c r="P59" s="43">
        <f>O59/$O$16</f>
        <v>0.31930568659563</v>
      </c>
      <c r="Q59" s="32"/>
      <c r="R59" s="48"/>
      <c r="S59" s="6"/>
      <c r="T59" s="6"/>
    </row>
    <row r="60" ht="16.8" spans="1:20">
      <c r="A60" s="32"/>
      <c r="B60" s="12" t="s">
        <v>82</v>
      </c>
      <c r="C60" s="12">
        <f t="shared" ref="C60:N60" si="30">C22-C59</f>
        <v>24522.0333658646</v>
      </c>
      <c r="D60" s="12">
        <f t="shared" si="30"/>
        <v>26900.6874188882</v>
      </c>
      <c r="E60" s="12">
        <f t="shared" si="30"/>
        <v>14594.7510505489</v>
      </c>
      <c r="F60" s="12">
        <f t="shared" si="30"/>
        <v>14325.5857129765</v>
      </c>
      <c r="G60" s="12">
        <f t="shared" si="30"/>
        <v>12772.7418694351</v>
      </c>
      <c r="H60" s="12">
        <f t="shared" si="30"/>
        <v>23258.7681153833</v>
      </c>
      <c r="I60" s="12">
        <f t="shared" si="30"/>
        <v>26470.7925559964</v>
      </c>
      <c r="J60" s="12">
        <f t="shared" si="30"/>
        <v>52324.8634015139</v>
      </c>
      <c r="K60" s="12">
        <f t="shared" si="30"/>
        <v>28740.7099047274</v>
      </c>
      <c r="L60" s="12">
        <f t="shared" si="30"/>
        <v>35501.3355374731</v>
      </c>
      <c r="M60" s="12">
        <f t="shared" si="30"/>
        <v>39326.1026728341</v>
      </c>
      <c r="N60" s="12">
        <f t="shared" si="30"/>
        <v>49198.3688110751</v>
      </c>
      <c r="O60" s="12">
        <f t="shared" si="22"/>
        <v>347936.740416716</v>
      </c>
      <c r="P60" s="43">
        <f>O60/$O$16</f>
        <v>0.230678276997381</v>
      </c>
      <c r="Q60" s="32"/>
      <c r="R60" s="49"/>
      <c r="S60" s="6"/>
      <c r="T60" s="6"/>
    </row>
    <row r="61" spans="1:20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>
      <c r="A62" s="6"/>
      <c r="B62" s="61" t="s">
        <v>117</v>
      </c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35"/>
      <c r="P62" s="6"/>
      <c r="Q62" s="6"/>
      <c r="R62" s="6"/>
      <c r="S62" s="6"/>
      <c r="T62" s="6"/>
    </row>
    <row r="63" ht="16.8" spans="1:20">
      <c r="A63" s="6"/>
      <c r="B63" s="63" t="s">
        <v>118</v>
      </c>
      <c r="C63" s="63">
        <v>366.6</v>
      </c>
      <c r="D63" s="63">
        <v>362.6</v>
      </c>
      <c r="E63" s="63">
        <v>362.8</v>
      </c>
      <c r="F63" s="63">
        <v>357</v>
      </c>
      <c r="G63" s="63">
        <v>376.4</v>
      </c>
      <c r="H63" s="63">
        <v>376.1</v>
      </c>
      <c r="I63" s="63">
        <v>401.9</v>
      </c>
      <c r="J63" s="63">
        <v>400.9</v>
      </c>
      <c r="K63" s="63">
        <v>401.8</v>
      </c>
      <c r="L63" s="63">
        <v>398.6</v>
      </c>
      <c r="M63" s="63">
        <v>397.7</v>
      </c>
      <c r="N63" s="63">
        <v>392.4</v>
      </c>
      <c r="O63" s="6"/>
      <c r="P63" s="6"/>
      <c r="Q63" s="6"/>
      <c r="R63" s="6"/>
      <c r="S63" s="6"/>
      <c r="T63" s="6"/>
    </row>
    <row r="64" ht="16.8" spans="1:20">
      <c r="A64" s="6"/>
      <c r="B64" s="63" t="s">
        <v>119</v>
      </c>
      <c r="C64" s="63">
        <v>158.8</v>
      </c>
      <c r="D64" s="63">
        <v>156.4</v>
      </c>
      <c r="E64" s="63">
        <v>165.1</v>
      </c>
      <c r="F64" s="63">
        <v>162.9</v>
      </c>
      <c r="G64" s="63">
        <v>153</v>
      </c>
      <c r="H64" s="63">
        <v>155.3</v>
      </c>
      <c r="I64" s="63">
        <v>153.3</v>
      </c>
      <c r="J64" s="63">
        <v>152.5</v>
      </c>
      <c r="K64" s="63">
        <v>150.2</v>
      </c>
      <c r="L64" s="63">
        <v>146.6</v>
      </c>
      <c r="M64" s="63">
        <v>142.9</v>
      </c>
      <c r="N64" s="63">
        <v>139.6</v>
      </c>
      <c r="O64" s="6"/>
      <c r="P64" s="6"/>
      <c r="Q64" s="6"/>
      <c r="R64" s="6"/>
      <c r="S64" s="6"/>
      <c r="T64" s="6"/>
    </row>
    <row r="65" spans="1:20">
      <c r="A65" s="6"/>
      <c r="B65" s="61" t="s">
        <v>16</v>
      </c>
      <c r="C65" s="64">
        <f t="shared" ref="C65:N65" si="31">C8/C63</f>
        <v>371.93726132024</v>
      </c>
      <c r="D65" s="64">
        <f t="shared" si="31"/>
        <v>399.542746828461</v>
      </c>
      <c r="E65" s="64">
        <f t="shared" si="31"/>
        <v>328.853638368247</v>
      </c>
      <c r="F65" s="64">
        <f t="shared" si="31"/>
        <v>310.325210084034</v>
      </c>
      <c r="G65" s="64">
        <f t="shared" si="31"/>
        <v>384.894261424017</v>
      </c>
      <c r="H65" s="64">
        <f t="shared" si="31"/>
        <v>385.201276256315</v>
      </c>
      <c r="I65" s="64">
        <f t="shared" si="31"/>
        <v>275.655884548395</v>
      </c>
      <c r="J65" s="64">
        <f t="shared" si="31"/>
        <v>488.915440259416</v>
      </c>
      <c r="K65" s="64">
        <f t="shared" si="31"/>
        <v>296.934046789448</v>
      </c>
      <c r="L65" s="64">
        <f t="shared" si="31"/>
        <v>406.21726041144</v>
      </c>
      <c r="M65" s="64">
        <f t="shared" si="31"/>
        <v>364.280110636158</v>
      </c>
      <c r="N65" s="64">
        <f t="shared" si="31"/>
        <v>434.353211009174</v>
      </c>
      <c r="O65" s="6"/>
      <c r="P65" s="6"/>
      <c r="Q65" s="6"/>
      <c r="R65" s="6"/>
      <c r="S65" s="6"/>
      <c r="T65" s="6"/>
    </row>
    <row r="66" spans="1:20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>
      <c r="A81" s="6"/>
      <c r="B81" s="6"/>
      <c r="C81" s="35">
        <f t="shared" ref="C81:O81" si="32">C16-C18-C20-C26-C37-C44-C47-C58-C60</f>
        <v>0</v>
      </c>
      <c r="D81" s="35">
        <f t="shared" si="32"/>
        <v>0</v>
      </c>
      <c r="E81" s="35">
        <f t="shared" si="32"/>
        <v>0</v>
      </c>
      <c r="F81" s="35">
        <f t="shared" si="32"/>
        <v>0</v>
      </c>
      <c r="G81" s="35">
        <f t="shared" si="32"/>
        <v>0</v>
      </c>
      <c r="H81" s="35">
        <f t="shared" si="32"/>
        <v>0</v>
      </c>
      <c r="I81" s="35">
        <f t="shared" si="32"/>
        <v>0</v>
      </c>
      <c r="J81" s="35">
        <f t="shared" si="32"/>
        <v>0</v>
      </c>
      <c r="K81" s="35">
        <f t="shared" si="32"/>
        <v>0</v>
      </c>
      <c r="L81" s="35">
        <f t="shared" si="32"/>
        <v>0</v>
      </c>
      <c r="M81" s="35">
        <f t="shared" si="32"/>
        <v>0</v>
      </c>
      <c r="N81" s="35">
        <f t="shared" si="32"/>
        <v>0</v>
      </c>
      <c r="O81" s="35">
        <f t="shared" si="32"/>
        <v>0</v>
      </c>
      <c r="P81" s="6"/>
      <c r="Q81" s="6"/>
      <c r="R81" s="6"/>
      <c r="S81" s="6"/>
      <c r="T81" s="6"/>
    </row>
    <row r="82" spans="1:20">
      <c r="A82" s="6"/>
      <c r="B82" s="6"/>
      <c r="C82" s="53">
        <f t="shared" ref="C82:O82" si="33">C10-C11-C12-C13-C15</f>
        <v>-0.0403250000090338</v>
      </c>
      <c r="D82" s="53">
        <f t="shared" si="33"/>
        <v>-0.0303400000266265</v>
      </c>
      <c r="E82" s="53">
        <f t="shared" si="33"/>
        <v>0.0397050000028685</v>
      </c>
      <c r="F82" s="53">
        <f t="shared" si="33"/>
        <v>0.029804999998305</v>
      </c>
      <c r="G82" s="53">
        <f t="shared" si="33"/>
        <v>-0.0303400000266265</v>
      </c>
      <c r="H82" s="53">
        <f t="shared" si="33"/>
        <v>-0.0303400000266265</v>
      </c>
      <c r="I82" s="53">
        <f t="shared" si="33"/>
        <v>0.029804999998305</v>
      </c>
      <c r="J82" s="53">
        <f t="shared" si="33"/>
        <v>0.0295699999842327</v>
      </c>
      <c r="K82" s="53">
        <f t="shared" si="33"/>
        <v>0.0397050000028685</v>
      </c>
      <c r="L82" s="53">
        <f t="shared" si="33"/>
        <v>-0.0103700000036042</v>
      </c>
      <c r="M82" s="53">
        <f t="shared" si="33"/>
        <v>-0.0303400000266265</v>
      </c>
      <c r="N82" s="53">
        <f t="shared" si="33"/>
        <v>-0.000384999992093071</v>
      </c>
      <c r="O82" s="53">
        <f t="shared" si="33"/>
        <v>-0.00385000021196902</v>
      </c>
      <c r="P82" s="6"/>
      <c r="Q82" s="6"/>
      <c r="R82" s="6"/>
      <c r="S82" s="6"/>
      <c r="T82" s="6"/>
    </row>
    <row r="83" spans="1:20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>
      <c r="A93" s="6"/>
      <c r="B93" s="6" t="s">
        <v>120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ht="16.8" spans="1:20">
      <c r="A94" s="6"/>
      <c r="B94" s="17" t="s">
        <v>39</v>
      </c>
      <c r="C94" s="37">
        <f t="shared" ref="C94:N94" si="34">SUM(C95:C99)</f>
        <v>0</v>
      </c>
      <c r="D94" s="37">
        <f t="shared" si="34"/>
        <v>0</v>
      </c>
      <c r="E94" s="37">
        <f t="shared" si="34"/>
        <v>0</v>
      </c>
      <c r="F94" s="37">
        <f t="shared" si="34"/>
        <v>0</v>
      </c>
      <c r="G94" s="37">
        <f t="shared" si="34"/>
        <v>0</v>
      </c>
      <c r="H94" s="37">
        <f t="shared" si="34"/>
        <v>0</v>
      </c>
      <c r="I94" s="37">
        <f t="shared" si="34"/>
        <v>0</v>
      </c>
      <c r="J94" s="37">
        <f t="shared" si="34"/>
        <v>0</v>
      </c>
      <c r="K94" s="37">
        <f t="shared" si="34"/>
        <v>0</v>
      </c>
      <c r="L94" s="37">
        <f t="shared" si="34"/>
        <v>0</v>
      </c>
      <c r="M94" s="37">
        <f t="shared" si="34"/>
        <v>0</v>
      </c>
      <c r="N94" s="37">
        <f t="shared" si="34"/>
        <v>0</v>
      </c>
      <c r="O94" s="6"/>
      <c r="P94" s="6"/>
      <c r="Q94" s="6"/>
      <c r="R94" s="6"/>
      <c r="S94" s="6"/>
      <c r="T94" s="6"/>
    </row>
    <row r="95" ht="16.8" spans="1:20">
      <c r="A95" s="6"/>
      <c r="B95" s="4" t="s">
        <v>40</v>
      </c>
      <c r="C95" s="45">
        <f>'线下门店-小计'!C27*(C15/('26年全渠道汇总'!C15-'线下门店-小计'!C15))</f>
        <v>0</v>
      </c>
      <c r="D95" s="45">
        <f>'线下门店-小计'!D27*(D15/('26年全渠道汇总'!D15-'线下门店-小计'!D15))</f>
        <v>0</v>
      </c>
      <c r="E95" s="45">
        <f>'线下门店-小计'!E27*(E15/('26年全渠道汇总'!E15-'线下门店-小计'!E15))</f>
        <v>0</v>
      </c>
      <c r="F95" s="45">
        <f>'线下门店-小计'!F27*(F15/('26年全渠道汇总'!F15-'线下门店-小计'!F15))</f>
        <v>0</v>
      </c>
      <c r="G95" s="45">
        <f>'线下门店-小计'!G27*(G15/('26年全渠道汇总'!G15-'线下门店-小计'!G15))</f>
        <v>0</v>
      </c>
      <c r="H95" s="45">
        <f>'线下门店-小计'!H27*(H15/('26年全渠道汇总'!H15-'线下门店-小计'!H15))</f>
        <v>0</v>
      </c>
      <c r="I95" s="45">
        <f>'线下门店-小计'!I27*(I15/('26年全渠道汇总'!I15-'线下门店-小计'!I15))</f>
        <v>0</v>
      </c>
      <c r="J95" s="45">
        <f>'线下门店-小计'!J27*(J15/('26年全渠道汇总'!J15-'线下门店-小计'!J15))</f>
        <v>0</v>
      </c>
      <c r="K95" s="45">
        <f>'线下门店-小计'!K27*(K15/('26年全渠道汇总'!K15-'线下门店-小计'!K15))</f>
        <v>0</v>
      </c>
      <c r="L95" s="45">
        <f>'线下门店-小计'!L27*(L15/('26年全渠道汇总'!L15-'线下门店-小计'!L15))</f>
        <v>0</v>
      </c>
      <c r="M95" s="45">
        <f>'线下门店-小计'!M27*(M15/('26年全渠道汇总'!M15-'线下门店-小计'!M15))</f>
        <v>0</v>
      </c>
      <c r="N95" s="45">
        <f>'线下门店-小计'!N27*(N15/('26年全渠道汇总'!N15-'线下门店-小计'!N15))</f>
        <v>0</v>
      </c>
      <c r="O95" s="6"/>
      <c r="P95" s="6"/>
      <c r="Q95" s="6"/>
      <c r="R95" s="6"/>
      <c r="S95" s="6"/>
      <c r="T95" s="6"/>
    </row>
    <row r="96" ht="16.8" spans="1:20">
      <c r="A96" s="6"/>
      <c r="B96" s="4" t="s">
        <v>41</v>
      </c>
      <c r="C96" s="45">
        <f>'线下门店-小计'!C28*(C15/('26年全渠道汇总'!C15-'线下门店-小计'!C15))</f>
        <v>0</v>
      </c>
      <c r="D96" s="45">
        <f>'线下门店-小计'!D28*(D15/('26年全渠道汇总'!D15-'线下门店-小计'!D15))</f>
        <v>0</v>
      </c>
      <c r="E96" s="45">
        <f>'线下门店-小计'!E28*(E15/('26年全渠道汇总'!E15-'线下门店-小计'!E15))</f>
        <v>0</v>
      </c>
      <c r="F96" s="45">
        <f>'线下门店-小计'!F28*(F15/('26年全渠道汇总'!F15-'线下门店-小计'!F15))</f>
        <v>0</v>
      </c>
      <c r="G96" s="45">
        <f>'线下门店-小计'!G28*(G15/('26年全渠道汇总'!G15-'线下门店-小计'!G15))</f>
        <v>0</v>
      </c>
      <c r="H96" s="45">
        <f>'线下门店-小计'!H28*(H15/('26年全渠道汇总'!H15-'线下门店-小计'!H15))</f>
        <v>0</v>
      </c>
      <c r="I96" s="45">
        <f>'线下门店-小计'!I28*(I15/('26年全渠道汇总'!I15-'线下门店-小计'!I15))</f>
        <v>0</v>
      </c>
      <c r="J96" s="45">
        <f>'线下门店-小计'!J28*(J15/('26年全渠道汇总'!J15-'线下门店-小计'!J15))</f>
        <v>0</v>
      </c>
      <c r="K96" s="45">
        <f>'线下门店-小计'!K28*(K15/('26年全渠道汇总'!K15-'线下门店-小计'!K15))</f>
        <v>0</v>
      </c>
      <c r="L96" s="45">
        <f>'线下门店-小计'!L28*(L15/('26年全渠道汇总'!L15-'线下门店-小计'!L15))</f>
        <v>0</v>
      </c>
      <c r="M96" s="45">
        <f>'线下门店-小计'!M28*(M15/('26年全渠道汇总'!M15-'线下门店-小计'!M15))</f>
        <v>0</v>
      </c>
      <c r="N96" s="45">
        <f>'线下门店-小计'!N28*(N15/('26年全渠道汇总'!N15-'线下门店-小计'!N15))</f>
        <v>0</v>
      </c>
      <c r="O96" s="6"/>
      <c r="P96" s="6"/>
      <c r="Q96" s="6"/>
      <c r="R96" s="6"/>
      <c r="S96" s="6"/>
      <c r="T96" s="6"/>
    </row>
    <row r="97" ht="16.8" spans="1:20">
      <c r="A97" s="6"/>
      <c r="B97" s="4" t="s">
        <v>42</v>
      </c>
      <c r="C97" s="45">
        <f>'线下门店-小计'!C29*(C15/('26年全渠道汇总'!C15-'线下门店-小计'!C15))</f>
        <v>0</v>
      </c>
      <c r="D97" s="45">
        <f>'线下门店-小计'!D29*(D15/('26年全渠道汇总'!D15-'线下门店-小计'!D15))</f>
        <v>0</v>
      </c>
      <c r="E97" s="45">
        <f>'线下门店-小计'!E29*(E15/('26年全渠道汇总'!E15-'线下门店-小计'!E15))</f>
        <v>0</v>
      </c>
      <c r="F97" s="45">
        <f>'线下门店-小计'!F29*(F15/('26年全渠道汇总'!F15-'线下门店-小计'!F15))</f>
        <v>0</v>
      </c>
      <c r="G97" s="45">
        <f>'线下门店-小计'!G29*(G15/('26年全渠道汇总'!G15-'线下门店-小计'!G15))</f>
        <v>0</v>
      </c>
      <c r="H97" s="45">
        <f>'线下门店-小计'!H29*(H15/('26年全渠道汇总'!H15-'线下门店-小计'!H15))</f>
        <v>0</v>
      </c>
      <c r="I97" s="45">
        <f>'线下门店-小计'!I29*(I15/('26年全渠道汇总'!I15-'线下门店-小计'!I15))</f>
        <v>0</v>
      </c>
      <c r="J97" s="45">
        <f>'线下门店-小计'!J29*(J15/('26年全渠道汇总'!J15-'线下门店-小计'!J15))</f>
        <v>0</v>
      </c>
      <c r="K97" s="45">
        <f>'线下门店-小计'!K29*(K15/('26年全渠道汇总'!K15-'线下门店-小计'!K15))</f>
        <v>0</v>
      </c>
      <c r="L97" s="45">
        <f>'线下门店-小计'!L29*(L15/('26年全渠道汇总'!L15-'线下门店-小计'!L15))</f>
        <v>0</v>
      </c>
      <c r="M97" s="45">
        <f>'线下门店-小计'!M29*(M15/('26年全渠道汇总'!M15-'线下门店-小计'!M15))</f>
        <v>0</v>
      </c>
      <c r="N97" s="45">
        <f>'线下门店-小计'!N29*(N15/('26年全渠道汇总'!N15-'线下门店-小计'!N15))</f>
        <v>0</v>
      </c>
      <c r="O97" s="6"/>
      <c r="P97" s="6"/>
      <c r="Q97" s="6"/>
      <c r="R97" s="6"/>
      <c r="S97" s="6"/>
      <c r="T97" s="6"/>
    </row>
    <row r="98" ht="16.8" spans="1:20">
      <c r="A98" s="6"/>
      <c r="B98" s="4" t="s">
        <v>43</v>
      </c>
      <c r="C98" s="45">
        <f>'线下门店-小计'!C30*(C15/('26年全渠道汇总'!C15-'线下门店-小计'!C15))</f>
        <v>0</v>
      </c>
      <c r="D98" s="45">
        <f>'线下门店-小计'!D30*(D15/('26年全渠道汇总'!D15-'线下门店-小计'!D15))</f>
        <v>0</v>
      </c>
      <c r="E98" s="45">
        <f>'线下门店-小计'!E30*(E15/('26年全渠道汇总'!E15-'线下门店-小计'!E15))</f>
        <v>0</v>
      </c>
      <c r="F98" s="45">
        <f>'线下门店-小计'!F30*(F15/('26年全渠道汇总'!F15-'线下门店-小计'!F15))</f>
        <v>0</v>
      </c>
      <c r="G98" s="45">
        <f>'线下门店-小计'!G30*(G15/('26年全渠道汇总'!G15-'线下门店-小计'!G15))</f>
        <v>0</v>
      </c>
      <c r="H98" s="45">
        <f>'线下门店-小计'!H30*(H15/('26年全渠道汇总'!H15-'线下门店-小计'!H15))</f>
        <v>0</v>
      </c>
      <c r="I98" s="45">
        <f>'线下门店-小计'!I30*(I15/('26年全渠道汇总'!I15-'线下门店-小计'!I15))</f>
        <v>0</v>
      </c>
      <c r="J98" s="45">
        <f>'线下门店-小计'!J30*(J15/('26年全渠道汇总'!J15-'线下门店-小计'!J15))</f>
        <v>0</v>
      </c>
      <c r="K98" s="45">
        <f>'线下门店-小计'!K30*(K15/('26年全渠道汇总'!K15-'线下门店-小计'!K15))</f>
        <v>0</v>
      </c>
      <c r="L98" s="45">
        <f>'线下门店-小计'!L30*(L15/('26年全渠道汇总'!L15-'线下门店-小计'!L15))</f>
        <v>0</v>
      </c>
      <c r="M98" s="45">
        <f>'线下门店-小计'!M30*(M15/('26年全渠道汇总'!M15-'线下门店-小计'!M15))</f>
        <v>0</v>
      </c>
      <c r="N98" s="45">
        <f>'线下门店-小计'!N30*(N15/('26年全渠道汇总'!N15-'线下门店-小计'!N15))</f>
        <v>0</v>
      </c>
      <c r="O98" s="6"/>
      <c r="P98" s="6"/>
      <c r="Q98" s="6"/>
      <c r="R98" s="6"/>
      <c r="S98" s="6"/>
      <c r="T98" s="6"/>
    </row>
    <row r="99" ht="16.8" spans="1:20">
      <c r="A99" s="6"/>
      <c r="B99" s="4" t="s">
        <v>44</v>
      </c>
      <c r="C99" s="45">
        <f>'线下门店-小计'!C31*(C15/('26年全渠道汇总'!C15-'线下门店-小计'!C15))</f>
        <v>0</v>
      </c>
      <c r="D99" s="45">
        <f>'线下门店-小计'!D31*(D15/('26年全渠道汇总'!D15-'线下门店-小计'!D15))</f>
        <v>0</v>
      </c>
      <c r="E99" s="45">
        <f>'线下门店-小计'!E31*(E15/('26年全渠道汇总'!E15-'线下门店-小计'!E15))</f>
        <v>0</v>
      </c>
      <c r="F99" s="45">
        <f>'线下门店-小计'!F31*(F15/('26年全渠道汇总'!F15-'线下门店-小计'!F15))</f>
        <v>0</v>
      </c>
      <c r="G99" s="45">
        <f>'线下门店-小计'!G31*(G15/('26年全渠道汇总'!G15-'线下门店-小计'!G15))</f>
        <v>0</v>
      </c>
      <c r="H99" s="45">
        <f>'线下门店-小计'!H31*(H15/('26年全渠道汇总'!H15-'线下门店-小计'!H15))</f>
        <v>0</v>
      </c>
      <c r="I99" s="45">
        <f>'线下门店-小计'!I31*(I15/('26年全渠道汇总'!I15-'线下门店-小计'!I15))</f>
        <v>0</v>
      </c>
      <c r="J99" s="45">
        <f>'线下门店-小计'!J31*(J15/('26年全渠道汇总'!J15-'线下门店-小计'!J15))</f>
        <v>0</v>
      </c>
      <c r="K99" s="45">
        <f>'线下门店-小计'!K31*(K15/('26年全渠道汇总'!K15-'线下门店-小计'!K15))</f>
        <v>0</v>
      </c>
      <c r="L99" s="45">
        <f>'线下门店-小计'!L31*(L15/('26年全渠道汇总'!L15-'线下门店-小计'!L15))</f>
        <v>0</v>
      </c>
      <c r="M99" s="45">
        <f>'线下门店-小计'!M31*(M15/('26年全渠道汇总'!M15-'线下门店-小计'!M15))</f>
        <v>0</v>
      </c>
      <c r="N99" s="45">
        <f>'线下门店-小计'!N31*(N15/('26年全渠道汇总'!N15-'线下门店-小计'!N15))</f>
        <v>0</v>
      </c>
      <c r="O99" s="6"/>
      <c r="P99" s="6"/>
      <c r="Q99" s="6"/>
      <c r="R99" s="6"/>
      <c r="S99" s="6"/>
      <c r="T99" s="6"/>
    </row>
    <row r="100" spans="1:2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>
      <c r="A101" s="6"/>
      <c r="B101" s="6" t="s">
        <v>121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ht="16.8" spans="1:20">
      <c r="A102" s="6"/>
      <c r="B102" s="17" t="s">
        <v>39</v>
      </c>
      <c r="C102" s="37">
        <f t="shared" ref="C102:N102" si="35">SUM(C103:C107)</f>
        <v>1492.8735009694</v>
      </c>
      <c r="D102" s="37">
        <f t="shared" si="35"/>
        <v>5277.52769789309</v>
      </c>
      <c r="E102" s="37">
        <f t="shared" si="35"/>
        <v>9299.83821062717</v>
      </c>
      <c r="F102" s="37">
        <f t="shared" si="35"/>
        <v>5237.48701562314</v>
      </c>
      <c r="G102" s="37">
        <f t="shared" si="35"/>
        <v>22465.4923172341</v>
      </c>
      <c r="H102" s="37">
        <f t="shared" si="35"/>
        <v>13038.204996943</v>
      </c>
      <c r="I102" s="37">
        <f t="shared" si="35"/>
        <v>2400.97247054063</v>
      </c>
      <c r="J102" s="37">
        <f t="shared" si="35"/>
        <v>4196.63778138112</v>
      </c>
      <c r="K102" s="37">
        <f t="shared" si="35"/>
        <v>3318.3398199771</v>
      </c>
      <c r="L102" s="37">
        <f t="shared" si="35"/>
        <v>11789.0993797212</v>
      </c>
      <c r="M102" s="37">
        <f t="shared" si="35"/>
        <v>4635.56995763584</v>
      </c>
      <c r="N102" s="37">
        <f t="shared" si="35"/>
        <v>2770.84735439761</v>
      </c>
      <c r="O102" s="6"/>
      <c r="P102" s="6"/>
      <c r="Q102" s="6"/>
      <c r="R102" s="6"/>
      <c r="S102" s="6"/>
      <c r="T102" s="6"/>
    </row>
    <row r="103" ht="16.8" spans="1:20">
      <c r="A103" s="6"/>
      <c r="B103" s="4" t="s">
        <v>40</v>
      </c>
      <c r="C103" s="45">
        <f t="shared" ref="C103:N103" si="36">C95+C27</f>
        <v>0</v>
      </c>
      <c r="D103" s="45">
        <f t="shared" si="36"/>
        <v>0</v>
      </c>
      <c r="E103" s="45">
        <f t="shared" si="36"/>
        <v>254.09394018107</v>
      </c>
      <c r="F103" s="45">
        <f t="shared" si="36"/>
        <v>212.905976244843</v>
      </c>
      <c r="G103" s="45">
        <f t="shared" si="36"/>
        <v>447.51976727558</v>
      </c>
      <c r="H103" s="45">
        <f t="shared" si="36"/>
        <v>395.097121119484</v>
      </c>
      <c r="I103" s="45">
        <f t="shared" si="36"/>
        <v>255.422603249003</v>
      </c>
      <c r="J103" s="45">
        <f t="shared" si="36"/>
        <v>355.647269608569</v>
      </c>
      <c r="K103" s="45">
        <f t="shared" si="36"/>
        <v>281.21523898111</v>
      </c>
      <c r="L103" s="45">
        <f t="shared" si="36"/>
        <v>471.563975188847</v>
      </c>
      <c r="M103" s="45">
        <f t="shared" si="36"/>
        <v>356.582304433526</v>
      </c>
      <c r="N103" s="45">
        <f t="shared" si="36"/>
        <v>0</v>
      </c>
      <c r="O103" s="6"/>
      <c r="P103" s="6"/>
      <c r="Q103" s="6"/>
      <c r="R103" s="6"/>
      <c r="S103" s="6"/>
      <c r="T103" s="6"/>
    </row>
    <row r="104" ht="16.8" spans="1:20">
      <c r="A104" s="6"/>
      <c r="B104" s="4" t="s">
        <v>41</v>
      </c>
      <c r="C104" s="45">
        <f t="shared" ref="C104:N104" si="37">C96+C28</f>
        <v>0</v>
      </c>
      <c r="D104" s="45">
        <f t="shared" si="37"/>
        <v>0</v>
      </c>
      <c r="E104" s="45">
        <f t="shared" si="37"/>
        <v>0</v>
      </c>
      <c r="F104" s="45">
        <f t="shared" si="37"/>
        <v>255.487171493812</v>
      </c>
      <c r="G104" s="45">
        <f t="shared" si="37"/>
        <v>2685.11860365348</v>
      </c>
      <c r="H104" s="45">
        <f t="shared" si="37"/>
        <v>1264.31078758235</v>
      </c>
      <c r="I104" s="45">
        <f t="shared" si="37"/>
        <v>0</v>
      </c>
      <c r="J104" s="45">
        <f t="shared" si="37"/>
        <v>426.776723530283</v>
      </c>
      <c r="K104" s="45">
        <f t="shared" si="37"/>
        <v>899.888764739553</v>
      </c>
      <c r="L104" s="45">
        <f t="shared" si="37"/>
        <v>565.876770226616</v>
      </c>
      <c r="M104" s="45">
        <f t="shared" si="37"/>
        <v>427.898765320231</v>
      </c>
      <c r="N104" s="45">
        <f t="shared" si="37"/>
        <v>0</v>
      </c>
      <c r="O104" s="6"/>
      <c r="P104" s="6"/>
      <c r="Q104" s="6"/>
      <c r="R104" s="6"/>
      <c r="S104" s="6"/>
      <c r="T104" s="6"/>
    </row>
    <row r="105" ht="16.8" spans="1:20">
      <c r="A105" s="6"/>
      <c r="B105" s="4" t="s">
        <v>42</v>
      </c>
      <c r="C105" s="45">
        <f t="shared" ref="C105:N105" si="38">C97+C29</f>
        <v>124.406125080783</v>
      </c>
      <c r="D105" s="45">
        <f t="shared" si="38"/>
        <v>101.490917267175</v>
      </c>
      <c r="E105" s="45">
        <f t="shared" si="38"/>
        <v>101.637576072428</v>
      </c>
      <c r="F105" s="45">
        <f t="shared" si="38"/>
        <v>425.811952489686</v>
      </c>
      <c r="G105" s="45">
        <f t="shared" si="38"/>
        <v>2685.11860365348</v>
      </c>
      <c r="H105" s="45">
        <f t="shared" si="38"/>
        <v>1738.42733292573</v>
      </c>
      <c r="I105" s="45">
        <f t="shared" si="38"/>
        <v>0</v>
      </c>
      <c r="J105" s="45">
        <f t="shared" si="38"/>
        <v>426.776723530283</v>
      </c>
      <c r="K105" s="45">
        <f t="shared" si="38"/>
        <v>899.888764739553</v>
      </c>
      <c r="L105" s="45">
        <f t="shared" si="38"/>
        <v>943.127950377694</v>
      </c>
      <c r="M105" s="45">
        <f t="shared" si="38"/>
        <v>713.164608867052</v>
      </c>
      <c r="N105" s="45">
        <f t="shared" si="38"/>
        <v>125.947607018073</v>
      </c>
      <c r="O105" s="6"/>
      <c r="P105" s="6"/>
      <c r="Q105" s="6"/>
      <c r="R105" s="6"/>
      <c r="S105" s="6"/>
      <c r="T105" s="6"/>
    </row>
    <row r="106" ht="16.8" spans="1:20">
      <c r="A106" s="6"/>
      <c r="B106" s="4" t="s">
        <v>43</v>
      </c>
      <c r="C106" s="45">
        <f t="shared" ref="C106:N106" si="39">C98+C30</f>
        <v>124.406125080783</v>
      </c>
      <c r="D106" s="45">
        <f t="shared" si="39"/>
        <v>101.490917267175</v>
      </c>
      <c r="E106" s="45">
        <f t="shared" si="39"/>
        <v>813.100608579425</v>
      </c>
      <c r="F106" s="45">
        <f t="shared" si="39"/>
        <v>85.1623904979372</v>
      </c>
      <c r="G106" s="45">
        <f t="shared" si="39"/>
        <v>537.023720730697</v>
      </c>
      <c r="H106" s="45">
        <f t="shared" si="39"/>
        <v>158.038848447793</v>
      </c>
      <c r="I106" s="45">
        <f t="shared" si="39"/>
        <v>102.169041299601</v>
      </c>
      <c r="J106" s="45">
        <f t="shared" si="39"/>
        <v>142.258907843428</v>
      </c>
      <c r="K106" s="45">
        <f t="shared" si="39"/>
        <v>112.486095592444</v>
      </c>
      <c r="L106" s="45">
        <f t="shared" si="39"/>
        <v>377.251180151078</v>
      </c>
      <c r="M106" s="45">
        <f t="shared" si="39"/>
        <v>285.265843546821</v>
      </c>
      <c r="N106" s="45">
        <f t="shared" si="39"/>
        <v>125.947607018073</v>
      </c>
      <c r="O106" s="6"/>
      <c r="P106" s="6"/>
      <c r="Q106" s="6"/>
      <c r="R106" s="6"/>
      <c r="S106" s="6"/>
      <c r="T106" s="6"/>
    </row>
    <row r="107" ht="16.8" spans="1:20">
      <c r="A107" s="6"/>
      <c r="B107" s="4" t="s">
        <v>44</v>
      </c>
      <c r="C107" s="45">
        <f t="shared" ref="C107:N107" si="40">C99+C31</f>
        <v>1244.06125080783</v>
      </c>
      <c r="D107" s="45">
        <f t="shared" si="40"/>
        <v>5074.54586335874</v>
      </c>
      <c r="E107" s="45">
        <f t="shared" si="40"/>
        <v>8131.00608579425</v>
      </c>
      <c r="F107" s="45">
        <f t="shared" si="40"/>
        <v>4258.11952489686</v>
      </c>
      <c r="G107" s="45">
        <f t="shared" si="40"/>
        <v>16110.7116219209</v>
      </c>
      <c r="H107" s="45">
        <f t="shared" si="40"/>
        <v>9482.3309068676</v>
      </c>
      <c r="I107" s="45">
        <f t="shared" si="40"/>
        <v>2043.38082599202</v>
      </c>
      <c r="J107" s="45">
        <f t="shared" si="40"/>
        <v>2845.17815686855</v>
      </c>
      <c r="K107" s="45">
        <f t="shared" si="40"/>
        <v>1124.86095592444</v>
      </c>
      <c r="L107" s="45">
        <f t="shared" si="40"/>
        <v>9431.27950377694</v>
      </c>
      <c r="M107" s="45">
        <f t="shared" si="40"/>
        <v>2852.65843546821</v>
      </c>
      <c r="N107" s="45">
        <f t="shared" si="40"/>
        <v>2518.95214036146</v>
      </c>
      <c r="O107" s="6"/>
      <c r="P107" s="6"/>
      <c r="Q107" s="6"/>
      <c r="R107" s="6"/>
      <c r="S107" s="6"/>
      <c r="T107" s="6"/>
    </row>
    <row r="108" spans="1:20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</sheetData>
  <mergeCells count="1">
    <mergeCell ref="Q44:Q46"/>
  </mergeCells>
  <pageMargins left="0.75" right="0.75" top="1" bottom="1" header="0.5" footer="0.5"/>
  <headerFooter/>
  <picture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4C724"/>
    <outlinePr summaryBelow="0" summaryRight="0"/>
  </sheetPr>
  <dimension ref="A1:T201"/>
  <sheetViews>
    <sheetView workbookViewId="0">
      <selection activeCell="A1" sqref="A1"/>
    </sheetView>
  </sheetViews>
  <sheetFormatPr defaultColWidth="14" defaultRowHeight="14.4"/>
  <cols>
    <col min="1" max="1" width="7" customWidth="1"/>
    <col min="2" max="2" width="30" customWidth="1"/>
    <col min="3" max="15" width="19" customWidth="1"/>
    <col min="16" max="17" width="14" customWidth="1"/>
    <col min="18" max="18" width="11" customWidth="1"/>
    <col min="19" max="20" width="14" customWidth="1"/>
  </cols>
  <sheetData>
    <row r="1" ht="17" spans="1:20">
      <c r="A1" s="6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6"/>
      <c r="S1" s="6"/>
      <c r="T1" s="6"/>
    </row>
    <row r="2" ht="16.8" spans="1:20">
      <c r="A2" s="6"/>
      <c r="B2" s="4" t="s">
        <v>16</v>
      </c>
      <c r="C2" s="36">
        <f>'线下门店-直营'!C2+'线下门店-经销'!C2</f>
        <v>2250.98039215686</v>
      </c>
      <c r="D2" s="36">
        <f>'线下门店-直营'!D2+'线下门店-经销'!D2</f>
        <v>1535.9477124183</v>
      </c>
      <c r="E2" s="36">
        <f>'线下门店-直营'!E2+'线下门店-经销'!E2</f>
        <v>1948.3660130719</v>
      </c>
      <c r="F2" s="36">
        <f>'线下门店-直营'!F2+'线下门店-经销'!F2</f>
        <v>2078.64923747277</v>
      </c>
      <c r="G2" s="36">
        <f>'线下门店-直营'!G2+'线下门店-经销'!G2</f>
        <v>2089.76034858388</v>
      </c>
      <c r="H2" s="36">
        <f>'线下门店-直营'!H2+'线下门店-经销'!H2</f>
        <v>3447.05882352941</v>
      </c>
      <c r="I2" s="36">
        <f>'线下门店-直营'!I2+'线下门店-经销'!I2</f>
        <v>3539.86928104575</v>
      </c>
      <c r="J2" s="36">
        <f>'线下门店-直营'!J2+'线下门店-经销'!J2</f>
        <v>3705.01089324619</v>
      </c>
      <c r="K2" s="36">
        <f>'线下门店-直营'!K2+'线下门店-经销'!K2</f>
        <v>3467.97385620915</v>
      </c>
      <c r="L2" s="36">
        <f>'线下门店-直营'!L2+'线下门店-经销'!L2</f>
        <v>5558.82352941176</v>
      </c>
      <c r="M2" s="36">
        <f>'线下门店-直营'!M2+'线下门店-经销'!M2</f>
        <v>6332.02614379085</v>
      </c>
      <c r="N2" s="36">
        <f>'线下门店-直营'!N2+'线下门店-经销'!N2</f>
        <v>7189.97821350763</v>
      </c>
      <c r="O2" s="36">
        <f>SUM(C2:N2)</f>
        <v>43144.4444444444</v>
      </c>
      <c r="P2" s="36"/>
      <c r="Q2" s="6"/>
      <c r="R2" s="6"/>
      <c r="S2" s="6"/>
      <c r="T2" s="6"/>
    </row>
    <row r="3" ht="16.8" spans="1:20">
      <c r="A3" s="32"/>
      <c r="B3" s="8" t="s">
        <v>17</v>
      </c>
      <c r="C3" s="8">
        <f>'线下门店-直营'!C3+'线下门店-经销'!C3</f>
        <v>1087578.94736842</v>
      </c>
      <c r="D3" s="8">
        <f>'线下门店-直营'!D3+'线下门店-经销'!D3</f>
        <v>742105.263157895</v>
      </c>
      <c r="E3" s="8">
        <f>'线下门店-直营'!E3+'线下门店-经销'!E3</f>
        <v>941368.421052632</v>
      </c>
      <c r="F3" s="8">
        <f>'线下门店-直营'!F3+'线下门店-经销'!F3</f>
        <v>1004315.78947368</v>
      </c>
      <c r="G3" s="8">
        <f>'线下门店-直营'!G3+'线下门店-经销'!G3</f>
        <v>1009684.21052632</v>
      </c>
      <c r="H3" s="8">
        <f>'线下门店-直营'!H3+'线下门店-经销'!H3</f>
        <v>1665473.68421053</v>
      </c>
      <c r="I3" s="8">
        <f>'线下门店-直营'!I3+'线下门店-经销'!I3</f>
        <v>1710315.78947368</v>
      </c>
      <c r="J3" s="8">
        <f>'线下门店-直营'!J3+'线下门店-经销'!J3</f>
        <v>1790105.26315789</v>
      </c>
      <c r="K3" s="8">
        <f>'线下门店-直营'!K3+'线下门店-经销'!K3</f>
        <v>1675578.94736842</v>
      </c>
      <c r="L3" s="8">
        <f>'线下门店-直营'!L3+'线下门店-经销'!L3</f>
        <v>2685789.47368421</v>
      </c>
      <c r="M3" s="8">
        <f>'线下门店-直营'!M3+'线下门店-经销'!M3</f>
        <v>3059368.42105263</v>
      </c>
      <c r="N3" s="8">
        <f>'线下门店-直营'!N3+'线下门店-经销'!N3</f>
        <v>3473894.73684211</v>
      </c>
      <c r="O3" s="8">
        <f>SUM(C3:N3)</f>
        <v>20845578.9473684</v>
      </c>
      <c r="P3" s="8"/>
      <c r="Q3" s="10" t="s">
        <v>83</v>
      </c>
      <c r="R3" s="6"/>
      <c r="S3" s="6"/>
      <c r="T3" s="6"/>
    </row>
    <row r="4" ht="16.8" spans="1:20">
      <c r="A4" s="32"/>
      <c r="B4" s="8" t="s">
        <v>84</v>
      </c>
      <c r="C4" s="8">
        <f>'线下门店-直营'!C4+'线下门店-经销'!C4</f>
        <v>0</v>
      </c>
      <c r="D4" s="8">
        <f>'线下门店-直营'!D4+'线下门店-经销'!D4</f>
        <v>0</v>
      </c>
      <c r="E4" s="8">
        <f>'线下门店-直营'!E4+'线下门店-经销'!E4</f>
        <v>0</v>
      </c>
      <c r="F4" s="8">
        <f>'线下门店-直营'!F4+'线下门店-经销'!F4</f>
        <v>0</v>
      </c>
      <c r="G4" s="8">
        <f>'线下门店-直营'!G4+'线下门店-经销'!G4</f>
        <v>0</v>
      </c>
      <c r="H4" s="8">
        <f>'线下门店-直营'!H4+'线下门店-经销'!H4</f>
        <v>0</v>
      </c>
      <c r="I4" s="8">
        <f>'线下门店-直营'!I4+'线下门店-经销'!I4</f>
        <v>0</v>
      </c>
      <c r="J4" s="8">
        <f>'线下门店-直营'!J4+'线下门店-经销'!J4</f>
        <v>0</v>
      </c>
      <c r="K4" s="8">
        <f>'线下门店-直营'!K4+'线下门店-经销'!K4</f>
        <v>0</v>
      </c>
      <c r="L4" s="8">
        <f>'线下门店-直营'!L4+'线下门店-经销'!L4</f>
        <v>0</v>
      </c>
      <c r="M4" s="8">
        <f>'线下门店-直营'!M4+'线下门店-经销'!M4</f>
        <v>0</v>
      </c>
      <c r="N4" s="8">
        <f>'线下门店-直营'!N4+'线下门店-经销'!N4</f>
        <v>0</v>
      </c>
      <c r="O4" s="8"/>
      <c r="P4" s="8"/>
      <c r="Q4" s="10" t="s">
        <v>83</v>
      </c>
      <c r="R4" s="6"/>
      <c r="S4" s="6"/>
      <c r="T4" s="6"/>
    </row>
    <row r="5" ht="16.8" spans="1:20">
      <c r="A5" s="32"/>
      <c r="B5" s="8" t="s">
        <v>18</v>
      </c>
      <c r="C5" s="8">
        <f>'线下门店-直营'!C5+'线下门店-经销'!C5</f>
        <v>0</v>
      </c>
      <c r="D5" s="8">
        <f>'线下门店-直营'!D5+'线下门店-经销'!D5</f>
        <v>0</v>
      </c>
      <c r="E5" s="8">
        <f>'线下门店-直营'!E5+'线下门店-经销'!E5</f>
        <v>0</v>
      </c>
      <c r="F5" s="8">
        <f>'线下门店-直营'!F5+'线下门店-经销'!F5</f>
        <v>0</v>
      </c>
      <c r="G5" s="8">
        <f>'线下门店-直营'!G5+'线下门店-经销'!G5</f>
        <v>0</v>
      </c>
      <c r="H5" s="8">
        <f>'线下门店-直营'!H5+'线下门店-经销'!H5</f>
        <v>0</v>
      </c>
      <c r="I5" s="8">
        <f>'线下门店-直营'!I5+'线下门店-经销'!I5</f>
        <v>0</v>
      </c>
      <c r="J5" s="8">
        <f>'线下门店-直营'!J5+'线下门店-经销'!J5</f>
        <v>0</v>
      </c>
      <c r="K5" s="8">
        <f>'线下门店-直营'!K5+'线下门店-经销'!K5</f>
        <v>0</v>
      </c>
      <c r="L5" s="8">
        <f>'线下门店-直营'!L5+'线下门店-经销'!L5</f>
        <v>0</v>
      </c>
      <c r="M5" s="8">
        <f>'线下门店-直营'!M5+'线下门店-经销'!M5</f>
        <v>0</v>
      </c>
      <c r="N5" s="8">
        <f>'线下门店-直营'!N5+'线下门店-经销'!N5</f>
        <v>0</v>
      </c>
      <c r="O5" s="8">
        <f>SUM(C5:N5)</f>
        <v>0</v>
      </c>
      <c r="P5" s="8"/>
      <c r="Q5" s="11" t="s">
        <v>83</v>
      </c>
      <c r="R5" s="6"/>
      <c r="S5" s="6"/>
      <c r="T5" s="6"/>
    </row>
    <row r="6" ht="16.8" spans="1:20">
      <c r="A6" s="32"/>
      <c r="B6" s="12" t="s">
        <v>85</v>
      </c>
      <c r="C6" s="51">
        <f>'线下门店-直营'!C6+'线下门店-经销'!C6</f>
        <v>1087578.94736842</v>
      </c>
      <c r="D6" s="51">
        <f>'线下门店-直营'!D6+'线下门店-经销'!D6</f>
        <v>742105.263157895</v>
      </c>
      <c r="E6" s="51">
        <f>'线下门店-直营'!E6+'线下门店-经销'!E6</f>
        <v>941368.421052632</v>
      </c>
      <c r="F6" s="51">
        <f>'线下门店-直营'!F6+'线下门店-经销'!F6</f>
        <v>1004315.78947368</v>
      </c>
      <c r="G6" s="51">
        <f>'线下门店-直营'!G6+'线下门店-经销'!G6</f>
        <v>1009684.21052632</v>
      </c>
      <c r="H6" s="51">
        <f>'线下门店-直营'!H6+'线下门店-经销'!H6</f>
        <v>1665473.68421053</v>
      </c>
      <c r="I6" s="51">
        <f>'线下门店-直营'!I6+'线下门店-经销'!I6</f>
        <v>1710315.78947368</v>
      </c>
      <c r="J6" s="51">
        <f>'线下门店-直营'!J6+'线下门店-经销'!J6</f>
        <v>1790105.26315789</v>
      </c>
      <c r="K6" s="51">
        <f>'线下门店-直营'!K6+'线下门店-经销'!K6</f>
        <v>1675578.94736842</v>
      </c>
      <c r="L6" s="51">
        <f>'线下门店-直营'!L6+'线下门店-经销'!L6</f>
        <v>2685789.47368421</v>
      </c>
      <c r="M6" s="51">
        <f>'线下门店-直营'!M6+'线下门店-经销'!M6</f>
        <v>3059368.42105263</v>
      </c>
      <c r="N6" s="51">
        <f>'线下门店-直营'!N6+'线下门店-经销'!N6</f>
        <v>3473894.73684211</v>
      </c>
      <c r="O6" s="12">
        <f>SUM(C6:N6)</f>
        <v>20845578.9473684</v>
      </c>
      <c r="P6" s="12"/>
      <c r="Q6" s="11" t="s">
        <v>83</v>
      </c>
      <c r="R6" s="6"/>
      <c r="S6" s="6"/>
      <c r="T6" s="6"/>
    </row>
    <row r="7" ht="16.8" spans="1:20">
      <c r="A7" s="32"/>
      <c r="B7" s="14" t="s">
        <v>20</v>
      </c>
      <c r="C7" s="14">
        <v>0.05</v>
      </c>
      <c r="D7" s="14">
        <v>0.05</v>
      </c>
      <c r="E7" s="14">
        <v>0.05</v>
      </c>
      <c r="F7" s="14">
        <v>0.05</v>
      </c>
      <c r="G7" s="14">
        <v>0.05</v>
      </c>
      <c r="H7" s="14">
        <v>0.05</v>
      </c>
      <c r="I7" s="14">
        <v>0.05</v>
      </c>
      <c r="J7" s="14">
        <v>0.05</v>
      </c>
      <c r="K7" s="14">
        <v>0.05</v>
      </c>
      <c r="L7" s="14">
        <v>0.05</v>
      </c>
      <c r="M7" s="14">
        <v>0.05</v>
      </c>
      <c r="N7" s="14">
        <v>0.05</v>
      </c>
      <c r="O7" s="14">
        <f>1-O8/O6</f>
        <v>0.0500000000000002</v>
      </c>
      <c r="P7" s="14"/>
      <c r="Q7" s="6" t="s">
        <v>83</v>
      </c>
      <c r="R7" s="6"/>
      <c r="S7" s="6"/>
      <c r="T7" s="6"/>
    </row>
    <row r="8" ht="16.8" spans="1:20">
      <c r="A8" s="32"/>
      <c r="B8" s="12" t="s">
        <v>86</v>
      </c>
      <c r="C8" s="12">
        <f>'线下门店-直营'!C8+'线下门店-经销'!C8</f>
        <v>1033200</v>
      </c>
      <c r="D8" s="12">
        <f>'线下门店-直营'!D8+'线下门店-经销'!D8</f>
        <v>705000</v>
      </c>
      <c r="E8" s="12">
        <f>'线下门店-直营'!E8+'线下门店-经销'!E8</f>
        <v>894300</v>
      </c>
      <c r="F8" s="12">
        <f>'线下门店-直营'!F8+'线下门店-经销'!F8</f>
        <v>954100</v>
      </c>
      <c r="G8" s="12">
        <f>'线下门店-直营'!G8+'线下门店-经销'!G8</f>
        <v>959200</v>
      </c>
      <c r="H8" s="12">
        <f>'线下门店-直营'!H8+'线下门店-经销'!H8</f>
        <v>1582200</v>
      </c>
      <c r="I8" s="12">
        <f>'线下门店-直营'!I8+'线下门店-经销'!I8</f>
        <v>1624800</v>
      </c>
      <c r="J8" s="12">
        <f>'线下门店-直营'!J8+'线下门店-经销'!J8</f>
        <v>1700600</v>
      </c>
      <c r="K8" s="12">
        <f>'线下门店-直营'!K8+'线下门店-经销'!K8</f>
        <v>1591800</v>
      </c>
      <c r="L8" s="12">
        <f>'线下门店-直营'!L8+'线下门店-经销'!L8</f>
        <v>2551500</v>
      </c>
      <c r="M8" s="12">
        <f>'线下门店-直营'!M8+'线下门店-经销'!M8</f>
        <v>2906400</v>
      </c>
      <c r="N8" s="12">
        <f>'线下门店-直营'!N8+'线下门店-经销'!N8</f>
        <v>3300200</v>
      </c>
      <c r="O8" s="12">
        <f>SUM(C8:N8)</f>
        <v>19803300</v>
      </c>
      <c r="P8" s="12"/>
      <c r="Q8" s="6" t="s">
        <v>83</v>
      </c>
      <c r="R8" s="6"/>
      <c r="S8" s="6"/>
      <c r="T8" s="6"/>
    </row>
    <row r="9" ht="16.8" spans="1:20">
      <c r="A9" s="6"/>
      <c r="B9" s="4"/>
      <c r="C9" s="5">
        <f>'线下门店-直营'!C9+'线下门店-经销'!C9</f>
        <v>0</v>
      </c>
      <c r="D9" s="36">
        <f>'线下门店-直营'!D9+'线下门店-经销'!D9</f>
        <v>0</v>
      </c>
      <c r="E9" s="36">
        <f>'线下门店-直营'!E9+'线下门店-经销'!E9</f>
        <v>0</v>
      </c>
      <c r="F9" s="36">
        <f>'线下门店-直营'!F9+'线下门店-经销'!F9</f>
        <v>0</v>
      </c>
      <c r="G9" s="36">
        <f>'线下门店-直营'!G9+'线下门店-经销'!G9</f>
        <v>0</v>
      </c>
      <c r="H9" s="36">
        <f>'线下门店-直营'!H9+'线下门店-经销'!H9</f>
        <v>0</v>
      </c>
      <c r="I9" s="36">
        <f>'线下门店-直营'!I9+'线下门店-经销'!I9</f>
        <v>0</v>
      </c>
      <c r="J9" s="36">
        <f>'线下门店-直营'!J9+'线下门店-经销'!J9</f>
        <v>0</v>
      </c>
      <c r="K9" s="36">
        <f>'线下门店-直营'!K9+'线下门店-经销'!K9</f>
        <v>0</v>
      </c>
      <c r="L9" s="36">
        <f>'线下门店-直营'!L9+'线下门店-经销'!L9</f>
        <v>0</v>
      </c>
      <c r="M9" s="36">
        <f>'线下门店-直营'!M9+'线下门店-经销'!M9</f>
        <v>0</v>
      </c>
      <c r="N9" s="36">
        <f>'线下门店-直营'!N9+'线下门店-经销'!N9</f>
        <v>0</v>
      </c>
      <c r="O9" s="5">
        <f>O8+O14-O10</f>
        <v>0</v>
      </c>
      <c r="P9" s="36"/>
      <c r="Q9" s="6"/>
      <c r="R9" s="6"/>
      <c r="S9" s="6"/>
      <c r="T9" s="6"/>
    </row>
    <row r="10" ht="16.8" spans="1:20">
      <c r="A10" s="32"/>
      <c r="B10" s="12" t="s">
        <v>22</v>
      </c>
      <c r="C10" s="12">
        <f>'线下门店-直营'!C10+'线下门店-经销'!C10</f>
        <v>1146548.28232487</v>
      </c>
      <c r="D10" s="12">
        <f>'线下门店-直营'!D10+'线下门店-经销'!D10</f>
        <v>821910.582961957</v>
      </c>
      <c r="E10" s="12">
        <f>'线下门店-直营'!E10+'线下门店-经销'!E10</f>
        <v>956083.975296522</v>
      </c>
      <c r="F10" s="12">
        <f>'线下门店-直营'!F10+'线下门店-经销'!F10</f>
        <v>1122488.33016402</v>
      </c>
      <c r="G10" s="12">
        <f>'线下门店-直营'!G10+'线下门店-经销'!G10</f>
        <v>1083848.80697632</v>
      </c>
      <c r="H10" s="12">
        <f>'线下门店-直营'!H10+'线下门店-经销'!H10</f>
        <v>1871588.5750275</v>
      </c>
      <c r="I10" s="12">
        <f>'线下门店-直营'!I10+'线下门店-经销'!I10</f>
        <v>1885545.10122</v>
      </c>
      <c r="J10" s="12">
        <f>'线下门店-直营'!J10+'线下门店-经销'!J10</f>
        <v>1973509.354465</v>
      </c>
      <c r="K10" s="12">
        <f>'线下门店-直营'!K10+'线下门店-经销'!K10</f>
        <v>1847254.1930325</v>
      </c>
      <c r="L10" s="12">
        <f>'线下门店-直营'!L10+'线下门店-经销'!L10</f>
        <v>2960961.88145625</v>
      </c>
      <c r="M10" s="12">
        <f>'线下门店-直营'!M10+'线下门店-经销'!M10</f>
        <v>3382624.933786</v>
      </c>
      <c r="N10" s="12">
        <f>'线下门店-直营'!N10+'线下门店-经销'!N10</f>
        <v>4091841.47536364</v>
      </c>
      <c r="O10" s="12">
        <f t="shared" ref="O10:O16" si="0">SUM(C10:N10)</f>
        <v>23144205.4920746</v>
      </c>
      <c r="P10" s="12"/>
      <c r="Q10" s="6"/>
      <c r="R10" s="6"/>
      <c r="S10" s="6"/>
      <c r="T10" s="6"/>
    </row>
    <row r="11" ht="16.8" spans="1:20">
      <c r="A11" s="6"/>
      <c r="B11" s="17" t="s">
        <v>23</v>
      </c>
      <c r="C11" s="37">
        <f>'线下门店-直营'!C11+'线下门店-经销'!C11</f>
        <v>15358.8458434783</v>
      </c>
      <c r="D11" s="37">
        <f>'线下门店-直营'!D11+'线下门店-经销'!D11</f>
        <v>24874.5921195652</v>
      </c>
      <c r="E11" s="37">
        <f>'线下门店-直营'!E11+'线下门店-经销'!E11</f>
        <v>11399.2574347826</v>
      </c>
      <c r="F11" s="37">
        <f>'线下门店-直营'!F11+'线下门店-经销'!F11</f>
        <v>51181.8632717392</v>
      </c>
      <c r="G11" s="37">
        <f>'线下门店-直营'!G11+'线下门店-经销'!G11</f>
        <v>42883.763868</v>
      </c>
      <c r="H11" s="37">
        <f>'线下门店-直营'!H11+'线下门店-经销'!H11</f>
        <v>148151.147625</v>
      </c>
      <c r="I11" s="37">
        <f>'线下门店-直营'!I11+'线下门店-经销'!I11</f>
        <v>154059.144</v>
      </c>
      <c r="J11" s="37">
        <f>'线下门店-直营'!J11+'线下门店-经销'!J11</f>
        <v>158873.49225</v>
      </c>
      <c r="K11" s="37">
        <f>'线下门店-直营'!K11+'线下门店-经销'!K11</f>
        <v>151654.8639375</v>
      </c>
      <c r="L11" s="37">
        <f>'线下门店-直营'!L11+'线下门店-经销'!L11</f>
        <v>259975.79775</v>
      </c>
      <c r="M11" s="37">
        <f>'线下门店-直营'!M11+'线下门店-经销'!M11</f>
        <v>275274.5282</v>
      </c>
      <c r="N11" s="37">
        <f>'线下门店-直营'!N11+'线下门店-经销'!N11</f>
        <v>486949.940909091</v>
      </c>
      <c r="O11" s="37">
        <f t="shared" si="0"/>
        <v>1780637.23720916</v>
      </c>
      <c r="P11" s="37"/>
      <c r="Q11" s="6" t="s">
        <v>88</v>
      </c>
      <c r="R11" s="6"/>
      <c r="S11" s="6"/>
      <c r="T11" s="6"/>
    </row>
    <row r="12" ht="16.8" spans="1:20">
      <c r="A12" s="6"/>
      <c r="B12" s="17" t="s">
        <v>25</v>
      </c>
      <c r="C12" s="37">
        <f>'线下门店-直营'!C12+'线下门店-经销'!C12</f>
        <v>50978.9101656018</v>
      </c>
      <c r="D12" s="37">
        <f>'线下门店-直营'!D12+'线下门店-经销'!D12</f>
        <v>62825.4645266017</v>
      </c>
      <c r="E12" s="37">
        <f>'线下门店-直营'!E12+'线下门店-经销'!E12</f>
        <v>12000.5073354233</v>
      </c>
      <c r="F12" s="37">
        <f>'线下门店-直营'!F12+'线下门店-经销'!F12</f>
        <v>82253.8353133352</v>
      </c>
      <c r="G12" s="37">
        <f>'线下门店-直营'!G12+'线下门店-经销'!G12</f>
        <v>48649.2536346357</v>
      </c>
      <c r="H12" s="37">
        <f>'线下门店-直营'!H12+'线下门店-经销'!H12</f>
        <v>100595.322139342</v>
      </c>
      <c r="I12" s="37">
        <f>'线下门店-直营'!I12+'线下门店-经销'!I12</f>
        <v>71696.4835357894</v>
      </c>
      <c r="J12" s="37">
        <f>'线下门店-直营'!J12+'线下门店-经销'!J12</f>
        <v>76635.862215</v>
      </c>
      <c r="K12" s="37">
        <f>'线下门店-直营'!K12+'线下门店-经销'!K12</f>
        <v>69757.2238318421</v>
      </c>
      <c r="L12" s="37">
        <f>'线下门店-直营'!L12+'线下门店-经销'!L12</f>
        <v>100459.767916776</v>
      </c>
      <c r="M12" s="37">
        <f>'线下门店-直营'!M12+'线下门店-经销'!M12</f>
        <v>136403.037164947</v>
      </c>
      <c r="N12" s="37">
        <f>'线下门店-直营'!N12+'线下门店-经销'!N12</f>
        <v>237838.902875598</v>
      </c>
      <c r="O12" s="37">
        <f t="shared" si="0"/>
        <v>1050094.57065489</v>
      </c>
      <c r="P12" s="39"/>
      <c r="Q12" s="6" t="s">
        <v>83</v>
      </c>
      <c r="R12" s="20">
        <f>O12/$O$10</f>
        <v>0.04537181330396</v>
      </c>
      <c r="S12" s="6"/>
      <c r="T12" s="6"/>
    </row>
    <row r="13" ht="16.8" spans="1:20">
      <c r="A13" s="6"/>
      <c r="B13" s="17" t="s">
        <v>27</v>
      </c>
      <c r="C13" s="37">
        <f>'线下门店-直营'!C13+'线下门店-经销'!C13</f>
        <v>47010.5263157896</v>
      </c>
      <c r="D13" s="37">
        <f>'线下门店-直营'!D13+'线下门店-经销'!D13</f>
        <v>29210.5263157896</v>
      </c>
      <c r="E13" s="37">
        <f>'线下门店-直营'!E13+'线下门店-经销'!E13</f>
        <v>38384.2105263158</v>
      </c>
      <c r="F13" s="37">
        <f>'线下门店-直营'!F13+'线下门店-经销'!F13</f>
        <v>34952.6315789474</v>
      </c>
      <c r="G13" s="37">
        <f>'线下门店-直营'!G13+'线下门店-经销'!G13</f>
        <v>33115.7894736843</v>
      </c>
      <c r="H13" s="37">
        <f>'线下门店-直营'!H13+'线下门店-经销'!H13</f>
        <v>40642.105263158</v>
      </c>
      <c r="I13" s="37">
        <f>'线下门店-直营'!I13+'线下门店-经销'!I13</f>
        <v>34989.4736842106</v>
      </c>
      <c r="J13" s="37">
        <f>'线下门店-直营'!J13+'线下门店-经销'!J13</f>
        <v>37400</v>
      </c>
      <c r="K13" s="37">
        <f>'线下门店-直营'!K13+'线下门店-经销'!K13</f>
        <v>34042.105263158</v>
      </c>
      <c r="L13" s="37">
        <f>'线下门店-直营'!L13+'线下门店-经销'!L13</f>
        <v>49026.3157894737</v>
      </c>
      <c r="M13" s="37">
        <f>'线下门店-直营'!M13+'线下门店-经销'!M13</f>
        <v>64547.3684210528</v>
      </c>
      <c r="N13" s="37">
        <f>'线下门店-直营'!N13+'线下门店-经销'!N13</f>
        <v>66852.6315789474</v>
      </c>
      <c r="O13" s="37">
        <f t="shared" si="0"/>
        <v>510173.684210527</v>
      </c>
      <c r="P13" s="37"/>
      <c r="Q13" s="6" t="s">
        <v>83</v>
      </c>
      <c r="R13" s="20">
        <f>O13/$O$10</f>
        <v>0.0220432576259846</v>
      </c>
      <c r="S13" s="6"/>
      <c r="T13" s="6"/>
    </row>
    <row r="14" ht="16.8" spans="1:20">
      <c r="A14" s="6"/>
      <c r="B14" s="21" t="s">
        <v>28</v>
      </c>
      <c r="C14" s="40">
        <f>'线下门店-直营'!C14+'线下门店-经销'!C14</f>
        <v>113348.28232487</v>
      </c>
      <c r="D14" s="40">
        <f>'线下门店-直营'!D14+'线下门店-经销'!D14</f>
        <v>116910.582961957</v>
      </c>
      <c r="E14" s="40">
        <f>'线下门店-直营'!E14+'线下门店-经销'!E14</f>
        <v>61783.9752965217</v>
      </c>
      <c r="F14" s="40">
        <f>'线下门店-直营'!F14+'线下门店-经销'!F14</f>
        <v>168388.330164022</v>
      </c>
      <c r="G14" s="40">
        <f>'线下门店-直营'!G14+'线下门店-经销'!G14</f>
        <v>124648.80697632</v>
      </c>
      <c r="H14" s="40">
        <f>'线下门店-直营'!H14+'线下门店-经销'!H14</f>
        <v>289388.5750275</v>
      </c>
      <c r="I14" s="40">
        <f>'线下门店-直营'!I14+'线下门店-经销'!I14</f>
        <v>260745.10122</v>
      </c>
      <c r="J14" s="40">
        <f>'线下门店-直营'!J14+'线下门店-经销'!J14</f>
        <v>272909.354465</v>
      </c>
      <c r="K14" s="40">
        <f>'线下门店-直营'!K14+'线下门店-经销'!K14</f>
        <v>255454.1930325</v>
      </c>
      <c r="L14" s="40">
        <f>'线下门店-直营'!L14+'线下门店-经销'!L14</f>
        <v>409461.88145625</v>
      </c>
      <c r="M14" s="40">
        <f>'线下门店-直营'!M14+'线下门店-经销'!M14</f>
        <v>476224.933786</v>
      </c>
      <c r="N14" s="40">
        <f>'线下门店-直营'!N14+'线下门店-经销'!N14</f>
        <v>791641.475363637</v>
      </c>
      <c r="O14" s="40">
        <f t="shared" si="0"/>
        <v>3340905.49207458</v>
      </c>
      <c r="P14" s="40"/>
      <c r="Q14" s="6"/>
      <c r="R14" s="6"/>
      <c r="S14" s="6"/>
      <c r="T14" s="6"/>
    </row>
    <row r="15" ht="16.8" spans="1:20">
      <c r="A15" s="32"/>
      <c r="B15" s="12" t="s">
        <v>29</v>
      </c>
      <c r="C15" s="12">
        <f>'线下门店-直营'!C15+'线下门店-经销'!C15</f>
        <v>1033200</v>
      </c>
      <c r="D15" s="12">
        <f>'线下门店-直营'!D15+'线下门店-经销'!D15</f>
        <v>705000</v>
      </c>
      <c r="E15" s="12">
        <f>'线下门店-直营'!E15+'线下门店-经销'!E15</f>
        <v>894300</v>
      </c>
      <c r="F15" s="12">
        <f>'线下门店-直营'!F15+'线下门店-经销'!F15</f>
        <v>954100</v>
      </c>
      <c r="G15" s="12">
        <f>'线下门店-直营'!G15+'线下门店-经销'!G15</f>
        <v>959200</v>
      </c>
      <c r="H15" s="12">
        <f>'线下门店-直营'!H15+'线下门店-经销'!H15</f>
        <v>1582200</v>
      </c>
      <c r="I15" s="12">
        <f>'线下门店-直营'!I15+'线下门店-经销'!I15</f>
        <v>1624800</v>
      </c>
      <c r="J15" s="12">
        <f>'线下门店-直营'!J15+'线下门店-经销'!J15</f>
        <v>1700600</v>
      </c>
      <c r="K15" s="12">
        <f>'线下门店-直营'!K15+'线下门店-经销'!K15</f>
        <v>1591800</v>
      </c>
      <c r="L15" s="12">
        <f>'线下门店-直营'!L15+'线下门店-经销'!L15</f>
        <v>2551500</v>
      </c>
      <c r="M15" s="12">
        <f>'线下门店-直营'!M15+'线下门店-经销'!M15</f>
        <v>2906400</v>
      </c>
      <c r="N15" s="12">
        <f>'线下门店-直营'!N15+'线下门店-经销'!N15</f>
        <v>3300200</v>
      </c>
      <c r="O15" s="12">
        <f t="shared" si="0"/>
        <v>19803300</v>
      </c>
      <c r="P15" s="12"/>
      <c r="Q15" s="6"/>
      <c r="R15" s="6"/>
      <c r="S15" s="6"/>
      <c r="T15" s="6"/>
    </row>
    <row r="16" ht="16.8" spans="1:20">
      <c r="A16" s="32"/>
      <c r="B16" s="12" t="s">
        <v>30</v>
      </c>
      <c r="C16" s="12">
        <f>'线下门店-直营'!C16+'线下门店-经销'!C16</f>
        <v>914336.283185841</v>
      </c>
      <c r="D16" s="12">
        <f>'线下门店-直营'!D16+'线下门店-经销'!D16</f>
        <v>623893.805309735</v>
      </c>
      <c r="E16" s="12">
        <f>'线下门店-直营'!E16+'线下门店-经销'!E16</f>
        <v>791415.92920354</v>
      </c>
      <c r="F16" s="12">
        <f>'线下门店-直营'!F16+'线下门店-经销'!F16</f>
        <v>844336.283185841</v>
      </c>
      <c r="G16" s="12">
        <f>'线下门店-直营'!G16+'线下门店-经销'!G16</f>
        <v>848849.557522124</v>
      </c>
      <c r="H16" s="12">
        <f>'线下门店-直营'!H16+'线下门店-经销'!H16</f>
        <v>1400176.99115044</v>
      </c>
      <c r="I16" s="12">
        <f>'线下门店-直营'!I16+'线下门店-经销'!I16</f>
        <v>1437876.10619469</v>
      </c>
      <c r="J16" s="12">
        <f>'线下门店-直营'!J16+'线下门店-经销'!J16</f>
        <v>1504955.75221239</v>
      </c>
      <c r="K16" s="12">
        <f>'线下门店-直营'!K16+'线下门店-经销'!K16</f>
        <v>1408672.56637168</v>
      </c>
      <c r="L16" s="12">
        <f>'线下门店-直营'!L16+'线下门店-经销'!L16</f>
        <v>2257964.60176991</v>
      </c>
      <c r="M16" s="12">
        <f>'线下门店-直营'!M16+'线下门店-经销'!M16</f>
        <v>2572035.39823009</v>
      </c>
      <c r="N16" s="12">
        <f>'线下门店-直营'!N16+'线下门店-经销'!N16</f>
        <v>2920530.97345133</v>
      </c>
      <c r="O16" s="12">
        <f t="shared" si="0"/>
        <v>17525044.2477876</v>
      </c>
      <c r="P16" s="12"/>
      <c r="Q16" s="6"/>
      <c r="R16" s="6"/>
      <c r="S16" s="6"/>
      <c r="T16" s="6"/>
    </row>
    <row r="17" spans="1:20">
      <c r="A17" s="6"/>
      <c r="B17" s="6"/>
      <c r="C17" s="6">
        <f>'线下门店-直营'!C17+'线下门店-经销'!C17</f>
        <v>0</v>
      </c>
      <c r="D17" s="6">
        <f>'线下门店-直营'!D17+'线下门店-经销'!D17</f>
        <v>0</v>
      </c>
      <c r="E17" s="6">
        <f>'线下门店-直营'!E17+'线下门店-经销'!E17</f>
        <v>0</v>
      </c>
      <c r="F17" s="6">
        <f>'线下门店-直营'!F17+'线下门店-经销'!F17</f>
        <v>0</v>
      </c>
      <c r="G17" s="6">
        <f>'线下门店-直营'!G17+'线下门店-经销'!G17</f>
        <v>0</v>
      </c>
      <c r="H17" s="6">
        <f>'线下门店-直营'!H17+'线下门店-经销'!H17</f>
        <v>0</v>
      </c>
      <c r="I17" s="6">
        <f>'线下门店-直营'!I17+'线下门店-经销'!I17</f>
        <v>0</v>
      </c>
      <c r="J17" s="6">
        <f>'线下门店-直营'!J17+'线下门店-经销'!J17</f>
        <v>0</v>
      </c>
      <c r="K17" s="6">
        <f>'线下门店-直营'!K17+'线下门店-经销'!K17</f>
        <v>0</v>
      </c>
      <c r="L17" s="6">
        <f>'线下门店-直营'!L17+'线下门店-经销'!L17</f>
        <v>0</v>
      </c>
      <c r="M17" s="6">
        <f>'线下门店-直营'!M17+'线下门店-经销'!M17</f>
        <v>0</v>
      </c>
      <c r="N17" s="6">
        <f>'线下门店-直营'!N17+'线下门店-经销'!N17</f>
        <v>0</v>
      </c>
      <c r="O17" s="6"/>
      <c r="P17" s="6"/>
      <c r="Q17" s="6"/>
      <c r="R17" s="6"/>
      <c r="S17" s="6"/>
      <c r="T17" s="6"/>
    </row>
    <row r="18" ht="16.8" spans="1:20">
      <c r="A18" s="6"/>
      <c r="B18" s="17" t="s">
        <v>31</v>
      </c>
      <c r="C18" s="37">
        <f>'线下门店-直营'!C18+'线下门店-经销'!C18</f>
        <v>448024.778761062</v>
      </c>
      <c r="D18" s="37">
        <f>'线下门店-直营'!D18+'线下门店-经销'!D18</f>
        <v>299469.026548673</v>
      </c>
      <c r="E18" s="37">
        <f>'线下门店-直营'!E18+'线下门店-经销'!E18</f>
        <v>371965.486725664</v>
      </c>
      <c r="F18" s="37">
        <f>'线下门店-直营'!F18+'线下门店-经销'!F18</f>
        <v>388394.690265487</v>
      </c>
      <c r="G18" s="37">
        <f>'线下门店-直营'!G18+'线下门店-经销'!G18</f>
        <v>381982.300884956</v>
      </c>
      <c r="H18" s="37">
        <f>'线下门店-直营'!H18+'线下门店-经销'!H18</f>
        <v>616077.876106195</v>
      </c>
      <c r="I18" s="37">
        <f>'线下门店-直营'!I18+'线下门店-经销'!I18</f>
        <v>618286.725663717</v>
      </c>
      <c r="J18" s="37">
        <f>'线下门店-直营'!J18+'线下门店-经销'!J18</f>
        <v>617031.85840708</v>
      </c>
      <c r="K18" s="37">
        <f>'线下门店-直营'!K18+'线下门店-经销'!K18</f>
        <v>563469.026548673</v>
      </c>
      <c r="L18" s="37">
        <f>'线下门店-直营'!L18+'线下门店-经销'!L18</f>
        <v>880606.194690266</v>
      </c>
      <c r="M18" s="37">
        <f>'线下门店-直营'!M18+'线下门店-经销'!M18</f>
        <v>977373.451327434</v>
      </c>
      <c r="N18" s="37">
        <f>'线下门店-直营'!N18+'线下门店-经销'!N18</f>
        <v>1080596.46017699</v>
      </c>
      <c r="O18" s="37">
        <f>SUM(C18:N18)</f>
        <v>7243277.8761062</v>
      </c>
      <c r="P18" s="38">
        <f>O18/O16</f>
        <v>0.41331010488151</v>
      </c>
      <c r="Q18" s="6"/>
      <c r="R18" s="6"/>
      <c r="S18" s="6"/>
      <c r="T18" s="6"/>
    </row>
    <row r="19" ht="16.8" spans="1:20">
      <c r="A19" s="6"/>
      <c r="B19" s="21" t="s">
        <v>32</v>
      </c>
      <c r="C19" s="40">
        <f>'线下门店-直营'!C19+'线下门店-经销'!C19</f>
        <v>466311.504424779</v>
      </c>
      <c r="D19" s="40">
        <f>'线下门店-直营'!D19+'线下门店-经销'!D19</f>
        <v>324424.778761062</v>
      </c>
      <c r="E19" s="40">
        <f>'线下门店-直营'!E19+'线下门店-经销'!E19</f>
        <v>419450.442477876</v>
      </c>
      <c r="F19" s="40">
        <f>'线下门店-直营'!F19+'线下门店-经销'!F19</f>
        <v>455941.592920354</v>
      </c>
      <c r="G19" s="40">
        <f>'线下门店-直营'!G19+'线下门店-经销'!G19</f>
        <v>466867.256637168</v>
      </c>
      <c r="H19" s="40">
        <f>'线下门店-直营'!H19+'线下门店-经销'!H19</f>
        <v>784099.115044248</v>
      </c>
      <c r="I19" s="40">
        <f>'线下门店-直营'!I19+'线下门店-经销'!I19</f>
        <v>819589.380530973</v>
      </c>
      <c r="J19" s="40">
        <f>'线下门店-直营'!J19+'线下门店-经销'!J19</f>
        <v>887923.89380531</v>
      </c>
      <c r="K19" s="40">
        <f>'线下门店-直营'!K19+'线下门店-经销'!K19</f>
        <v>845203.539823009</v>
      </c>
      <c r="L19" s="40">
        <f>'线下门店-直营'!L19+'线下门店-经销'!L19</f>
        <v>1377358.40707965</v>
      </c>
      <c r="M19" s="40">
        <f>'线下门店-直营'!M19+'线下门店-经销'!M19</f>
        <v>1594661.94690266</v>
      </c>
      <c r="N19" s="40">
        <f>'线下门店-直营'!N19+'线下门店-经销'!N19</f>
        <v>1839934.51327434</v>
      </c>
      <c r="O19" s="40">
        <f>SUM(C19:N19)</f>
        <v>10281766.3716814</v>
      </c>
      <c r="P19" s="41">
        <f>O19/$O$16</f>
        <v>0.58668989511849</v>
      </c>
      <c r="Q19" s="6"/>
      <c r="R19" s="6"/>
      <c r="S19" s="6"/>
      <c r="T19" s="6"/>
    </row>
    <row r="20" ht="16.8" spans="1:20">
      <c r="A20" s="36"/>
      <c r="B20" s="4" t="s">
        <v>33</v>
      </c>
      <c r="C20" s="36">
        <f>'线下门店-直营'!C20+'线下门店-经销'!C20</f>
        <v>22858.407079646</v>
      </c>
      <c r="D20" s="36">
        <f>'线下门店-直营'!D20+'线下门店-经销'!D20</f>
        <v>15597.3451327434</v>
      </c>
      <c r="E20" s="36">
        <f>'线下门店-直营'!E20+'线下门店-经销'!E20</f>
        <v>19785.3982300885</v>
      </c>
      <c r="F20" s="36">
        <f>'线下门店-直营'!F20+'线下门店-经销'!F20</f>
        <v>21108.407079646</v>
      </c>
      <c r="G20" s="36">
        <f>'线下门店-直营'!G20+'线下门店-经销'!G20</f>
        <v>21221.2389380531</v>
      </c>
      <c r="H20" s="36">
        <f>'线下门店-直营'!H20+'线下门店-经销'!H20</f>
        <v>35004.4247787611</v>
      </c>
      <c r="I20" s="36">
        <f>'线下门店-直营'!I20+'线下门店-经销'!I20</f>
        <v>35946.9026548673</v>
      </c>
      <c r="J20" s="36">
        <f>'线下门店-直营'!J20+'线下门店-经销'!J20</f>
        <v>37623.8938053097</v>
      </c>
      <c r="K20" s="36">
        <f>'线下门店-直营'!K20+'线下门店-经销'!K20</f>
        <v>35216.814159292</v>
      </c>
      <c r="L20" s="36">
        <f>'线下门店-直营'!L20+'线下门店-经销'!L20</f>
        <v>56449.1150442478</v>
      </c>
      <c r="M20" s="36">
        <f>'线下门店-直营'!M20+'线下门店-经销'!M20</f>
        <v>64300.8849557522</v>
      </c>
      <c r="N20" s="36">
        <f>'线下门店-直营'!N20+'线下门店-经销'!N20</f>
        <v>73013.2743362832</v>
      </c>
      <c r="O20" s="36">
        <f>SUM(C20:N20)</f>
        <v>438126.10619469</v>
      </c>
      <c r="P20" s="42">
        <v>0.025</v>
      </c>
      <c r="Q20" s="6"/>
      <c r="R20" s="6"/>
      <c r="S20" s="6"/>
      <c r="T20" s="6"/>
    </row>
    <row r="21" ht="16.8" spans="1:20">
      <c r="A21" s="6"/>
      <c r="B21" s="21" t="s">
        <v>35</v>
      </c>
      <c r="C21" s="40">
        <f>'线下门店-直营'!C21+'线下门店-经销'!C21</f>
        <v>470883.185840708</v>
      </c>
      <c r="D21" s="40">
        <f>'线下门店-直营'!D21+'线下门店-经销'!D21</f>
        <v>315066.371681416</v>
      </c>
      <c r="E21" s="40">
        <f>'线下门店-直营'!E21+'线下门店-经销'!E21</f>
        <v>391750.884955752</v>
      </c>
      <c r="F21" s="40">
        <f>'线下门店-直营'!F21+'线下门店-经销'!F21</f>
        <v>409503.097345133</v>
      </c>
      <c r="G21" s="40">
        <f>'线下门店-直营'!G21+'线下门店-经销'!G21</f>
        <v>403203.539823009</v>
      </c>
      <c r="H21" s="40">
        <f>'线下门店-直营'!H21+'线下门店-经销'!H21</f>
        <v>651082.300884956</v>
      </c>
      <c r="I21" s="40">
        <f>'线下门店-直营'!I21+'线下门店-经销'!I21</f>
        <v>654233.628318584</v>
      </c>
      <c r="J21" s="40">
        <f>'线下门店-直营'!J21+'线下门店-经销'!J21</f>
        <v>654655.752212389</v>
      </c>
      <c r="K21" s="40">
        <f>'线下门店-直营'!K21+'线下门店-经销'!K21</f>
        <v>598685.840707965</v>
      </c>
      <c r="L21" s="40">
        <f>'线下门店-直营'!L21+'线下门店-经销'!L21</f>
        <v>937055.309734514</v>
      </c>
      <c r="M21" s="40">
        <f>'线下门店-直营'!M21+'线下门店-经销'!M21</f>
        <v>1041674.33628319</v>
      </c>
      <c r="N21" s="40">
        <f>'线下门店-直营'!N21+'线下门店-经销'!N21</f>
        <v>1153609.73451327</v>
      </c>
      <c r="O21" s="40">
        <f>SUM(C21:N21)</f>
        <v>7681403.98230089</v>
      </c>
      <c r="P21" s="41">
        <f>O21/$O$16</f>
        <v>0.43831010488151</v>
      </c>
      <c r="Q21" s="6"/>
      <c r="R21" s="6"/>
      <c r="S21" s="6"/>
      <c r="T21" s="6"/>
    </row>
    <row r="22" ht="16.8" spans="1:20">
      <c r="A22" s="32"/>
      <c r="B22" s="12" t="s">
        <v>36</v>
      </c>
      <c r="C22" s="12">
        <f>'线下门店-直营'!C22+'线下门店-经销'!C22</f>
        <v>443453.097345133</v>
      </c>
      <c r="D22" s="12">
        <f>'线下门店-直营'!D22+'线下门店-经销'!D22</f>
        <v>308827.433628319</v>
      </c>
      <c r="E22" s="12">
        <f>'线下门店-直营'!E22+'线下门店-经销'!E22</f>
        <v>399665.044247788</v>
      </c>
      <c r="F22" s="12">
        <f>'线下门店-直营'!F22+'线下门店-经销'!F22</f>
        <v>434833.185840708</v>
      </c>
      <c r="G22" s="12">
        <f>'线下门店-直营'!G22+'线下门店-经销'!G22</f>
        <v>445646.017699115</v>
      </c>
      <c r="H22" s="12">
        <f>'线下门店-直营'!H22+'线下门店-经销'!H22</f>
        <v>749094.690265487</v>
      </c>
      <c r="I22" s="12">
        <f>'线下门店-直营'!I22+'线下门店-经销'!I22</f>
        <v>783642.477876106</v>
      </c>
      <c r="J22" s="12">
        <f>'线下门店-直营'!J22+'线下门店-经销'!J22</f>
        <v>850300</v>
      </c>
      <c r="K22" s="12">
        <f>'线下门店-直营'!K22+'线下门店-经销'!K22</f>
        <v>809986.725663717</v>
      </c>
      <c r="L22" s="12">
        <f>'线下门店-直营'!L22+'线下门店-经销'!L22</f>
        <v>1320909.2920354</v>
      </c>
      <c r="M22" s="12">
        <f>'线下门店-直营'!M22+'线下门店-经销'!M22</f>
        <v>1530361.0619469</v>
      </c>
      <c r="N22" s="12">
        <f>'线下门店-直营'!N22+'线下门店-经销'!N22</f>
        <v>1766921.23893805</v>
      </c>
      <c r="O22" s="12">
        <f>SUM(C22:N22)</f>
        <v>9843640.26548673</v>
      </c>
      <c r="P22" s="43">
        <f>O22/$O$16</f>
        <v>0.56168989511849</v>
      </c>
      <c r="Q22" s="6"/>
      <c r="R22" s="6"/>
      <c r="S22" s="6"/>
      <c r="T22" s="6"/>
    </row>
    <row r="23" ht="16.8" spans="1:20">
      <c r="A23" s="6"/>
      <c r="B23" s="14" t="s">
        <v>37</v>
      </c>
      <c r="C23" s="44">
        <f t="shared" ref="C23:O23" si="1">C19/C16</f>
        <v>0.51</v>
      </c>
      <c r="D23" s="44">
        <f t="shared" si="1"/>
        <v>0.52</v>
      </c>
      <c r="E23" s="44">
        <f t="shared" si="1"/>
        <v>0.53</v>
      </c>
      <c r="F23" s="44">
        <f t="shared" si="1"/>
        <v>0.54</v>
      </c>
      <c r="G23" s="44">
        <f t="shared" si="1"/>
        <v>0.55</v>
      </c>
      <c r="H23" s="44">
        <f t="shared" si="1"/>
        <v>0.56</v>
      </c>
      <c r="I23" s="44">
        <f t="shared" si="1"/>
        <v>0.57</v>
      </c>
      <c r="J23" s="44">
        <f t="shared" si="1"/>
        <v>0.59</v>
      </c>
      <c r="K23" s="44">
        <f t="shared" si="1"/>
        <v>0.6</v>
      </c>
      <c r="L23" s="44">
        <f t="shared" si="1"/>
        <v>0.61</v>
      </c>
      <c r="M23" s="44">
        <f t="shared" si="1"/>
        <v>0.62</v>
      </c>
      <c r="N23" s="44">
        <f t="shared" si="1"/>
        <v>0.63</v>
      </c>
      <c r="O23" s="44">
        <f t="shared" si="1"/>
        <v>0.58668989511849</v>
      </c>
      <c r="P23" s="42"/>
      <c r="Q23" s="6"/>
      <c r="R23" s="6"/>
      <c r="S23" s="6"/>
      <c r="T23" s="6"/>
    </row>
    <row r="24" ht="16.8" spans="1:20">
      <c r="A24" s="6"/>
      <c r="B24" s="14" t="s">
        <v>38</v>
      </c>
      <c r="C24" s="44">
        <f t="shared" ref="C24:O24" si="2">IFERROR(1-C21/C16,0)</f>
        <v>0.485</v>
      </c>
      <c r="D24" s="44">
        <f t="shared" si="2"/>
        <v>0.495</v>
      </c>
      <c r="E24" s="44">
        <f t="shared" si="2"/>
        <v>0.505</v>
      </c>
      <c r="F24" s="44">
        <f t="shared" si="2"/>
        <v>0.515</v>
      </c>
      <c r="G24" s="44">
        <f t="shared" si="2"/>
        <v>0.525</v>
      </c>
      <c r="H24" s="44">
        <f t="shared" si="2"/>
        <v>0.535</v>
      </c>
      <c r="I24" s="44">
        <f t="shared" si="2"/>
        <v>0.545</v>
      </c>
      <c r="J24" s="44">
        <f t="shared" si="2"/>
        <v>0.565</v>
      </c>
      <c r="K24" s="44">
        <f t="shared" si="2"/>
        <v>0.575</v>
      </c>
      <c r="L24" s="44">
        <f t="shared" si="2"/>
        <v>0.585</v>
      </c>
      <c r="M24" s="44">
        <f t="shared" si="2"/>
        <v>0.595</v>
      </c>
      <c r="N24" s="44">
        <f t="shared" si="2"/>
        <v>0.605</v>
      </c>
      <c r="O24" s="44">
        <f t="shared" si="2"/>
        <v>0.56168989511849</v>
      </c>
      <c r="P24" s="42"/>
      <c r="Q24" s="6"/>
      <c r="R24" s="6"/>
      <c r="S24" s="6"/>
      <c r="T24" s="6"/>
    </row>
    <row r="25" ht="16.8" spans="1:20">
      <c r="A25" s="6"/>
      <c r="B25" s="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42"/>
      <c r="Q25" s="6"/>
      <c r="R25" s="6"/>
      <c r="S25" s="6"/>
      <c r="T25" s="6"/>
    </row>
    <row r="26" ht="16.8" spans="1:20">
      <c r="A26" s="6"/>
      <c r="B26" s="17" t="s">
        <v>39</v>
      </c>
      <c r="C26" s="37">
        <f>'线下门店-直营'!C26+'线下门店-经销'!C26</f>
        <v>0</v>
      </c>
      <c r="D26" s="37">
        <f>'线下门店-直营'!D26+'线下门店-经销'!D26</f>
        <v>0</v>
      </c>
      <c r="E26" s="37">
        <f>'线下门店-直营'!E26+'线下门店-经销'!E26</f>
        <v>0</v>
      </c>
      <c r="F26" s="37">
        <f>'线下门店-直营'!F26+'线下门店-经销'!F26</f>
        <v>0</v>
      </c>
      <c r="G26" s="37">
        <f>'线下门店-直营'!G26+'线下门店-经销'!G26</f>
        <v>0</v>
      </c>
      <c r="H26" s="37">
        <f>'线下门店-直营'!H26+'线下门店-经销'!H26</f>
        <v>0</v>
      </c>
      <c r="I26" s="37">
        <f>'线下门店-直营'!I26+'线下门店-经销'!I26</f>
        <v>0</v>
      </c>
      <c r="J26" s="37">
        <f>'线下门店-直营'!J26+'线下门店-经销'!J26</f>
        <v>0</v>
      </c>
      <c r="K26" s="37">
        <f>'线下门店-直营'!K26+'线下门店-经销'!K26</f>
        <v>0</v>
      </c>
      <c r="L26" s="37">
        <f>'线下门店-直营'!L26+'线下门店-经销'!L26</f>
        <v>0</v>
      </c>
      <c r="M26" s="37">
        <f>'线下门店-直营'!M26+'线下门店-经销'!M26</f>
        <v>0</v>
      </c>
      <c r="N26" s="37">
        <f>'线下门店-直营'!N26+'线下门店-经销'!N26</f>
        <v>0</v>
      </c>
      <c r="O26" s="37">
        <f t="shared" ref="O26:O31" si="3">SUM(C26:N26)</f>
        <v>0</v>
      </c>
      <c r="P26" s="38">
        <f t="shared" ref="P26:P31" si="4">O26/$O$16</f>
        <v>0</v>
      </c>
      <c r="Q26" s="6"/>
      <c r="R26" s="6"/>
      <c r="S26" s="6"/>
      <c r="T26" s="6"/>
    </row>
    <row r="27" ht="16.8" spans="1:20">
      <c r="A27" s="36"/>
      <c r="B27" s="4" t="s">
        <v>40</v>
      </c>
      <c r="C27" s="45">
        <f>'线下门店-直营'!C27+'线下门店-经销'!C27</f>
        <v>0</v>
      </c>
      <c r="D27" s="45">
        <f>'线下门店-直营'!D27+'线下门店-经销'!D27</f>
        <v>0</v>
      </c>
      <c r="E27" s="45">
        <f>'线下门店-直营'!E27+'线下门店-经销'!E27</f>
        <v>0</v>
      </c>
      <c r="F27" s="45">
        <f>'线下门店-直营'!F27+'线下门店-经销'!F27</f>
        <v>0</v>
      </c>
      <c r="G27" s="45">
        <f>'线下门店-直营'!G27+'线下门店-经销'!G27</f>
        <v>0</v>
      </c>
      <c r="H27" s="45">
        <f>'线下门店-直营'!H27+'线下门店-经销'!H27</f>
        <v>0</v>
      </c>
      <c r="I27" s="45">
        <f>'线下门店-直营'!I27+'线下门店-经销'!I27</f>
        <v>0</v>
      </c>
      <c r="J27" s="45">
        <f>'线下门店-直营'!J27+'线下门店-经销'!J27</f>
        <v>0</v>
      </c>
      <c r="K27" s="45">
        <f>'线下门店-直营'!K27+'线下门店-经销'!K27</f>
        <v>0</v>
      </c>
      <c r="L27" s="45">
        <f>'线下门店-直营'!L27+'线下门店-经销'!L27</f>
        <v>0</v>
      </c>
      <c r="M27" s="45">
        <f>'线下门店-直营'!M27+'线下门店-经销'!M27</f>
        <v>0</v>
      </c>
      <c r="N27" s="45">
        <f>'线下门店-直营'!N27+'线下门店-经销'!N27</f>
        <v>0</v>
      </c>
      <c r="O27" s="36">
        <f t="shared" si="3"/>
        <v>0</v>
      </c>
      <c r="P27" s="42">
        <f t="shared" si="4"/>
        <v>0</v>
      </c>
      <c r="Q27" s="4"/>
      <c r="R27" s="6"/>
      <c r="S27" s="6"/>
      <c r="T27" s="6"/>
    </row>
    <row r="28" ht="16.8" spans="1:20">
      <c r="A28" s="36"/>
      <c r="B28" s="4" t="s">
        <v>41</v>
      </c>
      <c r="C28" s="45">
        <f>'线下门店-直营'!C28+'线下门店-经销'!C28</f>
        <v>0</v>
      </c>
      <c r="D28" s="45">
        <f>'线下门店-直营'!D28+'线下门店-经销'!D28</f>
        <v>0</v>
      </c>
      <c r="E28" s="45">
        <f>'线下门店-直营'!E28+'线下门店-经销'!E28</f>
        <v>0</v>
      </c>
      <c r="F28" s="45">
        <f>'线下门店-直营'!F28+'线下门店-经销'!F28</f>
        <v>0</v>
      </c>
      <c r="G28" s="45">
        <f>'线下门店-直营'!G28+'线下门店-经销'!G28</f>
        <v>0</v>
      </c>
      <c r="H28" s="45">
        <f>'线下门店-直营'!H28+'线下门店-经销'!H28</f>
        <v>0</v>
      </c>
      <c r="I28" s="45">
        <f>'线下门店-直营'!I28+'线下门店-经销'!I28</f>
        <v>0</v>
      </c>
      <c r="J28" s="45">
        <f>'线下门店-直营'!J28+'线下门店-经销'!J28</f>
        <v>0</v>
      </c>
      <c r="K28" s="45">
        <f>'线下门店-直营'!K28+'线下门店-经销'!K28</f>
        <v>0</v>
      </c>
      <c r="L28" s="45">
        <f>'线下门店-直营'!L28+'线下门店-经销'!L28</f>
        <v>0</v>
      </c>
      <c r="M28" s="45">
        <f>'线下门店-直营'!M28+'线下门店-经销'!M28</f>
        <v>0</v>
      </c>
      <c r="N28" s="45">
        <f>'线下门店-直营'!N28+'线下门店-经销'!N28</f>
        <v>0</v>
      </c>
      <c r="O28" s="36">
        <f t="shared" si="3"/>
        <v>0</v>
      </c>
      <c r="P28" s="42">
        <f t="shared" si="4"/>
        <v>0</v>
      </c>
      <c r="Q28" s="4"/>
      <c r="R28" s="6"/>
      <c r="S28" s="6"/>
      <c r="T28" s="6"/>
    </row>
    <row r="29" ht="16.8" spans="1:20">
      <c r="A29" s="36"/>
      <c r="B29" s="4" t="s">
        <v>42</v>
      </c>
      <c r="C29" s="45">
        <f>'线下门店-直营'!C29+'线下门店-经销'!C29</f>
        <v>0</v>
      </c>
      <c r="D29" s="45">
        <f>'线下门店-直营'!D29+'线下门店-经销'!D29</f>
        <v>0</v>
      </c>
      <c r="E29" s="45">
        <f>'线下门店-直营'!E29+'线下门店-经销'!E29</f>
        <v>0</v>
      </c>
      <c r="F29" s="45">
        <f>'线下门店-直营'!F29+'线下门店-经销'!F29</f>
        <v>0</v>
      </c>
      <c r="G29" s="45">
        <f>'线下门店-直营'!G29+'线下门店-经销'!G29</f>
        <v>0</v>
      </c>
      <c r="H29" s="45">
        <f>'线下门店-直营'!H29+'线下门店-经销'!H29</f>
        <v>0</v>
      </c>
      <c r="I29" s="45">
        <f>'线下门店-直营'!I29+'线下门店-经销'!I29</f>
        <v>0</v>
      </c>
      <c r="J29" s="45">
        <f>'线下门店-直营'!J29+'线下门店-经销'!J29</f>
        <v>0</v>
      </c>
      <c r="K29" s="45">
        <f>'线下门店-直营'!K29+'线下门店-经销'!K29</f>
        <v>0</v>
      </c>
      <c r="L29" s="45">
        <f>'线下门店-直营'!L29+'线下门店-经销'!L29</f>
        <v>0</v>
      </c>
      <c r="M29" s="45">
        <f>'线下门店-直营'!M29+'线下门店-经销'!M29</f>
        <v>0</v>
      </c>
      <c r="N29" s="45">
        <f>'线下门店-直营'!N29+'线下门店-经销'!N29</f>
        <v>0</v>
      </c>
      <c r="O29" s="36">
        <f t="shared" si="3"/>
        <v>0</v>
      </c>
      <c r="P29" s="42">
        <f t="shared" si="4"/>
        <v>0</v>
      </c>
      <c r="Q29" s="6"/>
      <c r="R29" s="6"/>
      <c r="S29" s="6"/>
      <c r="T29" s="6"/>
    </row>
    <row r="30" ht="16.8" spans="1:20">
      <c r="A30" s="36"/>
      <c r="B30" s="4" t="s">
        <v>43</v>
      </c>
      <c r="C30" s="45">
        <f>'线下门店-直营'!C30+'线下门店-经销'!C30</f>
        <v>0</v>
      </c>
      <c r="D30" s="45">
        <f>'线下门店-直营'!D30+'线下门店-经销'!D30</f>
        <v>0</v>
      </c>
      <c r="E30" s="45">
        <f>'线下门店-直营'!E30+'线下门店-经销'!E30</f>
        <v>0</v>
      </c>
      <c r="F30" s="45">
        <f>'线下门店-直营'!F30+'线下门店-经销'!F30</f>
        <v>0</v>
      </c>
      <c r="G30" s="45">
        <f>'线下门店-直营'!G30+'线下门店-经销'!G30</f>
        <v>0</v>
      </c>
      <c r="H30" s="45">
        <f>'线下门店-直营'!H30+'线下门店-经销'!H30</f>
        <v>0</v>
      </c>
      <c r="I30" s="45">
        <f>'线下门店-直营'!I30+'线下门店-经销'!I30</f>
        <v>0</v>
      </c>
      <c r="J30" s="45">
        <f>'线下门店-直营'!J30+'线下门店-经销'!J30</f>
        <v>0</v>
      </c>
      <c r="K30" s="45">
        <f>'线下门店-直营'!K30+'线下门店-经销'!K30</f>
        <v>0</v>
      </c>
      <c r="L30" s="45">
        <f>'线下门店-直营'!L30+'线下门店-经销'!L30</f>
        <v>0</v>
      </c>
      <c r="M30" s="45">
        <f>'线下门店-直营'!M30+'线下门店-经销'!M30</f>
        <v>0</v>
      </c>
      <c r="N30" s="45">
        <f>'线下门店-直营'!N30+'线下门店-经销'!N30</f>
        <v>0</v>
      </c>
      <c r="O30" s="36">
        <f t="shared" si="3"/>
        <v>0</v>
      </c>
      <c r="P30" s="42">
        <f t="shared" si="4"/>
        <v>0</v>
      </c>
      <c r="Q30" s="6"/>
      <c r="R30" s="6"/>
      <c r="S30" s="6"/>
      <c r="T30" s="6"/>
    </row>
    <row r="31" ht="16.8" spans="1:20">
      <c r="A31" s="36"/>
      <c r="B31" s="4" t="s">
        <v>44</v>
      </c>
      <c r="C31" s="45">
        <f>'线下门店-直营'!C31+'线下门店-经销'!C31</f>
        <v>0</v>
      </c>
      <c r="D31" s="45">
        <f>'线下门店-直营'!D31+'线下门店-经销'!D31</f>
        <v>0</v>
      </c>
      <c r="E31" s="45">
        <f>'线下门店-直营'!E31+'线下门店-经销'!E31</f>
        <v>0</v>
      </c>
      <c r="F31" s="45">
        <f>'线下门店-直营'!F31+'线下门店-经销'!F31</f>
        <v>0</v>
      </c>
      <c r="G31" s="45">
        <f>'线下门店-直营'!G31+'线下门店-经销'!G31</f>
        <v>0</v>
      </c>
      <c r="H31" s="45">
        <f>'线下门店-直营'!H31+'线下门店-经销'!H31</f>
        <v>0</v>
      </c>
      <c r="I31" s="45">
        <f>'线下门店-直营'!I31+'线下门店-经销'!I31</f>
        <v>0</v>
      </c>
      <c r="J31" s="45">
        <f>'线下门店-直营'!J31+'线下门店-经销'!J31</f>
        <v>0</v>
      </c>
      <c r="K31" s="45">
        <f>'线下门店-直营'!K31+'线下门店-经销'!K31</f>
        <v>0</v>
      </c>
      <c r="L31" s="45">
        <f>'线下门店-直营'!L31+'线下门店-经销'!L31</f>
        <v>0</v>
      </c>
      <c r="M31" s="45">
        <f>'线下门店-直营'!M31+'线下门店-经销'!M31</f>
        <v>0</v>
      </c>
      <c r="N31" s="45">
        <f>'线下门店-直营'!N31+'线下门店-经销'!N31</f>
        <v>0</v>
      </c>
      <c r="O31" s="36">
        <f t="shared" si="3"/>
        <v>0</v>
      </c>
      <c r="P31" s="42">
        <f t="shared" si="4"/>
        <v>0</v>
      </c>
      <c r="Q31" s="6"/>
      <c r="R31" s="6"/>
      <c r="S31" s="6"/>
      <c r="T31" s="6"/>
    </row>
    <row r="32" ht="16.8" outlineLevel="1" spans="1:20">
      <c r="A32" s="36"/>
      <c r="B32" s="4" t="s">
        <v>45</v>
      </c>
      <c r="C32" s="36">
        <f>'线下门店-直营'!C32+'线下门店-经销'!C32</f>
        <v>0</v>
      </c>
      <c r="D32" s="36">
        <f>'线下门店-直营'!D32+'线下门店-经销'!D32</f>
        <v>0</v>
      </c>
      <c r="E32" s="36">
        <f>'线下门店-直营'!E32+'线下门店-经销'!E32</f>
        <v>0</v>
      </c>
      <c r="F32" s="36">
        <f>'线下门店-直营'!F32+'线下门店-经销'!F32</f>
        <v>0</v>
      </c>
      <c r="G32" s="36">
        <f>'线下门店-直营'!G32+'线下门店-经销'!G32</f>
        <v>0</v>
      </c>
      <c r="H32" s="36">
        <f>'线下门店-直营'!H32+'线下门店-经销'!H32</f>
        <v>0</v>
      </c>
      <c r="I32" s="36">
        <f>'线下门店-直营'!I32+'线下门店-经销'!I32</f>
        <v>0</v>
      </c>
      <c r="J32" s="36">
        <f>'线下门店-直营'!J32+'线下门店-经销'!J32</f>
        <v>0</v>
      </c>
      <c r="K32" s="36">
        <f>'线下门店-直营'!K32+'线下门店-经销'!K32</f>
        <v>0</v>
      </c>
      <c r="L32" s="36">
        <f>'线下门店-直营'!L32+'线下门店-经销'!L32</f>
        <v>0</v>
      </c>
      <c r="M32" s="36">
        <f>'线下门店-直营'!M32+'线下门店-经销'!M32</f>
        <v>0</v>
      </c>
      <c r="N32" s="36">
        <f>'线下门店-直营'!N32+'线下门店-经销'!N32</f>
        <v>0</v>
      </c>
      <c r="O32" s="36"/>
      <c r="P32" s="42"/>
      <c r="Q32" s="6"/>
      <c r="R32" s="6"/>
      <c r="S32" s="6"/>
      <c r="T32" s="6"/>
    </row>
    <row r="33" ht="16.8" outlineLevel="1" spans="1:20">
      <c r="A33" s="36"/>
      <c r="B33" s="4" t="s">
        <v>46</v>
      </c>
      <c r="C33" s="36">
        <f>'线下门店-直营'!C33+'线下门店-经销'!C33</f>
        <v>0</v>
      </c>
      <c r="D33" s="36">
        <f>'线下门店-直营'!D33+'线下门店-经销'!D33</f>
        <v>0</v>
      </c>
      <c r="E33" s="36">
        <f>'线下门店-直营'!E33+'线下门店-经销'!E33</f>
        <v>0</v>
      </c>
      <c r="F33" s="36">
        <f>'线下门店-直营'!F33+'线下门店-经销'!F33</f>
        <v>0</v>
      </c>
      <c r="G33" s="36">
        <f>'线下门店-直营'!G33+'线下门店-经销'!G33</f>
        <v>0</v>
      </c>
      <c r="H33" s="36">
        <f>'线下门店-直营'!H33+'线下门店-经销'!H33</f>
        <v>0</v>
      </c>
      <c r="I33" s="36">
        <f>'线下门店-直营'!I33+'线下门店-经销'!I33</f>
        <v>0</v>
      </c>
      <c r="J33" s="36">
        <f>'线下门店-直营'!J33+'线下门店-经销'!J33</f>
        <v>0</v>
      </c>
      <c r="K33" s="36">
        <f>'线下门店-直营'!K33+'线下门店-经销'!K33</f>
        <v>0</v>
      </c>
      <c r="L33" s="36">
        <f>'线下门店-直营'!L33+'线下门店-经销'!L33</f>
        <v>0</v>
      </c>
      <c r="M33" s="36">
        <f>'线下门店-直营'!M33+'线下门店-经销'!M33</f>
        <v>0</v>
      </c>
      <c r="N33" s="36">
        <f>'线下门店-直营'!N33+'线下门店-经销'!N33</f>
        <v>0</v>
      </c>
      <c r="O33" s="36"/>
      <c r="P33" s="42"/>
      <c r="Q33" s="6"/>
      <c r="R33" s="6"/>
      <c r="S33" s="6"/>
      <c r="T33" s="6"/>
    </row>
    <row r="34" ht="16.8" outlineLevel="1" spans="1:20">
      <c r="A34" s="36"/>
      <c r="B34" s="4" t="s">
        <v>47</v>
      </c>
      <c r="C34" s="36">
        <f>'线下门店-直营'!C34+'线下门店-经销'!C34</f>
        <v>0</v>
      </c>
      <c r="D34" s="36">
        <f>'线下门店-直营'!D34+'线下门店-经销'!D34</f>
        <v>0</v>
      </c>
      <c r="E34" s="36">
        <f>'线下门店-直营'!E34+'线下门店-经销'!E34</f>
        <v>0</v>
      </c>
      <c r="F34" s="36">
        <f>'线下门店-直营'!F34+'线下门店-经销'!F34</f>
        <v>0</v>
      </c>
      <c r="G34" s="36">
        <f>'线下门店-直营'!G34+'线下门店-经销'!G34</f>
        <v>0</v>
      </c>
      <c r="H34" s="36">
        <f>'线下门店-直营'!H34+'线下门店-经销'!H34</f>
        <v>0</v>
      </c>
      <c r="I34" s="36">
        <f>'线下门店-直营'!I34+'线下门店-经销'!I34</f>
        <v>0</v>
      </c>
      <c r="J34" s="36">
        <f>'线下门店-直营'!J34+'线下门店-经销'!J34</f>
        <v>0</v>
      </c>
      <c r="K34" s="36">
        <f>'线下门店-直营'!K34+'线下门店-经销'!K34</f>
        <v>0</v>
      </c>
      <c r="L34" s="36">
        <f>'线下门店-直营'!L34+'线下门店-经销'!L34</f>
        <v>0</v>
      </c>
      <c r="M34" s="36">
        <f>'线下门店-直营'!M34+'线下门店-经销'!M34</f>
        <v>0</v>
      </c>
      <c r="N34" s="36">
        <f>'线下门店-直营'!N34+'线下门店-经销'!N34</f>
        <v>0</v>
      </c>
      <c r="O34" s="36"/>
      <c r="P34" s="42"/>
      <c r="Q34" s="6"/>
      <c r="R34" s="6"/>
      <c r="S34" s="6"/>
      <c r="T34" s="6"/>
    </row>
    <row r="35" ht="16.8" outlineLevel="1" spans="1:20">
      <c r="A35" s="36"/>
      <c r="B35" s="4" t="s">
        <v>48</v>
      </c>
      <c r="C35" s="36">
        <f>'线下门店-直营'!C35+'线下门店-经销'!C35</f>
        <v>0</v>
      </c>
      <c r="D35" s="36">
        <f>'线下门店-直营'!D35+'线下门店-经销'!D35</f>
        <v>0</v>
      </c>
      <c r="E35" s="36">
        <f>'线下门店-直营'!E35+'线下门店-经销'!E35</f>
        <v>0</v>
      </c>
      <c r="F35" s="36">
        <f>'线下门店-直营'!F35+'线下门店-经销'!F35</f>
        <v>0</v>
      </c>
      <c r="G35" s="36">
        <f>'线下门店-直营'!G35+'线下门店-经销'!G35</f>
        <v>0</v>
      </c>
      <c r="H35" s="36">
        <f>'线下门店-直营'!H35+'线下门店-经销'!H35</f>
        <v>0</v>
      </c>
      <c r="I35" s="36">
        <f>'线下门店-直营'!I35+'线下门店-经销'!I35</f>
        <v>0</v>
      </c>
      <c r="J35" s="36">
        <f>'线下门店-直营'!J35+'线下门店-经销'!J35</f>
        <v>0</v>
      </c>
      <c r="K35" s="36">
        <f>'线下门店-直营'!K35+'线下门店-经销'!K35</f>
        <v>0</v>
      </c>
      <c r="L35" s="36">
        <f>'线下门店-直营'!L35+'线下门店-经销'!L35</f>
        <v>0</v>
      </c>
      <c r="M35" s="36">
        <f>'线下门店-直营'!M35+'线下门店-经销'!M35</f>
        <v>0</v>
      </c>
      <c r="N35" s="36">
        <f>'线下门店-直营'!N35+'线下门店-经销'!N35</f>
        <v>0</v>
      </c>
      <c r="O35" s="36"/>
      <c r="P35" s="42"/>
      <c r="Q35" s="6"/>
      <c r="R35" s="6"/>
      <c r="S35" s="6"/>
      <c r="T35" s="6"/>
    </row>
    <row r="36" ht="16.8" outlineLevel="1" spans="1:20">
      <c r="A36" s="36"/>
      <c r="B36" s="4" t="s">
        <v>49</v>
      </c>
      <c r="C36" s="46">
        <f>'线下门店-直营'!C36+'线下门店-经销'!C36</f>
        <v>0</v>
      </c>
      <c r="D36" s="46">
        <f>'线下门店-直营'!D36+'线下门店-经销'!D36</f>
        <v>0</v>
      </c>
      <c r="E36" s="46">
        <f>'线下门店-直营'!E36+'线下门店-经销'!E36</f>
        <v>0</v>
      </c>
      <c r="F36" s="46">
        <f>'线下门店-直营'!F36+'线下门店-经销'!F36</f>
        <v>0</v>
      </c>
      <c r="G36" s="46">
        <f>'线下门店-直营'!G36+'线下门店-经销'!G36</f>
        <v>0</v>
      </c>
      <c r="H36" s="46">
        <f>'线下门店-直营'!H36+'线下门店-经销'!H36</f>
        <v>0</v>
      </c>
      <c r="I36" s="46">
        <f>'线下门店-直营'!I36+'线下门店-经销'!I36</f>
        <v>0</v>
      </c>
      <c r="J36" s="46">
        <f>'线下门店-直营'!J36+'线下门店-经销'!J36</f>
        <v>0</v>
      </c>
      <c r="K36" s="46">
        <f>'线下门店-直营'!K36+'线下门店-经销'!K36</f>
        <v>0</v>
      </c>
      <c r="L36" s="46">
        <f>'线下门店-直营'!L36+'线下门店-经销'!L36</f>
        <v>0</v>
      </c>
      <c r="M36" s="46">
        <f>'线下门店-直营'!M36+'线下门店-经销'!M36</f>
        <v>0</v>
      </c>
      <c r="N36" s="46">
        <f>'线下门店-直营'!N36+'线下门店-经销'!N36</f>
        <v>0</v>
      </c>
      <c r="O36" s="36"/>
      <c r="P36" s="42"/>
      <c r="Q36" s="6"/>
      <c r="R36" s="6"/>
      <c r="S36" s="6"/>
      <c r="T36" s="6"/>
    </row>
    <row r="37" ht="16.8" spans="1:20">
      <c r="A37" s="6"/>
      <c r="B37" s="17" t="s">
        <v>50</v>
      </c>
      <c r="C37" s="37">
        <f>'线下门店-直营'!C37+'线下门店-经销'!C37</f>
        <v>0</v>
      </c>
      <c r="D37" s="37">
        <f>'线下门店-直营'!D37+'线下门店-经销'!D37</f>
        <v>0</v>
      </c>
      <c r="E37" s="37">
        <f>'线下门店-直营'!E37+'线下门店-经销'!E37</f>
        <v>0</v>
      </c>
      <c r="F37" s="37">
        <f>'线下门店-直营'!F37+'线下门店-经销'!F37</f>
        <v>0</v>
      </c>
      <c r="G37" s="37">
        <f>'线下门店-直营'!G37+'线下门店-经销'!G37</f>
        <v>0</v>
      </c>
      <c r="H37" s="37">
        <f>'线下门店-直营'!H37+'线下门店-经销'!H37</f>
        <v>0</v>
      </c>
      <c r="I37" s="37">
        <f>'线下门店-直营'!I37+'线下门店-经销'!I37</f>
        <v>0</v>
      </c>
      <c r="J37" s="37">
        <f>'线下门店-直营'!J37+'线下门店-经销'!J37</f>
        <v>0</v>
      </c>
      <c r="K37" s="37">
        <f>'线下门店-直营'!K37+'线下门店-经销'!K37</f>
        <v>0</v>
      </c>
      <c r="L37" s="37">
        <f>'线下门店-直营'!L37+'线下门店-经销'!L37</f>
        <v>0</v>
      </c>
      <c r="M37" s="37">
        <f>'线下门店-直营'!M37+'线下门店-经销'!M37</f>
        <v>0</v>
      </c>
      <c r="N37" s="37">
        <f>'线下门店-直营'!N37+'线下门店-经销'!N37</f>
        <v>0</v>
      </c>
      <c r="O37" s="37">
        <f>SUM(C37:N37)</f>
        <v>0</v>
      </c>
      <c r="P37" s="38">
        <f>O37/$O$16</f>
        <v>0</v>
      </c>
      <c r="Q37" s="6"/>
      <c r="R37" s="6"/>
      <c r="S37" s="6"/>
      <c r="T37" s="6"/>
    </row>
    <row r="38" ht="16.8" spans="1:20">
      <c r="A38" s="36"/>
      <c r="B38" s="4" t="s">
        <v>51</v>
      </c>
      <c r="C38" s="47">
        <f>'线下门店-直营'!C38+'线下门店-经销'!C38</f>
        <v>0</v>
      </c>
      <c r="D38" s="47">
        <f>'线下门店-直营'!D38+'线下门店-经销'!D38</f>
        <v>0</v>
      </c>
      <c r="E38" s="47">
        <f>'线下门店-直营'!E38+'线下门店-经销'!E38</f>
        <v>0</v>
      </c>
      <c r="F38" s="47">
        <f>'线下门店-直营'!F38+'线下门店-经销'!F38</f>
        <v>0</v>
      </c>
      <c r="G38" s="47">
        <f>'线下门店-直营'!G38+'线下门店-经销'!G38</f>
        <v>0</v>
      </c>
      <c r="H38" s="47">
        <f>'线下门店-直营'!H38+'线下门店-经销'!H38</f>
        <v>0</v>
      </c>
      <c r="I38" s="47">
        <f>'线下门店-直营'!I38+'线下门店-经销'!I38</f>
        <v>0</v>
      </c>
      <c r="J38" s="47">
        <f>'线下门店-直营'!J38+'线下门店-经销'!J38</f>
        <v>0</v>
      </c>
      <c r="K38" s="47">
        <f>'线下门店-直营'!K38+'线下门店-经销'!K38</f>
        <v>0</v>
      </c>
      <c r="L38" s="47">
        <f>'线下门店-直营'!L38+'线下门店-经销'!L38</f>
        <v>0</v>
      </c>
      <c r="M38" s="47">
        <f>'线下门店-直营'!M38+'线下门店-经销'!M38</f>
        <v>0</v>
      </c>
      <c r="N38" s="47">
        <f>'线下门店-直营'!N38+'线下门店-经销'!N38</f>
        <v>0</v>
      </c>
      <c r="O38" s="36">
        <f>SUM(C38:N38)</f>
        <v>0</v>
      </c>
      <c r="P38" s="42">
        <f>O38/$O$16</f>
        <v>0</v>
      </c>
      <c r="Q38" s="6" t="s">
        <v>91</v>
      </c>
      <c r="R38" s="6"/>
      <c r="S38" s="6"/>
      <c r="T38" s="6"/>
    </row>
    <row r="39" ht="16.8" spans="1:20">
      <c r="A39" s="36"/>
      <c r="B39" s="4" t="s">
        <v>53</v>
      </c>
      <c r="C39" s="47">
        <f>'线下门店-直营'!C39+'线下门店-经销'!C39</f>
        <v>0</v>
      </c>
      <c r="D39" s="47">
        <f>'线下门店-直营'!D39+'线下门店-经销'!D39</f>
        <v>0</v>
      </c>
      <c r="E39" s="47">
        <f>'线下门店-直营'!E39+'线下门店-经销'!E39</f>
        <v>0</v>
      </c>
      <c r="F39" s="47">
        <f>'线下门店-直营'!F39+'线下门店-经销'!F39</f>
        <v>0</v>
      </c>
      <c r="G39" s="47">
        <f>'线下门店-直营'!G39+'线下门店-经销'!G39</f>
        <v>0</v>
      </c>
      <c r="H39" s="47">
        <f>'线下门店-直营'!H39+'线下门店-经销'!H39</f>
        <v>0</v>
      </c>
      <c r="I39" s="47">
        <f>'线下门店-直营'!I39+'线下门店-经销'!I39</f>
        <v>0</v>
      </c>
      <c r="J39" s="47">
        <f>'线下门店-直营'!J39+'线下门店-经销'!J39</f>
        <v>0</v>
      </c>
      <c r="K39" s="47">
        <f>'线下门店-直营'!K39+'线下门店-经销'!K39</f>
        <v>0</v>
      </c>
      <c r="L39" s="47">
        <f>'线下门店-直营'!L39+'线下门店-经销'!L39</f>
        <v>0</v>
      </c>
      <c r="M39" s="47">
        <f>'线下门店-直营'!M39+'线下门店-经销'!M39</f>
        <v>0</v>
      </c>
      <c r="N39" s="47">
        <f>'线下门店-直营'!N39+'线下门店-经销'!N39</f>
        <v>0</v>
      </c>
      <c r="O39" s="36">
        <f>SUM(C39:N39)</f>
        <v>0</v>
      </c>
      <c r="P39" s="42">
        <f>O39/$O$16</f>
        <v>0</v>
      </c>
      <c r="Q39" s="6" t="s">
        <v>91</v>
      </c>
      <c r="R39" s="6"/>
      <c r="S39" s="6"/>
      <c r="T39" s="6"/>
    </row>
    <row r="40" ht="16.8" spans="1:20">
      <c r="A40" s="36"/>
      <c r="B40" s="4" t="s">
        <v>55</v>
      </c>
      <c r="C40" s="47">
        <f>'线下门店-直营'!C40+'线下门店-经销'!C40</f>
        <v>0</v>
      </c>
      <c r="D40" s="47">
        <f>'线下门店-直营'!D40+'线下门店-经销'!D40</f>
        <v>0</v>
      </c>
      <c r="E40" s="47">
        <f>'线下门店-直营'!E40+'线下门店-经销'!E40</f>
        <v>0</v>
      </c>
      <c r="F40" s="47">
        <f>'线下门店-直营'!F40+'线下门店-经销'!F40</f>
        <v>0</v>
      </c>
      <c r="G40" s="47">
        <f>'线下门店-直营'!G40+'线下门店-经销'!G40</f>
        <v>0</v>
      </c>
      <c r="H40" s="47">
        <f>'线下门店-直营'!H40+'线下门店-经销'!H40</f>
        <v>0</v>
      </c>
      <c r="I40" s="47">
        <f>'线下门店-直营'!I40+'线下门店-经销'!I40</f>
        <v>0</v>
      </c>
      <c r="J40" s="47">
        <f>'线下门店-直营'!J40+'线下门店-经销'!J40</f>
        <v>0</v>
      </c>
      <c r="K40" s="47">
        <f>'线下门店-直营'!K40+'线下门店-经销'!K40</f>
        <v>0</v>
      </c>
      <c r="L40" s="47">
        <f>'线下门店-直营'!L40+'线下门店-经销'!L40</f>
        <v>0</v>
      </c>
      <c r="M40" s="47">
        <f>'线下门店-直营'!M40+'线下门店-经销'!M40</f>
        <v>0</v>
      </c>
      <c r="N40" s="47">
        <f>'线下门店-直营'!N40+'线下门店-经销'!N40</f>
        <v>0</v>
      </c>
      <c r="O40" s="36">
        <f>SUM(C40:N40)</f>
        <v>0</v>
      </c>
      <c r="P40" s="42">
        <f>O40/$O$16</f>
        <v>0</v>
      </c>
      <c r="Q40" s="6" t="s">
        <v>91</v>
      </c>
      <c r="R40" s="6"/>
      <c r="S40" s="6"/>
      <c r="T40" s="6"/>
    </row>
    <row r="41" ht="16.8" outlineLevel="1" spans="1:20">
      <c r="A41" s="36"/>
      <c r="B41" s="4" t="s">
        <v>57</v>
      </c>
      <c r="C41" s="46">
        <f>'线下门店-直营'!C41+'线下门店-经销'!C41</f>
        <v>0</v>
      </c>
      <c r="D41" s="46">
        <f>'线下门店-直营'!D41+'线下门店-经销'!D41</f>
        <v>0</v>
      </c>
      <c r="E41" s="46">
        <f>'线下门店-直营'!E41+'线下门店-经销'!E41</f>
        <v>0</v>
      </c>
      <c r="F41" s="46">
        <f>'线下门店-直营'!F41+'线下门店-经销'!F41</f>
        <v>0</v>
      </c>
      <c r="G41" s="46">
        <f>'线下门店-直营'!G41+'线下门店-经销'!G41</f>
        <v>0</v>
      </c>
      <c r="H41" s="46">
        <f>'线下门店-直营'!H41+'线下门店-经销'!H41</f>
        <v>0</v>
      </c>
      <c r="I41" s="46">
        <f>'线下门店-直营'!I41+'线下门店-经销'!I41</f>
        <v>0</v>
      </c>
      <c r="J41" s="46">
        <f>'线下门店-直营'!J41+'线下门店-经销'!J41</f>
        <v>0</v>
      </c>
      <c r="K41" s="46">
        <f>'线下门店-直营'!K41+'线下门店-经销'!K41</f>
        <v>0</v>
      </c>
      <c r="L41" s="46">
        <f>'线下门店-直营'!L41+'线下门店-经销'!L41</f>
        <v>0</v>
      </c>
      <c r="M41" s="46">
        <f>'线下门店-直营'!M41+'线下门店-经销'!M41</f>
        <v>0</v>
      </c>
      <c r="N41" s="46">
        <f>'线下门店-直营'!N41+'线下门店-经销'!N41</f>
        <v>0</v>
      </c>
      <c r="O41" s="42">
        <f>O38/$O$16</f>
        <v>0</v>
      </c>
      <c r="P41" s="6"/>
      <c r="Q41" s="6" t="s">
        <v>91</v>
      </c>
      <c r="R41" s="6"/>
      <c r="S41" s="6"/>
      <c r="T41" s="6"/>
    </row>
    <row r="42" ht="16.8" outlineLevel="1" spans="1:20">
      <c r="A42" s="36"/>
      <c r="B42" s="4" t="s">
        <v>58</v>
      </c>
      <c r="C42" s="46">
        <f>'线下门店-直营'!C42+'线下门店-经销'!C42</f>
        <v>0</v>
      </c>
      <c r="D42" s="46">
        <f>'线下门店-直营'!D42+'线下门店-经销'!D42</f>
        <v>0</v>
      </c>
      <c r="E42" s="46">
        <f>'线下门店-直营'!E42+'线下门店-经销'!E42</f>
        <v>0</v>
      </c>
      <c r="F42" s="46">
        <f>'线下门店-直营'!F42+'线下门店-经销'!F42</f>
        <v>0</v>
      </c>
      <c r="G42" s="46">
        <f>'线下门店-直营'!G42+'线下门店-经销'!G42</f>
        <v>0</v>
      </c>
      <c r="H42" s="46">
        <f>'线下门店-直营'!H42+'线下门店-经销'!H42</f>
        <v>0</v>
      </c>
      <c r="I42" s="46">
        <f>'线下门店-直营'!I42+'线下门店-经销'!I42</f>
        <v>0</v>
      </c>
      <c r="J42" s="46">
        <f>'线下门店-直营'!J42+'线下门店-经销'!J42</f>
        <v>0</v>
      </c>
      <c r="K42" s="46">
        <f>'线下门店-直营'!K42+'线下门店-经销'!K42</f>
        <v>0</v>
      </c>
      <c r="L42" s="46">
        <f>'线下门店-直营'!L42+'线下门店-经销'!L42</f>
        <v>0</v>
      </c>
      <c r="M42" s="46">
        <f>'线下门店-直营'!M42+'线下门店-经销'!M42</f>
        <v>0</v>
      </c>
      <c r="N42" s="46">
        <f>'线下门店-直营'!N42+'线下门店-经销'!N42</f>
        <v>0</v>
      </c>
      <c r="O42" s="42">
        <f>O39/$O$16</f>
        <v>0</v>
      </c>
      <c r="P42" s="6"/>
      <c r="Q42" s="6" t="s">
        <v>91</v>
      </c>
      <c r="R42" s="6"/>
      <c r="S42" s="6"/>
      <c r="T42" s="6"/>
    </row>
    <row r="43" ht="16.8" outlineLevel="1" spans="1:20">
      <c r="A43" s="36"/>
      <c r="B43" s="4" t="s">
        <v>59</v>
      </c>
      <c r="C43" s="46">
        <f>'线下门店-直营'!C43+'线下门店-经销'!C43</f>
        <v>0</v>
      </c>
      <c r="D43" s="46">
        <f>'线下门店-直营'!D43+'线下门店-经销'!D43</f>
        <v>0</v>
      </c>
      <c r="E43" s="46">
        <f>'线下门店-直营'!E43+'线下门店-经销'!E43</f>
        <v>0</v>
      </c>
      <c r="F43" s="46">
        <f>'线下门店-直营'!F43+'线下门店-经销'!F43</f>
        <v>0</v>
      </c>
      <c r="G43" s="46">
        <f>'线下门店-直营'!G43+'线下门店-经销'!G43</f>
        <v>0</v>
      </c>
      <c r="H43" s="46">
        <f>'线下门店-直营'!H43+'线下门店-经销'!H43</f>
        <v>0</v>
      </c>
      <c r="I43" s="46">
        <f>'线下门店-直营'!I43+'线下门店-经销'!I43</f>
        <v>0</v>
      </c>
      <c r="J43" s="46">
        <f>'线下门店-直营'!J43+'线下门店-经销'!J43</f>
        <v>0</v>
      </c>
      <c r="K43" s="46">
        <f>'线下门店-直营'!K43+'线下门店-经销'!K43</f>
        <v>0</v>
      </c>
      <c r="L43" s="46">
        <f>'线下门店-直营'!L43+'线下门店-经销'!L43</f>
        <v>0</v>
      </c>
      <c r="M43" s="46">
        <f>'线下门店-直营'!M43+'线下门店-经销'!M43</f>
        <v>0</v>
      </c>
      <c r="N43" s="46">
        <f>'线下门店-直营'!N43+'线下门店-经销'!N43</f>
        <v>0</v>
      </c>
      <c r="O43" s="42">
        <f>O40/$O$16</f>
        <v>0</v>
      </c>
      <c r="P43" s="6"/>
      <c r="Q43" s="6" t="s">
        <v>91</v>
      </c>
      <c r="R43" s="6"/>
      <c r="S43" s="6"/>
      <c r="T43" s="6"/>
    </row>
    <row r="44" ht="16.8" spans="1:20">
      <c r="A44" s="6"/>
      <c r="B44" s="17" t="s">
        <v>60</v>
      </c>
      <c r="C44" s="37">
        <f>'线下门店-直营'!C44+'线下门店-经销'!C44</f>
        <v>18286.7256637168</v>
      </c>
      <c r="D44" s="37">
        <f>'线下门店-直营'!D44+'线下门店-经销'!D44</f>
        <v>12477.8761061947</v>
      </c>
      <c r="E44" s="37">
        <f>'线下门店-直营'!E44+'线下门店-经销'!E44</f>
        <v>15828.3185840708</v>
      </c>
      <c r="F44" s="37">
        <f>'线下门店-直营'!F44+'线下门店-经销'!F44</f>
        <v>16886.7256637168</v>
      </c>
      <c r="G44" s="37">
        <f>'线下门店-直营'!G44+'线下门店-经销'!G44</f>
        <v>16976.9911504425</v>
      </c>
      <c r="H44" s="37">
        <f>'线下门店-直营'!H44+'线下门店-经销'!H44</f>
        <v>28003.5398230089</v>
      </c>
      <c r="I44" s="37">
        <f>'线下门店-直营'!I44+'线下门店-经销'!I44</f>
        <v>28757.5221238938</v>
      </c>
      <c r="J44" s="37">
        <f>'线下门店-直营'!J44+'线下门店-经销'!J44</f>
        <v>30099.1150442478</v>
      </c>
      <c r="K44" s="37">
        <f>'线下门店-直营'!K44+'线下门店-经销'!K44</f>
        <v>28173.4513274336</v>
      </c>
      <c r="L44" s="37">
        <f>'线下门店-直营'!L44+'线下门店-经销'!L44</f>
        <v>45159.2920353982</v>
      </c>
      <c r="M44" s="37">
        <f>'线下门店-直营'!M44+'线下门店-经销'!M44</f>
        <v>51440.7079646018</v>
      </c>
      <c r="N44" s="37">
        <f>'线下门店-直营'!N44+'线下门店-经销'!N44</f>
        <v>58410.6194690266</v>
      </c>
      <c r="O44" s="37">
        <f t="shared" ref="O44:O60" si="5">SUM(C44:N44)</f>
        <v>350500.884955752</v>
      </c>
      <c r="P44" s="38">
        <f>O44/$O$16</f>
        <v>0.02</v>
      </c>
      <c r="Q44" s="6"/>
      <c r="R44" s="6"/>
      <c r="S44" s="6"/>
      <c r="T44" s="6"/>
    </row>
    <row r="45" ht="16.8" spans="1:20">
      <c r="A45" s="36"/>
      <c r="B45" s="4" t="s">
        <v>61</v>
      </c>
      <c r="C45" s="45">
        <f>'线下门店-直营'!C45+'线下门店-经销'!C45</f>
        <v>0</v>
      </c>
      <c r="D45" s="45">
        <f>'线下门店-直营'!D45+'线下门店-经销'!D45</f>
        <v>0</v>
      </c>
      <c r="E45" s="45">
        <f>'线下门店-直营'!E45+'线下门店-经销'!E45</f>
        <v>0</v>
      </c>
      <c r="F45" s="45">
        <f>'线下门店-直营'!F45+'线下门店-经销'!F45</f>
        <v>0</v>
      </c>
      <c r="G45" s="45">
        <f>'线下门店-直营'!G45+'线下门店-经销'!G45</f>
        <v>0</v>
      </c>
      <c r="H45" s="45">
        <f>'线下门店-直营'!H45+'线下门店-经销'!H45</f>
        <v>0</v>
      </c>
      <c r="I45" s="45">
        <f>'线下门店-直营'!I45+'线下门店-经销'!I45</f>
        <v>0</v>
      </c>
      <c r="J45" s="45">
        <f>'线下门店-直营'!J45+'线下门店-经销'!J45</f>
        <v>0</v>
      </c>
      <c r="K45" s="45">
        <f>'线下门店-直营'!K45+'线下门店-经销'!K45</f>
        <v>0</v>
      </c>
      <c r="L45" s="45">
        <f>'线下门店-直营'!L45+'线下门店-经销'!L45</f>
        <v>0</v>
      </c>
      <c r="M45" s="45">
        <f>'线下门店-直营'!M45+'线下门店-经销'!M45</f>
        <v>0</v>
      </c>
      <c r="N45" s="45">
        <f>'线下门店-直营'!N45+'线下门店-经销'!N45</f>
        <v>0</v>
      </c>
      <c r="O45" s="36">
        <f t="shared" si="5"/>
        <v>0</v>
      </c>
      <c r="P45" s="42">
        <v>0.01</v>
      </c>
      <c r="Q45" s="6" t="s">
        <v>92</v>
      </c>
      <c r="R45" s="6"/>
      <c r="S45" s="6"/>
      <c r="T45" s="6"/>
    </row>
    <row r="46" ht="16.8" spans="1:20">
      <c r="A46" s="36"/>
      <c r="B46" s="4" t="s">
        <v>63</v>
      </c>
      <c r="C46" s="45">
        <f>'线下门店-直营'!C46+'线下门店-经销'!C46</f>
        <v>18286.7256637168</v>
      </c>
      <c r="D46" s="45">
        <f>'线下门店-直营'!D46+'线下门店-经销'!D46</f>
        <v>12477.8761061947</v>
      </c>
      <c r="E46" s="45">
        <f>'线下门店-直营'!E46+'线下门店-经销'!E46</f>
        <v>15828.3185840708</v>
      </c>
      <c r="F46" s="45">
        <f>'线下门店-直营'!F46+'线下门店-经销'!F46</f>
        <v>16886.7256637168</v>
      </c>
      <c r="G46" s="45">
        <f>'线下门店-直营'!G46+'线下门店-经销'!G46</f>
        <v>16976.9911504425</v>
      </c>
      <c r="H46" s="45">
        <f>'线下门店-直营'!H46+'线下门店-经销'!H46</f>
        <v>28003.5398230089</v>
      </c>
      <c r="I46" s="45">
        <f>'线下门店-直营'!I46+'线下门店-经销'!I46</f>
        <v>28757.5221238938</v>
      </c>
      <c r="J46" s="45">
        <f>'线下门店-直营'!J46+'线下门店-经销'!J46</f>
        <v>30099.1150442478</v>
      </c>
      <c r="K46" s="45">
        <f>'线下门店-直营'!K46+'线下门店-经销'!K46</f>
        <v>28173.4513274336</v>
      </c>
      <c r="L46" s="45">
        <f>'线下门店-直营'!L46+'线下门店-经销'!L46</f>
        <v>45159.2920353982</v>
      </c>
      <c r="M46" s="45">
        <f>'线下门店-直营'!M46+'线下门店-经销'!M46</f>
        <v>51440.7079646018</v>
      </c>
      <c r="N46" s="45">
        <f>'线下门店-直营'!N46+'线下门店-经销'!N46</f>
        <v>58410.6194690266</v>
      </c>
      <c r="O46" s="36">
        <f t="shared" si="5"/>
        <v>350500.884955752</v>
      </c>
      <c r="P46" s="42">
        <v>0.02</v>
      </c>
      <c r="Q46" s="4" t="s">
        <v>83</v>
      </c>
      <c r="R46" s="6"/>
      <c r="S46" s="6"/>
      <c r="T46" s="6"/>
    </row>
    <row r="47" ht="16.8" spans="1:20">
      <c r="A47" s="6"/>
      <c r="B47" s="17" t="s">
        <v>65</v>
      </c>
      <c r="C47" s="37">
        <f>'线下门店-直营'!C47+'线下门店-经销'!C47</f>
        <v>460446.892853273</v>
      </c>
      <c r="D47" s="37">
        <f>'线下门店-直营'!D47+'线下门店-经销'!D47</f>
        <v>423859.163978578</v>
      </c>
      <c r="E47" s="37">
        <f>'线下门店-直营'!E47+'线下门店-经销'!E47</f>
        <v>473632.406823805</v>
      </c>
      <c r="F47" s="37">
        <f>'线下门店-直营'!F47+'线下门店-经销'!F47</f>
        <v>513482.435208209</v>
      </c>
      <c r="G47" s="37">
        <f>'线下门店-直营'!G47+'线下门店-经销'!G47</f>
        <v>440022.829176432</v>
      </c>
      <c r="H47" s="37">
        <f>'线下门店-直营'!H47+'线下门店-经销'!H47</f>
        <v>711870.565093347</v>
      </c>
      <c r="I47" s="37">
        <f>'线下门店-直营'!I47+'线下门店-经销'!I47</f>
        <v>739347.817763654</v>
      </c>
      <c r="J47" s="37">
        <f>'线下门店-直营'!J47+'线下门店-经销'!J47</f>
        <v>713236.65714333</v>
      </c>
      <c r="K47" s="37">
        <f>'线下门店-直营'!K47+'线下门店-经销'!K47</f>
        <v>690322.072249255</v>
      </c>
      <c r="L47" s="37">
        <f>'线下门店-直营'!L47+'线下门店-经销'!L47</f>
        <v>1050931.27434459</v>
      </c>
      <c r="M47" s="37">
        <f>'线下门店-直营'!M47+'线下门店-经销'!M47</f>
        <v>1112077.81277061</v>
      </c>
      <c r="N47" s="37">
        <f>'线下门店-直营'!N47+'线下门店-经销'!N47</f>
        <v>1275815.87560659</v>
      </c>
      <c r="O47" s="37">
        <f t="shared" si="5"/>
        <v>8605045.80301166</v>
      </c>
      <c r="P47" s="38">
        <f t="shared" ref="P47:P52" si="6">O47/$O$16</f>
        <v>0.491014212651587</v>
      </c>
      <c r="Q47" s="6"/>
      <c r="R47" s="6"/>
      <c r="S47" s="6"/>
      <c r="T47" s="6"/>
    </row>
    <row r="48" ht="16.8" spans="1:20">
      <c r="A48" s="36"/>
      <c r="B48" s="4" t="s">
        <v>66</v>
      </c>
      <c r="C48" s="45">
        <f>'线下门店-直营'!C48+'线下门店-经销'!C48</f>
        <v>76865.7000993049</v>
      </c>
      <c r="D48" s="45">
        <f>'线下门店-直营'!D48+'线下门店-经销'!D48</f>
        <v>69661.37040715</v>
      </c>
      <c r="E48" s="45">
        <f>'线下门店-直营'!E48+'线下门店-经销'!E48</f>
        <v>80379.0863952334</v>
      </c>
      <c r="F48" s="45">
        <f>'线下门店-直营'!F48+'线下门店-经销'!F48</f>
        <v>121766.017874876</v>
      </c>
      <c r="G48" s="45">
        <f>'线下门店-直营'!G48+'线下门店-经销'!G48</f>
        <v>134566.593843098</v>
      </c>
      <c r="H48" s="45">
        <f>'线下门店-直营'!H48+'线下门店-经销'!H48</f>
        <v>305914.558093347</v>
      </c>
      <c r="I48" s="45">
        <f>'线下门店-直营'!I48+'线下门店-经销'!I48</f>
        <v>354658.033763654</v>
      </c>
      <c r="J48" s="45">
        <f>'线下门店-直营'!J48+'线下门店-经销'!J48</f>
        <v>366531.360476663</v>
      </c>
      <c r="K48" s="45">
        <f>'线下门店-直营'!K48+'线下门店-经销'!K48</f>
        <v>348876.107249255</v>
      </c>
      <c r="L48" s="45">
        <f>'线下门店-直营'!L48+'线下门店-经销'!L48</f>
        <v>592474.379344588</v>
      </c>
      <c r="M48" s="45">
        <f>'线下门店-直营'!M48+'线下门店-经销'!M48</f>
        <v>622641.032770606</v>
      </c>
      <c r="N48" s="45">
        <f>'线下门店-直营'!N48+'线下门店-经销'!N48</f>
        <v>745672.651439921</v>
      </c>
      <c r="O48" s="36">
        <f t="shared" si="5"/>
        <v>3820006.8917577</v>
      </c>
      <c r="P48" s="42">
        <f t="shared" si="6"/>
        <v>0.217974165300036</v>
      </c>
      <c r="Q48" s="4" t="s">
        <v>95</v>
      </c>
      <c r="R48" s="6"/>
      <c r="S48" s="6"/>
      <c r="T48" s="6"/>
    </row>
    <row r="49" ht="16.8" spans="1:20">
      <c r="A49" s="36"/>
      <c r="B49" s="4" t="s">
        <v>67</v>
      </c>
      <c r="C49" s="45">
        <f>'线下门店-直营'!C49+'线下门店-经销'!C49</f>
        <v>151958.471673633</v>
      </c>
      <c r="D49" s="45">
        <f>'线下门店-直营'!D49+'线下门店-经销'!D49</f>
        <v>132683.535</v>
      </c>
      <c r="E49" s="45">
        <f>'线下门店-直营'!E49+'线下门店-经销'!E49</f>
        <v>144087.636</v>
      </c>
      <c r="F49" s="45">
        <f>'线下门店-直营'!F49+'线下门店-经销'!F49</f>
        <v>135605.015</v>
      </c>
      <c r="G49" s="45">
        <f>'线下门店-直营'!G49+'线下门店-经销'!G49</f>
        <v>102872.77</v>
      </c>
      <c r="H49" s="45">
        <f>'线下门店-直营'!H49+'线下门店-经销'!H49</f>
        <v>143943.345</v>
      </c>
      <c r="I49" s="45">
        <f>'线下门店-直营'!I49+'线下门店-经销'!I49</f>
        <v>131789.64</v>
      </c>
      <c r="J49" s="45">
        <f>'线下门店-直营'!J49+'线下门店-经销'!J49</f>
        <v>112127.73</v>
      </c>
      <c r="K49" s="45">
        <f>'线下门店-直营'!K49+'线下门店-经销'!K49</f>
        <v>107031.015</v>
      </c>
      <c r="L49" s="45">
        <f>'线下门店-直营'!L49+'线下门店-经销'!L49</f>
        <v>130051.305</v>
      </c>
      <c r="M49" s="45">
        <f>'线下门店-直营'!M49+'线下门店-经销'!M49</f>
        <v>134868.02</v>
      </c>
      <c r="N49" s="45">
        <f>'线下门店-直营'!N49+'线下门店-经销'!N49</f>
        <v>139684.735</v>
      </c>
      <c r="O49" s="36">
        <f t="shared" si="5"/>
        <v>1566703.21767363</v>
      </c>
      <c r="P49" s="42">
        <f t="shared" si="6"/>
        <v>0.0893979607424624</v>
      </c>
      <c r="Q49" s="4" t="s">
        <v>95</v>
      </c>
      <c r="R49" s="6"/>
      <c r="S49" s="6"/>
      <c r="T49" s="6"/>
    </row>
    <row r="50" ht="16.8" spans="1:20">
      <c r="A50" s="36"/>
      <c r="B50" s="4" t="s">
        <v>68</v>
      </c>
      <c r="C50" s="45">
        <f>'线下门店-直营'!C50+'线下门店-经销'!C50</f>
        <v>112000</v>
      </c>
      <c r="D50" s="45">
        <f>'线下门店-直营'!D50+'线下门店-经销'!D50</f>
        <v>120000</v>
      </c>
      <c r="E50" s="45">
        <f>'线下门店-直营'!E50+'线下门店-经销'!E50</f>
        <v>132000</v>
      </c>
      <c r="F50" s="45">
        <f>'线下门店-直营'!F50+'线下门店-经销'!F50</f>
        <v>145000</v>
      </c>
      <c r="G50" s="45">
        <f>'线下门店-直营'!G50+'线下门店-经销'!G50</f>
        <v>110000</v>
      </c>
      <c r="H50" s="45">
        <f>'线下门店-直营'!H50+'线下门店-经销'!H50</f>
        <v>135000</v>
      </c>
      <c r="I50" s="45">
        <f>'线下门店-直营'!I50+'线下门店-经销'!I50</f>
        <v>120000</v>
      </c>
      <c r="J50" s="45">
        <f>'线下门店-直营'!J50+'线下门店-经销'!J50</f>
        <v>110000</v>
      </c>
      <c r="K50" s="45">
        <f>'线下门店-直营'!K50+'线下门店-经销'!K50</f>
        <v>105000</v>
      </c>
      <c r="L50" s="45">
        <f>'线下门店-直营'!L50+'线下门店-经销'!L50</f>
        <v>135000</v>
      </c>
      <c r="M50" s="45">
        <f>'线下门店-直营'!M50+'线下门店-经销'!M50</f>
        <v>140000</v>
      </c>
      <c r="N50" s="45">
        <f>'线下门店-直营'!N50+'线下门店-经销'!N50</f>
        <v>145000</v>
      </c>
      <c r="O50" s="36">
        <f t="shared" si="5"/>
        <v>1509000</v>
      </c>
      <c r="P50" s="42">
        <f t="shared" si="6"/>
        <v>0.0861053460786839</v>
      </c>
      <c r="Q50" s="4" t="s">
        <v>95</v>
      </c>
      <c r="R50" s="6"/>
      <c r="S50" s="6"/>
      <c r="T50" s="6"/>
    </row>
    <row r="51" ht="16.8" spans="1:20">
      <c r="A51" s="6"/>
      <c r="B51" s="4" t="s">
        <v>69</v>
      </c>
      <c r="C51" s="45">
        <f>'线下门店-直营'!C51+'线下门店-经销'!C51</f>
        <v>119622.721080335</v>
      </c>
      <c r="D51" s="45">
        <f>'线下门店-直营'!D51+'线下门店-经销'!D51</f>
        <v>101514.258571429</v>
      </c>
      <c r="E51" s="45">
        <f>'线下门店-直营'!E51+'线下门店-经销'!E51</f>
        <v>117165.684428571</v>
      </c>
      <c r="F51" s="45">
        <f>'线下门店-直营'!F51+'线下门店-经销'!F51</f>
        <v>111111.402333333</v>
      </c>
      <c r="G51" s="45">
        <f>'线下门店-直营'!G51+'线下门店-经销'!G51</f>
        <v>92583.4653333333</v>
      </c>
      <c r="H51" s="45">
        <f>'线下门店-直营'!H51+'线下门店-经销'!H51</f>
        <v>127012.662</v>
      </c>
      <c r="I51" s="45">
        <f>'线下门店-直营'!I51+'线下门店-经销'!I51</f>
        <v>132900.144</v>
      </c>
      <c r="J51" s="45">
        <f>'线下门店-直营'!J51+'线下门店-经销'!J51</f>
        <v>124577.566666667</v>
      </c>
      <c r="K51" s="45">
        <f>'线下门店-直营'!K51+'线下门店-经销'!K51</f>
        <v>129414.95</v>
      </c>
      <c r="L51" s="45">
        <f>'线下门店-直营'!L51+'线下门店-经销'!L51</f>
        <v>193405.59</v>
      </c>
      <c r="M51" s="45">
        <f>'线下门店-直营'!M51+'线下门店-经销'!M51</f>
        <v>214568.76</v>
      </c>
      <c r="N51" s="45">
        <f>'线下门店-直营'!N51+'线下门店-经销'!N51</f>
        <v>245458.489166667</v>
      </c>
      <c r="O51" s="36">
        <f t="shared" si="5"/>
        <v>1709335.69358034</v>
      </c>
      <c r="P51" s="42">
        <f t="shared" si="6"/>
        <v>0.0975367405304055</v>
      </c>
      <c r="Q51" s="57" t="s">
        <v>141</v>
      </c>
      <c r="R51" s="6"/>
      <c r="S51" s="6"/>
      <c r="T51" s="6"/>
    </row>
    <row r="52" ht="16.8" spans="1:20">
      <c r="A52" s="6"/>
      <c r="B52" s="21" t="s">
        <v>70</v>
      </c>
      <c r="C52" s="40">
        <f>'线下门店-直营'!C52+'线下门店-经销'!C52</f>
        <v>478733.61851699</v>
      </c>
      <c r="D52" s="40">
        <f>'线下门店-直营'!D52+'线下门店-经销'!D52</f>
        <v>436337.040084773</v>
      </c>
      <c r="E52" s="40">
        <f>'线下门店-直营'!E52+'线下门店-经销'!E52</f>
        <v>489460.725407876</v>
      </c>
      <c r="F52" s="40">
        <f>'线下门店-直营'!F52+'线下门店-经销'!F52</f>
        <v>530369.160871926</v>
      </c>
      <c r="G52" s="40">
        <f>'线下门店-直营'!G52+'线下门店-经销'!G52</f>
        <v>456999.820326874</v>
      </c>
      <c r="H52" s="40">
        <f>'线下门店-直营'!H52+'线下门店-经销'!H52</f>
        <v>739874.104916355</v>
      </c>
      <c r="I52" s="40">
        <f>'线下门店-直营'!I52+'线下门店-经销'!I52</f>
        <v>768105.339887548</v>
      </c>
      <c r="J52" s="40">
        <f>'线下门店-直营'!J52+'线下门店-经销'!J52</f>
        <v>743335.772187578</v>
      </c>
      <c r="K52" s="40">
        <f>'线下门店-直营'!K52+'线下门店-经销'!K52</f>
        <v>718495.523576689</v>
      </c>
      <c r="L52" s="40">
        <f>'线下门店-直营'!L52+'线下门店-经销'!L52</f>
        <v>1096090.56637999</v>
      </c>
      <c r="M52" s="40">
        <f>'线下门店-直营'!M52+'线下门店-经销'!M52</f>
        <v>1163518.52073521</v>
      </c>
      <c r="N52" s="40">
        <f>'线下门店-直营'!N52+'线下门店-经销'!N52</f>
        <v>1334226.49507561</v>
      </c>
      <c r="O52" s="40">
        <f t="shared" si="5"/>
        <v>8955546.68796742</v>
      </c>
      <c r="P52" s="41">
        <f t="shared" si="6"/>
        <v>0.511014212651587</v>
      </c>
      <c r="Q52" s="6"/>
      <c r="R52" s="6"/>
      <c r="S52" s="6"/>
      <c r="T52" s="6"/>
    </row>
    <row r="53" ht="16.8" spans="1:20">
      <c r="A53" s="36"/>
      <c r="B53" s="4" t="s">
        <v>71</v>
      </c>
      <c r="C53" s="45">
        <f>'线下门店-直营'!C53+'线下门店-经销'!C53</f>
        <v>0</v>
      </c>
      <c r="D53" s="45">
        <f>'线下门店-直营'!D53+'线下门店-经销'!D53</f>
        <v>0</v>
      </c>
      <c r="E53" s="45">
        <f>'线下门店-直营'!E53+'线下门店-经销'!E53</f>
        <v>0</v>
      </c>
      <c r="F53" s="45">
        <f>'线下门店-直营'!F53+'线下门店-经销'!F53</f>
        <v>0</v>
      </c>
      <c r="G53" s="45">
        <f>'线下门店-直营'!G53+'线下门店-经销'!G53</f>
        <v>0</v>
      </c>
      <c r="H53" s="45">
        <f>'线下门店-直营'!H53+'线下门店-经销'!H53</f>
        <v>0</v>
      </c>
      <c r="I53" s="45">
        <f>'线下门店-直营'!I53+'线下门店-经销'!I53</f>
        <v>0</v>
      </c>
      <c r="J53" s="45">
        <f>'线下门店-直营'!J53+'线下门店-经销'!J53</f>
        <v>0</v>
      </c>
      <c r="K53" s="45">
        <f>'线下门店-直营'!K53+'线下门店-经销'!K53</f>
        <v>0</v>
      </c>
      <c r="L53" s="45">
        <f>'线下门店-直营'!L53+'线下门店-经销'!L53</f>
        <v>0</v>
      </c>
      <c r="M53" s="45">
        <f>'线下门店-直营'!M53+'线下门店-经销'!M53</f>
        <v>0</v>
      </c>
      <c r="N53" s="45">
        <f>'线下门店-直营'!N53+'线下门店-经销'!N53</f>
        <v>0</v>
      </c>
      <c r="O53" s="36">
        <f t="shared" si="5"/>
        <v>0</v>
      </c>
      <c r="P53" s="42">
        <v>0</v>
      </c>
      <c r="Q53" s="6"/>
      <c r="R53" s="6"/>
      <c r="S53" s="6"/>
      <c r="T53" s="6"/>
    </row>
    <row r="54" ht="16.8" spans="1:20">
      <c r="A54" s="36"/>
      <c r="B54" s="4" t="s">
        <v>73</v>
      </c>
      <c r="C54" s="45">
        <f>'线下门店-直营'!C54+'线下门店-经销'!C54</f>
        <v>0</v>
      </c>
      <c r="D54" s="45">
        <f>'线下门店-直营'!D54+'线下门店-经销'!D54</f>
        <v>0</v>
      </c>
      <c r="E54" s="45">
        <f>'线下门店-直营'!E54+'线下门店-经销'!E54</f>
        <v>0</v>
      </c>
      <c r="F54" s="45">
        <f>'线下门店-直营'!F54+'线下门店-经销'!F54</f>
        <v>0</v>
      </c>
      <c r="G54" s="45">
        <f>'线下门店-直营'!G54+'线下门店-经销'!G54</f>
        <v>0</v>
      </c>
      <c r="H54" s="45">
        <f>'线下门店-直营'!H54+'线下门店-经销'!H54</f>
        <v>0</v>
      </c>
      <c r="I54" s="45">
        <f>'线下门店-直营'!I54+'线下门店-经销'!I54</f>
        <v>0</v>
      </c>
      <c r="J54" s="45">
        <f>'线下门店-直营'!J54+'线下门店-经销'!J54</f>
        <v>0</v>
      </c>
      <c r="K54" s="45">
        <f>'线下门店-直营'!K54+'线下门店-经销'!K54</f>
        <v>0</v>
      </c>
      <c r="L54" s="45">
        <f>'线下门店-直营'!L54+'线下门店-经销'!L54</f>
        <v>0</v>
      </c>
      <c r="M54" s="45">
        <f>'线下门店-直营'!M54+'线下门店-经销'!M54</f>
        <v>0</v>
      </c>
      <c r="N54" s="45">
        <f>'线下门店-直营'!N54+'线下门店-经销'!N54</f>
        <v>0</v>
      </c>
      <c r="O54" s="36">
        <f t="shared" si="5"/>
        <v>0</v>
      </c>
      <c r="P54" s="42">
        <v>0</v>
      </c>
      <c r="Q54" s="6"/>
      <c r="R54" s="6"/>
      <c r="S54" s="6"/>
      <c r="T54" s="6"/>
    </row>
    <row r="55" ht="16.8" spans="1:20">
      <c r="A55" s="36"/>
      <c r="B55" s="4" t="s">
        <v>75</v>
      </c>
      <c r="C55" s="45">
        <f>'线下门店-直营'!C55+'线下门店-经销'!C55</f>
        <v>64717.8000200528</v>
      </c>
      <c r="D55" s="45">
        <f>'线下门店-直营'!D55+'线下门店-经销'!D55</f>
        <v>42319.6994831659</v>
      </c>
      <c r="E55" s="45">
        <f>'线下门店-直营'!E55+'线下门店-经销'!E55</f>
        <v>33009.0360418827</v>
      </c>
      <c r="F55" s="45">
        <f>'线下门店-直营'!F55+'线下门店-经销'!F55</f>
        <v>50799.0329054791</v>
      </c>
      <c r="G55" s="45">
        <f>'线下门店-直营'!G55+'线下门店-经销'!G55</f>
        <v>43626.0664764653</v>
      </c>
      <c r="H55" s="45">
        <f>'线下门店-直营'!H55+'线下门店-经销'!H55</f>
        <v>30563.0703547825</v>
      </c>
      <c r="I55" s="45">
        <f>'线下门店-直营'!I55+'线下门店-经销'!I55</f>
        <v>42582.8228001526</v>
      </c>
      <c r="J55" s="45">
        <f>'线下门店-直营'!J55+'线下门店-经销'!J55</f>
        <v>32944.3195282297</v>
      </c>
      <c r="K55" s="45">
        <f>'线下门店-直营'!K55+'线下门店-经销'!K55</f>
        <v>45395.1887015598</v>
      </c>
      <c r="L55" s="45">
        <f>'线下门店-直营'!L55+'线下门店-经销'!L55</f>
        <v>35831.631624104</v>
      </c>
      <c r="M55" s="45">
        <f>'线下门店-直营'!M55+'线下门店-经销'!M55</f>
        <v>31384.3238318728</v>
      </c>
      <c r="N55" s="45">
        <f>'线下门店-直营'!N55+'线下门店-经销'!N55</f>
        <v>30620.9568719639</v>
      </c>
      <c r="O55" s="36">
        <f t="shared" si="5"/>
        <v>483793.948639711</v>
      </c>
      <c r="P55" s="42">
        <v>0.03</v>
      </c>
      <c r="Q55" s="6"/>
      <c r="R55" s="6"/>
      <c r="S55" s="6"/>
      <c r="T55" s="6"/>
    </row>
    <row r="56" ht="16.8" spans="1:20">
      <c r="A56" s="36"/>
      <c r="B56" s="4" t="s">
        <v>77</v>
      </c>
      <c r="C56" s="45">
        <f>'线下门店-直营'!C56+'线下门店-经销'!C56</f>
        <v>0</v>
      </c>
      <c r="D56" s="45">
        <f>'线下门店-直营'!D56+'线下门店-经销'!D56</f>
        <v>0</v>
      </c>
      <c r="E56" s="45">
        <f>'线下门店-直营'!E56+'线下门店-经销'!E56</f>
        <v>0</v>
      </c>
      <c r="F56" s="45">
        <f>'线下门店-直营'!F56+'线下门店-经销'!F56</f>
        <v>0</v>
      </c>
      <c r="G56" s="45">
        <f>'线下门店-直营'!G56+'线下门店-经销'!G56</f>
        <v>0</v>
      </c>
      <c r="H56" s="45">
        <f>'线下门店-直营'!H56+'线下门店-经销'!H56</f>
        <v>0</v>
      </c>
      <c r="I56" s="45">
        <f>'线下门店-直营'!I56+'线下门店-经销'!I56</f>
        <v>0</v>
      </c>
      <c r="J56" s="45">
        <f>'线下门店-直营'!J56+'线下门店-经销'!J56</f>
        <v>0</v>
      </c>
      <c r="K56" s="45">
        <f>'线下门店-直营'!K56+'线下门店-经销'!K56</f>
        <v>0</v>
      </c>
      <c r="L56" s="45">
        <f>'线下门店-直营'!L56+'线下门店-经销'!L56</f>
        <v>0</v>
      </c>
      <c r="M56" s="45">
        <f>'线下门店-直营'!M56+'线下门店-经销'!M56</f>
        <v>0</v>
      </c>
      <c r="N56" s="45">
        <f>'线下门店-直营'!N56+'线下门店-经销'!N56</f>
        <v>0</v>
      </c>
      <c r="O56" s="36">
        <f t="shared" si="5"/>
        <v>0</v>
      </c>
      <c r="P56" s="42">
        <v>0</v>
      </c>
      <c r="Q56" s="6"/>
      <c r="R56" s="6"/>
      <c r="S56" s="6"/>
      <c r="T56" s="6"/>
    </row>
    <row r="57" ht="16.8" spans="1:20">
      <c r="A57" s="36"/>
      <c r="B57" s="4" t="s">
        <v>79</v>
      </c>
      <c r="C57" s="45">
        <f>'线下门店-直营'!C57+'线下门店-经销'!C57</f>
        <v>7657.40723662593</v>
      </c>
      <c r="D57" s="45">
        <f>'线下门店-直营'!D57+'线下门店-经销'!D57</f>
        <v>0</v>
      </c>
      <c r="E57" s="45">
        <f>'线下门店-直营'!E57+'线下门店-经销'!E57</f>
        <v>0</v>
      </c>
      <c r="F57" s="45">
        <f>'线下门店-直营'!F57+'线下门店-经销'!F57</f>
        <v>0</v>
      </c>
      <c r="G57" s="45">
        <f>'线下门店-直营'!G57+'线下门店-经销'!G57</f>
        <v>3062.96289465037</v>
      </c>
      <c r="H57" s="45">
        <f>'线下门店-直营'!H57+'线下门店-经销'!H57</f>
        <v>0</v>
      </c>
      <c r="I57" s="45">
        <f>'线下门店-直营'!I57+'线下门店-经销'!I57</f>
        <v>0</v>
      </c>
      <c r="J57" s="45">
        <f>'线下门店-直营'!J57+'线下门店-经销'!J57</f>
        <v>0</v>
      </c>
      <c r="K57" s="45">
        <f>'线下门店-直营'!K57+'线下门店-经销'!K57</f>
        <v>0</v>
      </c>
      <c r="L57" s="45">
        <f>'线下门店-直营'!L57+'线下门店-经销'!L57</f>
        <v>3062.96289465037</v>
      </c>
      <c r="M57" s="45">
        <f>'线下门店-直营'!M57+'线下门店-经销'!M57</f>
        <v>0</v>
      </c>
      <c r="N57" s="45">
        <f>'线下门店-直营'!N57+'线下门店-经销'!N57</f>
        <v>9188.88868395112</v>
      </c>
      <c r="O57" s="36">
        <f t="shared" si="5"/>
        <v>22972.2217098778</v>
      </c>
      <c r="P57" s="42">
        <f>O57/$O$16</f>
        <v>0.00131082246555685</v>
      </c>
      <c r="Q57" s="4"/>
      <c r="R57" s="6"/>
      <c r="S57" s="6"/>
      <c r="T57" s="6"/>
    </row>
    <row r="58" ht="16.8" spans="1:20">
      <c r="A58" s="6"/>
      <c r="B58" s="21" t="s">
        <v>80</v>
      </c>
      <c r="C58" s="40">
        <f>'线下门店-直营'!C58+'线下门店-经销'!C58</f>
        <v>72375.2072566787</v>
      </c>
      <c r="D58" s="40">
        <f>'线下门店-直营'!D58+'线下门店-经销'!D58</f>
        <v>42319.6994831659</v>
      </c>
      <c r="E58" s="40">
        <f>'线下门店-直营'!E58+'线下门店-经销'!E58</f>
        <v>33009.0360418827</v>
      </c>
      <c r="F58" s="40">
        <f>'线下门店-直营'!F58+'线下门店-经销'!F58</f>
        <v>50799.0329054791</v>
      </c>
      <c r="G58" s="40">
        <f>'线下门店-直营'!G58+'线下门店-经销'!G58</f>
        <v>46689.0293711156</v>
      </c>
      <c r="H58" s="40">
        <f>'线下门店-直营'!H58+'线下门店-经销'!H58</f>
        <v>30563.0703547825</v>
      </c>
      <c r="I58" s="40">
        <f>'线下门店-直营'!I58+'线下门店-经销'!I58</f>
        <v>42582.8228001526</v>
      </c>
      <c r="J58" s="40">
        <f>'线下门店-直营'!J58+'线下门店-经销'!J58</f>
        <v>32944.3195282297</v>
      </c>
      <c r="K58" s="40">
        <f>'线下门店-直营'!K58+'线下门店-经销'!K58</f>
        <v>45395.1887015598</v>
      </c>
      <c r="L58" s="40">
        <f>'线下门店-直营'!L58+'线下门店-经销'!L58</f>
        <v>38894.5945187543</v>
      </c>
      <c r="M58" s="40">
        <f>'线下门店-直营'!M58+'线下门店-经销'!M58</f>
        <v>31384.3238318728</v>
      </c>
      <c r="N58" s="40">
        <f>'线下门店-直营'!N58+'线下门店-经销'!N58</f>
        <v>39809.845555915</v>
      </c>
      <c r="O58" s="40">
        <f t="shared" si="5"/>
        <v>506766.170349589</v>
      </c>
      <c r="P58" s="41">
        <f>O58/$O$16</f>
        <v>0.0289166842139964</v>
      </c>
      <c r="Q58" s="6"/>
      <c r="R58" s="6"/>
      <c r="S58" s="6"/>
      <c r="T58" s="6"/>
    </row>
    <row r="59" ht="16.8" spans="1:20">
      <c r="A59" s="32"/>
      <c r="B59" s="12" t="s">
        <v>81</v>
      </c>
      <c r="C59" s="12">
        <f>'线下门店-直营'!C59+'线下门店-经销'!C59</f>
        <v>551108.825773669</v>
      </c>
      <c r="D59" s="12">
        <f>'线下门店-直营'!D59+'线下门店-经销'!D59</f>
        <v>478656.739567939</v>
      </c>
      <c r="E59" s="12">
        <f>'线下门店-直营'!E59+'线下门店-经销'!E59</f>
        <v>522469.761449758</v>
      </c>
      <c r="F59" s="12">
        <f>'线下门店-直营'!F59+'线下门店-经销'!F59</f>
        <v>581168.193777405</v>
      </c>
      <c r="G59" s="12">
        <f>'线下门店-直营'!G59+'线下门店-经销'!G59</f>
        <v>503688.84969799</v>
      </c>
      <c r="H59" s="12">
        <f>'线下门店-直营'!H59+'线下门店-经销'!H59</f>
        <v>770437.175271138</v>
      </c>
      <c r="I59" s="12">
        <f>'线下门店-直营'!I59+'线下门店-经销'!I59</f>
        <v>810688.162687701</v>
      </c>
      <c r="J59" s="12">
        <f>'线下门店-直营'!J59+'线下门店-经销'!J59</f>
        <v>776280.091715807</v>
      </c>
      <c r="K59" s="12">
        <f>'线下门店-直营'!K59+'线下门店-经销'!K59</f>
        <v>763890.712278249</v>
      </c>
      <c r="L59" s="12">
        <f>'线下门店-直营'!L59+'线下门店-经销'!L59</f>
        <v>1134985.16089874</v>
      </c>
      <c r="M59" s="12">
        <f>'线下门店-直营'!M59+'线下门店-经销'!M59</f>
        <v>1194902.84456708</v>
      </c>
      <c r="N59" s="12">
        <f>'线下门店-直营'!N59+'线下门店-经销'!N59</f>
        <v>1374036.34063153</v>
      </c>
      <c r="O59" s="12">
        <f t="shared" si="5"/>
        <v>9462312.85831701</v>
      </c>
      <c r="P59" s="43">
        <f>O59/$O$16</f>
        <v>0.539930896865584</v>
      </c>
      <c r="Q59" s="32"/>
      <c r="R59" s="48"/>
      <c r="S59" s="6"/>
      <c r="T59" s="6"/>
    </row>
    <row r="60" ht="16.8" spans="1:20">
      <c r="A60" s="32"/>
      <c r="B60" s="12" t="s">
        <v>82</v>
      </c>
      <c r="C60" s="12">
        <f>'线下门店-直营'!C60+'线下门店-经销'!C60</f>
        <v>-107655.728428536</v>
      </c>
      <c r="D60" s="12">
        <f>'线下门店-直营'!D60+'线下门店-经销'!D60</f>
        <v>-169829.30593962</v>
      </c>
      <c r="E60" s="12">
        <f>'线下门店-直营'!E60+'线下门店-经销'!E60</f>
        <v>-122804.717201971</v>
      </c>
      <c r="F60" s="12">
        <f>'线下门店-直营'!F60+'线下门店-经销'!F60</f>
        <v>-146335.007936697</v>
      </c>
      <c r="G60" s="12">
        <f>'线下门店-直营'!G60+'线下门店-经销'!G60</f>
        <v>-58042.8319988746</v>
      </c>
      <c r="H60" s="12">
        <f>'线下门店-直营'!H60+'线下门店-经销'!H60</f>
        <v>-21342.4850056511</v>
      </c>
      <c r="I60" s="12">
        <f>'线下门店-直营'!I60+'线下门店-经销'!I60</f>
        <v>-27045.6848115947</v>
      </c>
      <c r="J60" s="12">
        <f>'线下门店-直营'!J60+'线下门店-经销'!J60</f>
        <v>74019.9082841926</v>
      </c>
      <c r="K60" s="12">
        <f>'线下门店-直营'!K60+'线下门店-经销'!K60</f>
        <v>46096.0133854682</v>
      </c>
      <c r="L60" s="12">
        <f>'线下门店-直营'!L60+'线下门店-经销'!L60</f>
        <v>185924.131136658</v>
      </c>
      <c r="M60" s="12">
        <f>'线下门店-直营'!M60+'线下门店-经销'!M60</f>
        <v>335458.217379823</v>
      </c>
      <c r="N60" s="12">
        <f>'线下门店-直营'!N60+'线下门店-经销'!N60</f>
        <v>392884.898306525</v>
      </c>
      <c r="O60" s="12">
        <f t="shared" si="5"/>
        <v>381327.407169722</v>
      </c>
      <c r="P60" s="43">
        <f>O60/$O$16</f>
        <v>0.0217589982529066</v>
      </c>
      <c r="Q60" s="32"/>
      <c r="R60" s="49"/>
      <c r="S60" s="6"/>
      <c r="T60" s="6"/>
    </row>
    <row r="61" spans="1:20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>
      <c r="A62" s="6"/>
      <c r="B62" s="6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>
        <f>O60-'线下门店-直营'!O60-'线下门店-经销'!O60</f>
        <v>0</v>
      </c>
      <c r="P62" s="6"/>
      <c r="Q62" s="6"/>
      <c r="R62" s="6"/>
      <c r="S62" s="6"/>
      <c r="T62" s="6"/>
    </row>
    <row r="63" spans="1:20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>
      <c r="A82" s="6"/>
      <c r="B82" s="6"/>
      <c r="C82" s="35">
        <f t="shared" ref="C82:O82" si="7">C16-C18-C20-C26-C37-C44-C47-C58-C60</f>
        <v>0</v>
      </c>
      <c r="D82" s="35">
        <f t="shared" si="7"/>
        <v>0</v>
      </c>
      <c r="E82" s="35">
        <f t="shared" si="7"/>
        <v>-1.30967237055302e-10</v>
      </c>
      <c r="F82" s="35">
        <f t="shared" si="7"/>
        <v>0</v>
      </c>
      <c r="G82" s="35">
        <f t="shared" si="7"/>
        <v>0</v>
      </c>
      <c r="H82" s="35">
        <f t="shared" si="7"/>
        <v>-1.52795109897852e-10</v>
      </c>
      <c r="I82" s="35">
        <f t="shared" si="7"/>
        <v>1.01863406598568e-10</v>
      </c>
      <c r="J82" s="35">
        <f t="shared" si="7"/>
        <v>-2.03726813197136e-10</v>
      </c>
      <c r="K82" s="35">
        <f t="shared" si="7"/>
        <v>0</v>
      </c>
      <c r="L82" s="35">
        <f t="shared" si="7"/>
        <v>2.3283064365387e-10</v>
      </c>
      <c r="M82" s="35">
        <f t="shared" si="7"/>
        <v>0</v>
      </c>
      <c r="N82" s="35">
        <f t="shared" si="7"/>
        <v>0</v>
      </c>
      <c r="O82" s="35">
        <f t="shared" si="7"/>
        <v>-1.57160684466362e-9</v>
      </c>
      <c r="P82" s="6"/>
      <c r="Q82" s="6"/>
      <c r="R82" s="6"/>
      <c r="S82" s="6"/>
      <c r="T82" s="6"/>
    </row>
    <row r="83" spans="1:20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1:20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1:20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1:2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</sheetData>
  <pageMargins left="0.75" right="0.75" top="1" bottom="1" header="0.5" footer="0.5"/>
  <headerFooter/>
  <picture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1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4.4"/>
  <cols>
    <col min="1" max="1" width="7" customWidth="1"/>
    <col min="2" max="2" width="30" customWidth="1"/>
    <col min="3" max="15" width="19" customWidth="1"/>
    <col min="16" max="17" width="14" customWidth="1"/>
    <col min="18" max="18" width="11" customWidth="1"/>
    <col min="19" max="20" width="14" customWidth="1"/>
  </cols>
  <sheetData>
    <row r="1" ht="17" spans="1:20">
      <c r="A1" s="6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6"/>
      <c r="S1" s="6"/>
      <c r="T1" s="6"/>
    </row>
    <row r="2" ht="16.8" spans="1:20">
      <c r="A2" s="6"/>
      <c r="B2" s="4" t="s">
        <v>16</v>
      </c>
      <c r="C2" s="36">
        <v>1945.96949891068</v>
      </c>
      <c r="D2" s="36">
        <v>1209.15032679739</v>
      </c>
      <c r="E2" s="36">
        <v>1588.88888888889</v>
      </c>
      <c r="F2" s="36">
        <v>1446.84095860566</v>
      </c>
      <c r="G2" s="36">
        <v>1370.80610021786</v>
      </c>
      <c r="H2" s="36">
        <v>1682.35294117647</v>
      </c>
      <c r="I2" s="36">
        <v>1448.3660130719</v>
      </c>
      <c r="J2" s="36">
        <v>1548.14814814815</v>
      </c>
      <c r="K2" s="36">
        <v>1409.15032679739</v>
      </c>
      <c r="L2" s="36">
        <v>2029.41176470588</v>
      </c>
      <c r="M2" s="36">
        <v>2671.8954248366</v>
      </c>
      <c r="N2" s="36">
        <v>2767.32026143791</v>
      </c>
      <c r="O2" s="36">
        <f>SUM(C2:N2)</f>
        <v>21118.3006535948</v>
      </c>
      <c r="P2" s="36"/>
      <c r="Q2" s="6"/>
      <c r="R2" s="6"/>
      <c r="S2" s="6"/>
      <c r="T2" s="6"/>
    </row>
    <row r="3" ht="16.8" spans="1:20">
      <c r="A3" s="32"/>
      <c r="B3" s="8" t="s">
        <v>17</v>
      </c>
      <c r="C3" s="8">
        <f t="shared" ref="C3:N3" si="0">C6/(1-$P$12)</f>
        <v>940210.52631579</v>
      </c>
      <c r="D3" s="8">
        <f t="shared" si="0"/>
        <v>584210.52631579</v>
      </c>
      <c r="E3" s="8">
        <f t="shared" si="0"/>
        <v>767684.210526316</v>
      </c>
      <c r="F3" s="8">
        <f t="shared" si="0"/>
        <v>699052.631578947</v>
      </c>
      <c r="G3" s="8">
        <f t="shared" si="0"/>
        <v>662315.789473684</v>
      </c>
      <c r="H3" s="8">
        <f t="shared" si="0"/>
        <v>812842.105263158</v>
      </c>
      <c r="I3" s="8">
        <f t="shared" si="0"/>
        <v>699789.473684211</v>
      </c>
      <c r="J3" s="8">
        <f t="shared" si="0"/>
        <v>748000</v>
      </c>
      <c r="K3" s="8">
        <f t="shared" si="0"/>
        <v>680842.105263158</v>
      </c>
      <c r="L3" s="8">
        <f t="shared" si="0"/>
        <v>980526.315789474</v>
      </c>
      <c r="M3" s="8">
        <f t="shared" si="0"/>
        <v>1290947.36842105</v>
      </c>
      <c r="N3" s="8">
        <f t="shared" si="0"/>
        <v>1337052.63157895</v>
      </c>
      <c r="O3" s="8">
        <f>SUM(C3:N3)</f>
        <v>10203473.6842105</v>
      </c>
      <c r="P3" s="8"/>
      <c r="Q3" s="10" t="s">
        <v>83</v>
      </c>
      <c r="R3" s="6"/>
      <c r="S3" s="6"/>
      <c r="T3" s="6"/>
    </row>
    <row r="4" ht="16.8" spans="1:20">
      <c r="A4" s="32"/>
      <c r="B4" s="8" t="s">
        <v>84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8"/>
      <c r="O4" s="8"/>
      <c r="P4" s="8"/>
      <c r="Q4" s="10" t="s">
        <v>83</v>
      </c>
      <c r="R4" s="6"/>
      <c r="S4" s="6"/>
      <c r="T4" s="6"/>
    </row>
    <row r="5" ht="16.8" spans="1:20">
      <c r="A5" s="32"/>
      <c r="B5" s="8" t="s">
        <v>18</v>
      </c>
      <c r="C5" s="8">
        <f t="shared" ref="C5:N5" si="1">C3*$P$12</f>
        <v>0</v>
      </c>
      <c r="D5" s="8">
        <f t="shared" si="1"/>
        <v>0</v>
      </c>
      <c r="E5" s="8">
        <f t="shared" si="1"/>
        <v>0</v>
      </c>
      <c r="F5" s="8">
        <f t="shared" si="1"/>
        <v>0</v>
      </c>
      <c r="G5" s="8">
        <f t="shared" si="1"/>
        <v>0</v>
      </c>
      <c r="H5" s="8">
        <f t="shared" si="1"/>
        <v>0</v>
      </c>
      <c r="I5" s="8">
        <f t="shared" si="1"/>
        <v>0</v>
      </c>
      <c r="J5" s="8">
        <f t="shared" si="1"/>
        <v>0</v>
      </c>
      <c r="K5" s="8">
        <f t="shared" si="1"/>
        <v>0</v>
      </c>
      <c r="L5" s="8">
        <f t="shared" si="1"/>
        <v>0</v>
      </c>
      <c r="M5" s="8">
        <f t="shared" si="1"/>
        <v>0</v>
      </c>
      <c r="N5" s="8">
        <f t="shared" si="1"/>
        <v>0</v>
      </c>
      <c r="O5" s="8">
        <f>SUM(C5:N5)</f>
        <v>0</v>
      </c>
      <c r="P5" s="8"/>
      <c r="Q5" s="11" t="s">
        <v>83</v>
      </c>
      <c r="R5" s="6"/>
      <c r="S5" s="6"/>
      <c r="T5" s="6"/>
    </row>
    <row r="6" ht="16.8" spans="1:20">
      <c r="A6" s="32"/>
      <c r="B6" s="12" t="s">
        <v>85</v>
      </c>
      <c r="C6" s="51">
        <f t="shared" ref="C6:N6" si="2">C8/(1-C7)</f>
        <v>940210.52631579</v>
      </c>
      <c r="D6" s="51">
        <f t="shared" si="2"/>
        <v>584210.52631579</v>
      </c>
      <c r="E6" s="51">
        <f t="shared" si="2"/>
        <v>767684.210526316</v>
      </c>
      <c r="F6" s="51">
        <f t="shared" si="2"/>
        <v>699052.631578947</v>
      </c>
      <c r="G6" s="51">
        <f t="shared" si="2"/>
        <v>662315.789473684</v>
      </c>
      <c r="H6" s="51">
        <f t="shared" si="2"/>
        <v>812842.105263158</v>
      </c>
      <c r="I6" s="51">
        <f t="shared" si="2"/>
        <v>699789.473684211</v>
      </c>
      <c r="J6" s="51">
        <f t="shared" si="2"/>
        <v>748000</v>
      </c>
      <c r="K6" s="51">
        <f t="shared" si="2"/>
        <v>680842.105263158</v>
      </c>
      <c r="L6" s="51">
        <f t="shared" si="2"/>
        <v>980526.315789474</v>
      </c>
      <c r="M6" s="51">
        <f t="shared" si="2"/>
        <v>1290947.36842105</v>
      </c>
      <c r="N6" s="51">
        <f t="shared" si="2"/>
        <v>1337052.63157895</v>
      </c>
      <c r="O6" s="12">
        <f>SUM(C6:N6)</f>
        <v>10203473.6842105</v>
      </c>
      <c r="P6" s="12"/>
      <c r="Q6" s="11" t="s">
        <v>83</v>
      </c>
      <c r="R6" s="6"/>
      <c r="S6" s="6"/>
      <c r="T6" s="6"/>
    </row>
    <row r="7" ht="16.8" spans="1:20">
      <c r="A7" s="32"/>
      <c r="B7" s="14" t="s">
        <v>20</v>
      </c>
      <c r="C7" s="14">
        <v>0.05</v>
      </c>
      <c r="D7" s="14">
        <v>0.05</v>
      </c>
      <c r="E7" s="14">
        <v>0.05</v>
      </c>
      <c r="F7" s="14">
        <v>0.05</v>
      </c>
      <c r="G7" s="14">
        <v>0.05</v>
      </c>
      <c r="H7" s="14">
        <v>0.05</v>
      </c>
      <c r="I7" s="14">
        <v>0.05</v>
      </c>
      <c r="J7" s="14">
        <v>0.05</v>
      </c>
      <c r="K7" s="14">
        <v>0.05</v>
      </c>
      <c r="L7" s="14">
        <v>0.05</v>
      </c>
      <c r="M7" s="14">
        <v>0.05</v>
      </c>
      <c r="N7" s="14">
        <v>0.05</v>
      </c>
      <c r="O7" s="14">
        <f>1-O8/O6</f>
        <v>0.0500000000000002</v>
      </c>
      <c r="P7" s="14"/>
      <c r="Q7" s="6" t="s">
        <v>83</v>
      </c>
      <c r="R7" s="6"/>
      <c r="S7" s="6"/>
      <c r="T7" s="6"/>
    </row>
    <row r="8" ht="16.8" spans="1:20">
      <c r="A8" s="32"/>
      <c r="B8" s="12" t="s">
        <v>86</v>
      </c>
      <c r="C8" s="12">
        <v>893200</v>
      </c>
      <c r="D8" s="12">
        <v>555000</v>
      </c>
      <c r="E8" s="12">
        <v>729300</v>
      </c>
      <c r="F8" s="12">
        <v>664100</v>
      </c>
      <c r="G8" s="12">
        <v>629200</v>
      </c>
      <c r="H8" s="12">
        <v>772200</v>
      </c>
      <c r="I8" s="12">
        <v>664800</v>
      </c>
      <c r="J8" s="12">
        <v>710600</v>
      </c>
      <c r="K8" s="12">
        <v>646800</v>
      </c>
      <c r="L8" s="12">
        <v>931500</v>
      </c>
      <c r="M8" s="12">
        <v>1226400</v>
      </c>
      <c r="N8" s="12">
        <v>1270200</v>
      </c>
      <c r="O8" s="12">
        <f>SUM(C8:N8)</f>
        <v>9693300</v>
      </c>
      <c r="P8" s="12"/>
      <c r="Q8" s="6" t="s">
        <v>83</v>
      </c>
      <c r="R8" s="6"/>
      <c r="S8" s="6"/>
      <c r="T8" s="6"/>
    </row>
    <row r="9" ht="16.8" spans="1:20">
      <c r="A9" s="6"/>
      <c r="B9" s="4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">
        <f>O10-O14-O15</f>
        <v>0</v>
      </c>
      <c r="P9" s="36"/>
      <c r="Q9" s="6"/>
      <c r="R9" s="6"/>
      <c r="S9" s="6"/>
      <c r="T9" s="6"/>
    </row>
    <row r="10" ht="16.8" spans="1:20">
      <c r="A10" s="32"/>
      <c r="B10" s="12" t="s">
        <v>22</v>
      </c>
      <c r="C10" s="12">
        <v>991189.436481391</v>
      </c>
      <c r="D10" s="12">
        <v>647035.990842391</v>
      </c>
      <c r="E10" s="12">
        <v>779684.717861739</v>
      </c>
      <c r="F10" s="12">
        <v>781306.466892282</v>
      </c>
      <c r="G10" s="12">
        <v>710965.04310832</v>
      </c>
      <c r="H10" s="12">
        <v>913437.4274025</v>
      </c>
      <c r="I10" s="12">
        <v>771485.95722</v>
      </c>
      <c r="J10" s="12">
        <v>824635.862215</v>
      </c>
      <c r="K10" s="12">
        <v>750599.329095</v>
      </c>
      <c r="L10" s="12">
        <v>1080986.08370625</v>
      </c>
      <c r="M10" s="12">
        <v>1427350.405586</v>
      </c>
      <c r="N10" s="12">
        <v>1574891.53445455</v>
      </c>
      <c r="O10" s="12">
        <f t="shared" ref="O10:O16" si="3">SUM(C10:N10)</f>
        <v>11253568.2548654</v>
      </c>
      <c r="P10" s="12"/>
      <c r="Q10" s="6"/>
      <c r="R10" s="6"/>
      <c r="S10" s="6"/>
      <c r="T10" s="6"/>
    </row>
    <row r="11" ht="16.8" spans="1:20">
      <c r="A11" s="6"/>
      <c r="B11" s="17" t="s">
        <v>23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>
        <f t="shared" si="3"/>
        <v>0</v>
      </c>
      <c r="P11" s="37"/>
      <c r="Q11" s="6" t="s">
        <v>88</v>
      </c>
      <c r="R11" s="6"/>
      <c r="S11" s="6"/>
      <c r="T11" s="6"/>
    </row>
    <row r="12" ht="16.8" spans="1:20">
      <c r="A12" s="6"/>
      <c r="B12" s="17" t="s">
        <v>25</v>
      </c>
      <c r="C12" s="37">
        <f t="shared" ref="C12:N12" si="4">C10-C6</f>
        <v>50978.9101656018</v>
      </c>
      <c r="D12" s="37">
        <f t="shared" si="4"/>
        <v>62825.4645266017</v>
      </c>
      <c r="E12" s="37">
        <f t="shared" si="4"/>
        <v>12000.5073354233</v>
      </c>
      <c r="F12" s="37">
        <f t="shared" si="4"/>
        <v>82253.8353133352</v>
      </c>
      <c r="G12" s="37">
        <f t="shared" si="4"/>
        <v>48649.2536346357</v>
      </c>
      <c r="H12" s="37">
        <f t="shared" si="4"/>
        <v>100595.322139342</v>
      </c>
      <c r="I12" s="37">
        <f t="shared" si="4"/>
        <v>71696.4835357894</v>
      </c>
      <c r="J12" s="37">
        <f t="shared" si="4"/>
        <v>76635.862215</v>
      </c>
      <c r="K12" s="37">
        <f t="shared" si="4"/>
        <v>69757.2238318421</v>
      </c>
      <c r="L12" s="37">
        <f t="shared" si="4"/>
        <v>100459.767916776</v>
      </c>
      <c r="M12" s="37">
        <f t="shared" si="4"/>
        <v>136403.037164947</v>
      </c>
      <c r="N12" s="37">
        <f t="shared" si="4"/>
        <v>237838.902875598</v>
      </c>
      <c r="O12" s="37">
        <f t="shared" si="3"/>
        <v>1050094.57065489</v>
      </c>
      <c r="P12" s="56"/>
      <c r="Q12" s="6" t="s">
        <v>83</v>
      </c>
      <c r="R12" s="20">
        <f>O12/$O$10</f>
        <v>0.0933121430352448</v>
      </c>
      <c r="S12" s="6"/>
      <c r="T12" s="6"/>
    </row>
    <row r="13" ht="16.8" spans="1:20">
      <c r="A13" s="6"/>
      <c r="B13" s="17" t="s">
        <v>27</v>
      </c>
      <c r="C13" s="37">
        <f t="shared" ref="C13:N13" si="5">C10-C15-C12</f>
        <v>47010.5263157896</v>
      </c>
      <c r="D13" s="37">
        <f t="shared" si="5"/>
        <v>29210.5263157896</v>
      </c>
      <c r="E13" s="37">
        <f t="shared" si="5"/>
        <v>38384.2105263158</v>
      </c>
      <c r="F13" s="37">
        <f t="shared" si="5"/>
        <v>34952.6315789474</v>
      </c>
      <c r="G13" s="37">
        <f t="shared" si="5"/>
        <v>33115.7894736843</v>
      </c>
      <c r="H13" s="37">
        <f t="shared" si="5"/>
        <v>40642.105263158</v>
      </c>
      <c r="I13" s="37">
        <f t="shared" si="5"/>
        <v>34989.4736842106</v>
      </c>
      <c r="J13" s="37">
        <f t="shared" si="5"/>
        <v>37400</v>
      </c>
      <c r="K13" s="37">
        <f t="shared" si="5"/>
        <v>34042.105263158</v>
      </c>
      <c r="L13" s="37">
        <f t="shared" si="5"/>
        <v>49026.3157894737</v>
      </c>
      <c r="M13" s="37">
        <f t="shared" si="5"/>
        <v>64547.3684210528</v>
      </c>
      <c r="N13" s="37">
        <f t="shared" si="5"/>
        <v>66852.6315789474</v>
      </c>
      <c r="O13" s="37">
        <f t="shared" si="3"/>
        <v>510173.684210527</v>
      </c>
      <c r="P13" s="37"/>
      <c r="Q13" s="6" t="s">
        <v>83</v>
      </c>
      <c r="R13" s="20">
        <f>O13/$O$10</f>
        <v>0.0453343928482378</v>
      </c>
      <c r="S13" s="6" t="s">
        <v>142</v>
      </c>
      <c r="T13" s="6"/>
    </row>
    <row r="14" ht="16.8" spans="1:20">
      <c r="A14" s="6"/>
      <c r="B14" s="21" t="s">
        <v>28</v>
      </c>
      <c r="C14" s="40">
        <f t="shared" ref="C14:N14" si="6">SUM(C11:C13)</f>
        <v>97989.4364813913</v>
      </c>
      <c r="D14" s="40">
        <f t="shared" si="6"/>
        <v>92035.9908423913</v>
      </c>
      <c r="E14" s="40">
        <f t="shared" si="6"/>
        <v>50384.7178617391</v>
      </c>
      <c r="F14" s="40">
        <f t="shared" si="6"/>
        <v>117206.466892283</v>
      </c>
      <c r="G14" s="40">
        <f t="shared" si="6"/>
        <v>81765.04310832</v>
      </c>
      <c r="H14" s="40">
        <f t="shared" si="6"/>
        <v>141237.4274025</v>
      </c>
      <c r="I14" s="40">
        <f t="shared" si="6"/>
        <v>106685.95722</v>
      </c>
      <c r="J14" s="40">
        <f t="shared" si="6"/>
        <v>114035.862215</v>
      </c>
      <c r="K14" s="40">
        <f t="shared" si="6"/>
        <v>103799.329095</v>
      </c>
      <c r="L14" s="40">
        <f t="shared" si="6"/>
        <v>149486.08370625</v>
      </c>
      <c r="M14" s="40">
        <f t="shared" si="6"/>
        <v>200950.405586</v>
      </c>
      <c r="N14" s="40">
        <f t="shared" si="6"/>
        <v>304691.534454546</v>
      </c>
      <c r="O14" s="40">
        <f t="shared" si="3"/>
        <v>1560268.25486542</v>
      </c>
      <c r="P14" s="40"/>
      <c r="Q14" s="6"/>
      <c r="R14" s="6"/>
      <c r="S14" s="6"/>
      <c r="T14" s="6"/>
    </row>
    <row r="15" ht="16.8" spans="1:20">
      <c r="A15" s="32"/>
      <c r="B15" s="12" t="s">
        <v>29</v>
      </c>
      <c r="C15" s="12">
        <f t="shared" ref="C15:N15" si="7">C8</f>
        <v>893200</v>
      </c>
      <c r="D15" s="12">
        <f t="shared" si="7"/>
        <v>555000</v>
      </c>
      <c r="E15" s="12">
        <f t="shared" si="7"/>
        <v>729300</v>
      </c>
      <c r="F15" s="12">
        <f t="shared" si="7"/>
        <v>664100</v>
      </c>
      <c r="G15" s="12">
        <f t="shared" si="7"/>
        <v>629200</v>
      </c>
      <c r="H15" s="12">
        <f t="shared" si="7"/>
        <v>772200</v>
      </c>
      <c r="I15" s="12">
        <f t="shared" si="7"/>
        <v>664800</v>
      </c>
      <c r="J15" s="12">
        <f t="shared" si="7"/>
        <v>710600</v>
      </c>
      <c r="K15" s="12">
        <f t="shared" si="7"/>
        <v>646800</v>
      </c>
      <c r="L15" s="12">
        <f t="shared" si="7"/>
        <v>931500</v>
      </c>
      <c r="M15" s="12">
        <f t="shared" si="7"/>
        <v>1226400</v>
      </c>
      <c r="N15" s="12">
        <f t="shared" si="7"/>
        <v>1270200</v>
      </c>
      <c r="O15" s="12">
        <f t="shared" si="3"/>
        <v>9693300</v>
      </c>
      <c r="P15" s="12"/>
      <c r="Q15" s="6"/>
      <c r="R15" s="6"/>
      <c r="S15" s="6"/>
      <c r="T15" s="6"/>
    </row>
    <row r="16" ht="16.8" spans="1:20">
      <c r="A16" s="32"/>
      <c r="B16" s="12" t="s">
        <v>30</v>
      </c>
      <c r="C16" s="12">
        <f t="shared" ref="C16:N16" si="8">+C8/1.13</f>
        <v>790442.477876106</v>
      </c>
      <c r="D16" s="12">
        <f t="shared" si="8"/>
        <v>491150.442477876</v>
      </c>
      <c r="E16" s="12">
        <f t="shared" si="8"/>
        <v>645398.230088496</v>
      </c>
      <c r="F16" s="12">
        <f t="shared" si="8"/>
        <v>587699.115044248</v>
      </c>
      <c r="G16" s="12">
        <f t="shared" si="8"/>
        <v>556814.159292036</v>
      </c>
      <c r="H16" s="12">
        <f t="shared" si="8"/>
        <v>683362.831858407</v>
      </c>
      <c r="I16" s="12">
        <f t="shared" si="8"/>
        <v>588318.584070796</v>
      </c>
      <c r="J16" s="12">
        <f t="shared" si="8"/>
        <v>628849.557522124</v>
      </c>
      <c r="K16" s="12">
        <f t="shared" si="8"/>
        <v>572389.380530974</v>
      </c>
      <c r="L16" s="12">
        <f t="shared" si="8"/>
        <v>824336.283185841</v>
      </c>
      <c r="M16" s="12">
        <f t="shared" si="8"/>
        <v>1085309.73451327</v>
      </c>
      <c r="N16" s="12">
        <f t="shared" si="8"/>
        <v>1124070.79646018</v>
      </c>
      <c r="O16" s="12">
        <f t="shared" si="3"/>
        <v>8578141.59292036</v>
      </c>
      <c r="P16" s="12"/>
      <c r="Q16" s="6"/>
      <c r="R16" s="6"/>
      <c r="S16" s="6"/>
      <c r="T16" s="6"/>
    </row>
    <row r="17" spans="1:20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ht="16.8" spans="1:20">
      <c r="A18" s="6"/>
      <c r="B18" s="17" t="s">
        <v>31</v>
      </c>
      <c r="C18" s="37">
        <f t="shared" ref="C18:N18" si="9">C16*(1-C23)</f>
        <v>387316.814159292</v>
      </c>
      <c r="D18" s="37">
        <f t="shared" si="9"/>
        <v>235752.212389381</v>
      </c>
      <c r="E18" s="37">
        <f t="shared" si="9"/>
        <v>303337.168141593</v>
      </c>
      <c r="F18" s="37">
        <f t="shared" si="9"/>
        <v>270341.592920354</v>
      </c>
      <c r="G18" s="37">
        <f t="shared" si="9"/>
        <v>250566.371681416</v>
      </c>
      <c r="H18" s="37">
        <f t="shared" si="9"/>
        <v>300679.646017699</v>
      </c>
      <c r="I18" s="37">
        <f t="shared" si="9"/>
        <v>252976.991150443</v>
      </c>
      <c r="J18" s="37">
        <f t="shared" si="9"/>
        <v>257828.318584071</v>
      </c>
      <c r="K18" s="37">
        <f t="shared" si="9"/>
        <v>228955.752212389</v>
      </c>
      <c r="L18" s="37">
        <f t="shared" si="9"/>
        <v>321491.150442478</v>
      </c>
      <c r="M18" s="37">
        <f t="shared" si="9"/>
        <v>412417.699115044</v>
      </c>
      <c r="N18" s="37">
        <f t="shared" si="9"/>
        <v>415906.194690266</v>
      </c>
      <c r="O18" s="37">
        <f>SUM(C18:N18)</f>
        <v>3637569.91150443</v>
      </c>
      <c r="P18" s="38">
        <f>O18/O16</f>
        <v>0.424051045567557</v>
      </c>
      <c r="Q18" s="6"/>
      <c r="R18" s="6"/>
      <c r="S18" s="6"/>
      <c r="T18" s="6"/>
    </row>
    <row r="19" ht="16.8" spans="1:20">
      <c r="A19" s="6"/>
      <c r="B19" s="21" t="s">
        <v>32</v>
      </c>
      <c r="C19" s="40">
        <f t="shared" ref="C19:N19" si="10">C16-C18</f>
        <v>403125.663716814</v>
      </c>
      <c r="D19" s="40">
        <f t="shared" si="10"/>
        <v>255398.230088496</v>
      </c>
      <c r="E19" s="40">
        <f t="shared" si="10"/>
        <v>342061.061946903</v>
      </c>
      <c r="F19" s="40">
        <f t="shared" si="10"/>
        <v>317357.522123894</v>
      </c>
      <c r="G19" s="40">
        <f t="shared" si="10"/>
        <v>306247.78761062</v>
      </c>
      <c r="H19" s="40">
        <f t="shared" si="10"/>
        <v>382683.185840708</v>
      </c>
      <c r="I19" s="40">
        <f t="shared" si="10"/>
        <v>335341.592920354</v>
      </c>
      <c r="J19" s="40">
        <f t="shared" si="10"/>
        <v>371021.238938053</v>
      </c>
      <c r="K19" s="40">
        <f t="shared" si="10"/>
        <v>343433.628318584</v>
      </c>
      <c r="L19" s="40">
        <f t="shared" si="10"/>
        <v>502845.132743363</v>
      </c>
      <c r="M19" s="40">
        <f t="shared" si="10"/>
        <v>672892.03539823</v>
      </c>
      <c r="N19" s="40">
        <f t="shared" si="10"/>
        <v>708164.601769912</v>
      </c>
      <c r="O19" s="40">
        <f>SUM(C19:N19)</f>
        <v>4940571.68141593</v>
      </c>
      <c r="P19" s="41">
        <f>O19/$O$16</f>
        <v>0.575948954432443</v>
      </c>
      <c r="Q19" s="6"/>
      <c r="R19" s="6"/>
      <c r="S19" s="6"/>
      <c r="T19" s="6"/>
    </row>
    <row r="20" ht="16.8" spans="1:20">
      <c r="A20" s="36"/>
      <c r="B20" s="4" t="s">
        <v>33</v>
      </c>
      <c r="C20" s="36">
        <f t="shared" ref="C20:N20" si="11">C16*2.5%</f>
        <v>19761.0619469027</v>
      </c>
      <c r="D20" s="36">
        <f t="shared" si="11"/>
        <v>12278.7610619469</v>
      </c>
      <c r="E20" s="36">
        <f t="shared" si="11"/>
        <v>16134.9557522124</v>
      </c>
      <c r="F20" s="36">
        <f t="shared" si="11"/>
        <v>14692.4778761062</v>
      </c>
      <c r="G20" s="36">
        <f t="shared" si="11"/>
        <v>13920.3539823009</v>
      </c>
      <c r="H20" s="36">
        <f t="shared" si="11"/>
        <v>17084.0707964602</v>
      </c>
      <c r="I20" s="36">
        <f t="shared" si="11"/>
        <v>14707.9646017699</v>
      </c>
      <c r="J20" s="36">
        <f t="shared" si="11"/>
        <v>15721.2389380531</v>
      </c>
      <c r="K20" s="36">
        <f t="shared" si="11"/>
        <v>14309.7345132743</v>
      </c>
      <c r="L20" s="36">
        <f t="shared" si="11"/>
        <v>20608.407079646</v>
      </c>
      <c r="M20" s="36">
        <f t="shared" si="11"/>
        <v>27132.7433628319</v>
      </c>
      <c r="N20" s="36">
        <f t="shared" si="11"/>
        <v>28101.7699115044</v>
      </c>
      <c r="O20" s="36">
        <f>SUM(C20:N20)</f>
        <v>214453.539823009</v>
      </c>
      <c r="P20" s="42">
        <v>0.025</v>
      </c>
      <c r="Q20" s="6"/>
      <c r="R20" s="6"/>
      <c r="S20" s="6"/>
      <c r="T20" s="6"/>
    </row>
    <row r="21" ht="16.8" spans="1:20">
      <c r="A21" s="6"/>
      <c r="B21" s="21" t="s">
        <v>35</v>
      </c>
      <c r="C21" s="40">
        <f t="shared" ref="C21:N21" si="12">SUM(C18,C20)</f>
        <v>407077.876106195</v>
      </c>
      <c r="D21" s="40">
        <f t="shared" si="12"/>
        <v>248030.973451327</v>
      </c>
      <c r="E21" s="40">
        <f t="shared" si="12"/>
        <v>319472.123893805</v>
      </c>
      <c r="F21" s="40">
        <f t="shared" si="12"/>
        <v>285034.07079646</v>
      </c>
      <c r="G21" s="40">
        <f t="shared" si="12"/>
        <v>264486.725663717</v>
      </c>
      <c r="H21" s="40">
        <f t="shared" si="12"/>
        <v>317763.716814159</v>
      </c>
      <c r="I21" s="40">
        <f t="shared" si="12"/>
        <v>267684.955752212</v>
      </c>
      <c r="J21" s="40">
        <f t="shared" si="12"/>
        <v>273549.557522124</v>
      </c>
      <c r="K21" s="40">
        <f t="shared" si="12"/>
        <v>243265.486725664</v>
      </c>
      <c r="L21" s="40">
        <f t="shared" si="12"/>
        <v>342099.557522124</v>
      </c>
      <c r="M21" s="40">
        <f t="shared" si="12"/>
        <v>439550.442477876</v>
      </c>
      <c r="N21" s="40">
        <f t="shared" si="12"/>
        <v>444007.96460177</v>
      </c>
      <c r="O21" s="40">
        <f>SUM(C21:N21)</f>
        <v>3852023.45132743</v>
      </c>
      <c r="P21" s="41">
        <f>O21/$O$16</f>
        <v>0.449051045567557</v>
      </c>
      <c r="Q21" s="6"/>
      <c r="R21" s="6"/>
      <c r="S21" s="6"/>
      <c r="T21" s="6"/>
    </row>
    <row r="22" ht="16.8" spans="1:20">
      <c r="A22" s="32"/>
      <c r="B22" s="12" t="s">
        <v>36</v>
      </c>
      <c r="C22" s="12">
        <f t="shared" ref="C22:N22" si="13">C16-C21</f>
        <v>383364.601769912</v>
      </c>
      <c r="D22" s="12">
        <f t="shared" si="13"/>
        <v>243119.469026549</v>
      </c>
      <c r="E22" s="12">
        <f t="shared" si="13"/>
        <v>325926.10619469</v>
      </c>
      <c r="F22" s="12">
        <f t="shared" si="13"/>
        <v>302665.044247788</v>
      </c>
      <c r="G22" s="12">
        <f t="shared" si="13"/>
        <v>292327.433628319</v>
      </c>
      <c r="H22" s="12">
        <f t="shared" si="13"/>
        <v>365599.115044248</v>
      </c>
      <c r="I22" s="12">
        <f t="shared" si="13"/>
        <v>320633.628318584</v>
      </c>
      <c r="J22" s="12">
        <f t="shared" si="13"/>
        <v>355300</v>
      </c>
      <c r="K22" s="12">
        <f t="shared" si="13"/>
        <v>329123.89380531</v>
      </c>
      <c r="L22" s="12">
        <f t="shared" si="13"/>
        <v>482236.725663717</v>
      </c>
      <c r="M22" s="12">
        <f t="shared" si="13"/>
        <v>645759.292035398</v>
      </c>
      <c r="N22" s="12">
        <f t="shared" si="13"/>
        <v>680062.831858407</v>
      </c>
      <c r="O22" s="12">
        <f>SUM(C22:N22)</f>
        <v>4726118.14159292</v>
      </c>
      <c r="P22" s="43">
        <f>O22/$O$16</f>
        <v>0.550948954432443</v>
      </c>
      <c r="Q22" s="6"/>
      <c r="R22" s="6"/>
      <c r="S22" s="6"/>
      <c r="T22" s="6"/>
    </row>
    <row r="23" ht="16.8" spans="1:20">
      <c r="A23" s="6"/>
      <c r="B23" s="14" t="s">
        <v>37</v>
      </c>
      <c r="C23" s="44">
        <v>0.51</v>
      </c>
      <c r="D23" s="44">
        <v>0.52</v>
      </c>
      <c r="E23" s="44">
        <v>0.53</v>
      </c>
      <c r="F23" s="44">
        <v>0.54</v>
      </c>
      <c r="G23" s="44">
        <v>0.55</v>
      </c>
      <c r="H23" s="44">
        <v>0.56</v>
      </c>
      <c r="I23" s="44">
        <v>0.57</v>
      </c>
      <c r="J23" s="44">
        <v>0.59</v>
      </c>
      <c r="K23" s="44">
        <v>0.6</v>
      </c>
      <c r="L23" s="44">
        <v>0.61</v>
      </c>
      <c r="M23" s="44">
        <v>0.62</v>
      </c>
      <c r="N23" s="44">
        <v>0.63</v>
      </c>
      <c r="O23" s="44">
        <f>O19/$O$16</f>
        <v>0.575948954432443</v>
      </c>
      <c r="P23" s="42"/>
      <c r="Q23" s="6"/>
      <c r="R23" s="6"/>
      <c r="S23" s="6"/>
      <c r="T23" s="6"/>
    </row>
    <row r="24" ht="16.8" spans="1:20">
      <c r="A24" s="6"/>
      <c r="B24" s="14" t="s">
        <v>38</v>
      </c>
      <c r="C24" s="44">
        <f t="shared" ref="C24:O24" si="14">IFERROR(1-C21/C16,0)</f>
        <v>0.485</v>
      </c>
      <c r="D24" s="44">
        <f t="shared" si="14"/>
        <v>0.495</v>
      </c>
      <c r="E24" s="44">
        <f t="shared" si="14"/>
        <v>0.505</v>
      </c>
      <c r="F24" s="44">
        <f t="shared" si="14"/>
        <v>0.515</v>
      </c>
      <c r="G24" s="44">
        <f t="shared" si="14"/>
        <v>0.525</v>
      </c>
      <c r="H24" s="44">
        <f t="shared" si="14"/>
        <v>0.535</v>
      </c>
      <c r="I24" s="44">
        <f t="shared" si="14"/>
        <v>0.545</v>
      </c>
      <c r="J24" s="44">
        <f t="shared" si="14"/>
        <v>0.565</v>
      </c>
      <c r="K24" s="44">
        <f t="shared" si="14"/>
        <v>0.575</v>
      </c>
      <c r="L24" s="44">
        <f t="shared" si="14"/>
        <v>0.585</v>
      </c>
      <c r="M24" s="44">
        <f t="shared" si="14"/>
        <v>0.595</v>
      </c>
      <c r="N24" s="44">
        <f t="shared" si="14"/>
        <v>0.605</v>
      </c>
      <c r="O24" s="44">
        <f t="shared" si="14"/>
        <v>0.550948954432443</v>
      </c>
      <c r="P24" s="42"/>
      <c r="Q24" s="6"/>
      <c r="R24" s="6"/>
      <c r="S24" s="6"/>
      <c r="T24" s="6"/>
    </row>
    <row r="25" ht="16.8" spans="1:20">
      <c r="A25" s="6"/>
      <c r="B25" s="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42"/>
      <c r="Q25" s="6"/>
      <c r="R25" s="6"/>
      <c r="S25" s="6"/>
      <c r="T25" s="6"/>
    </row>
    <row r="26" ht="16.8" spans="1:20">
      <c r="A26" s="6"/>
      <c r="B26" s="17" t="s">
        <v>39</v>
      </c>
      <c r="C26" s="37">
        <f t="shared" ref="C26:N26" si="15">SUM(C27:C31)</f>
        <v>0</v>
      </c>
      <c r="D26" s="37">
        <f t="shared" si="15"/>
        <v>0</v>
      </c>
      <c r="E26" s="37">
        <f t="shared" si="15"/>
        <v>0</v>
      </c>
      <c r="F26" s="37">
        <f t="shared" si="15"/>
        <v>0</v>
      </c>
      <c r="G26" s="37">
        <f t="shared" si="15"/>
        <v>0</v>
      </c>
      <c r="H26" s="37">
        <f t="shared" si="15"/>
        <v>0</v>
      </c>
      <c r="I26" s="37">
        <f t="shared" si="15"/>
        <v>0</v>
      </c>
      <c r="J26" s="37">
        <f t="shared" si="15"/>
        <v>0</v>
      </c>
      <c r="K26" s="37">
        <f t="shared" si="15"/>
        <v>0</v>
      </c>
      <c r="L26" s="37">
        <f t="shared" si="15"/>
        <v>0</v>
      </c>
      <c r="M26" s="37">
        <f t="shared" si="15"/>
        <v>0</v>
      </c>
      <c r="N26" s="37">
        <f t="shared" si="15"/>
        <v>0</v>
      </c>
      <c r="O26" s="37">
        <f t="shared" ref="O26:O31" si="16">SUM(C26:N26)</f>
        <v>0</v>
      </c>
      <c r="P26" s="38">
        <f t="shared" ref="P26:P31" si="17">O26/$O$16</f>
        <v>0</v>
      </c>
      <c r="Q26" s="6"/>
      <c r="R26" s="6"/>
      <c r="S26" s="6"/>
      <c r="T26" s="6"/>
    </row>
    <row r="27" ht="16.8" spans="1:20">
      <c r="A27" s="36"/>
      <c r="B27" s="4" t="s">
        <v>40</v>
      </c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36">
        <f t="shared" si="16"/>
        <v>0</v>
      </c>
      <c r="P27" s="42">
        <f t="shared" si="17"/>
        <v>0</v>
      </c>
      <c r="Q27" s="4"/>
      <c r="R27" s="6"/>
      <c r="S27" s="6"/>
      <c r="T27" s="6"/>
    </row>
    <row r="28" ht="16.8" spans="1:20">
      <c r="A28" s="36"/>
      <c r="B28" s="4" t="s">
        <v>41</v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36">
        <f t="shared" si="16"/>
        <v>0</v>
      </c>
      <c r="P28" s="42">
        <f t="shared" si="17"/>
        <v>0</v>
      </c>
      <c r="Q28" s="4"/>
      <c r="R28" s="6"/>
      <c r="S28" s="6"/>
      <c r="T28" s="6"/>
    </row>
    <row r="29" ht="16.8" spans="1:20">
      <c r="A29" s="36"/>
      <c r="B29" s="4" t="s">
        <v>42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36">
        <f t="shared" si="16"/>
        <v>0</v>
      </c>
      <c r="P29" s="42">
        <f t="shared" si="17"/>
        <v>0</v>
      </c>
      <c r="Q29" s="6"/>
      <c r="R29" s="6"/>
      <c r="S29" s="6"/>
      <c r="T29" s="6"/>
    </row>
    <row r="30" ht="16.8" spans="1:20">
      <c r="A30" s="36"/>
      <c r="B30" s="4" t="s">
        <v>43</v>
      </c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36">
        <f t="shared" si="16"/>
        <v>0</v>
      </c>
      <c r="P30" s="42">
        <f t="shared" si="17"/>
        <v>0</v>
      </c>
      <c r="Q30" s="6"/>
      <c r="R30" s="6"/>
      <c r="S30" s="6"/>
      <c r="T30" s="6"/>
    </row>
    <row r="31" ht="16.8" spans="1:20">
      <c r="A31" s="36"/>
      <c r="B31" s="4" t="s">
        <v>44</v>
      </c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36">
        <f t="shared" si="16"/>
        <v>0</v>
      </c>
      <c r="P31" s="42">
        <f t="shared" si="17"/>
        <v>0</v>
      </c>
      <c r="Q31" s="6"/>
      <c r="R31" s="6"/>
      <c r="S31" s="6"/>
      <c r="T31" s="6"/>
    </row>
    <row r="32" ht="16.8" outlineLevel="1" spans="1:20">
      <c r="A32" s="36"/>
      <c r="B32" s="4" t="s">
        <v>45</v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42"/>
      <c r="Q32" s="6"/>
      <c r="R32" s="6"/>
      <c r="S32" s="6"/>
      <c r="T32" s="6"/>
    </row>
    <row r="33" ht="16.8" outlineLevel="1" spans="1:20">
      <c r="A33" s="36"/>
      <c r="B33" s="4" t="s">
        <v>46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42"/>
      <c r="Q33" s="6"/>
      <c r="R33" s="6"/>
      <c r="S33" s="6"/>
      <c r="T33" s="6"/>
    </row>
    <row r="34" ht="16.8" outlineLevel="1" spans="1:20">
      <c r="A34" s="36"/>
      <c r="B34" s="4" t="s">
        <v>47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42"/>
      <c r="Q34" s="6"/>
      <c r="R34" s="6"/>
      <c r="S34" s="6"/>
      <c r="T34" s="6"/>
    </row>
    <row r="35" ht="16.8" outlineLevel="1" spans="1:20">
      <c r="A35" s="36"/>
      <c r="B35" s="4" t="s">
        <v>48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42"/>
      <c r="Q35" s="6"/>
      <c r="R35" s="6"/>
      <c r="S35" s="6"/>
      <c r="T35" s="6"/>
    </row>
    <row r="36" ht="16.8" outlineLevel="1" spans="1:20">
      <c r="A36" s="36"/>
      <c r="B36" s="4" t="s">
        <v>49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36"/>
      <c r="P36" s="42"/>
      <c r="Q36" s="6"/>
      <c r="R36" s="6"/>
      <c r="S36" s="6"/>
      <c r="T36" s="6"/>
    </row>
    <row r="37" ht="16.8" spans="1:20">
      <c r="A37" s="6"/>
      <c r="B37" s="17" t="s">
        <v>50</v>
      </c>
      <c r="C37" s="37">
        <f t="shared" ref="C37:N37" si="18">SUM(C38:C40)</f>
        <v>0</v>
      </c>
      <c r="D37" s="37">
        <f t="shared" si="18"/>
        <v>0</v>
      </c>
      <c r="E37" s="37">
        <f t="shared" si="18"/>
        <v>0</v>
      </c>
      <c r="F37" s="37">
        <f t="shared" si="18"/>
        <v>0</v>
      </c>
      <c r="G37" s="37">
        <f t="shared" si="18"/>
        <v>0</v>
      </c>
      <c r="H37" s="37">
        <f t="shared" si="18"/>
        <v>0</v>
      </c>
      <c r="I37" s="37">
        <f t="shared" si="18"/>
        <v>0</v>
      </c>
      <c r="J37" s="37">
        <f t="shared" si="18"/>
        <v>0</v>
      </c>
      <c r="K37" s="37">
        <f t="shared" si="18"/>
        <v>0</v>
      </c>
      <c r="L37" s="37">
        <f t="shared" si="18"/>
        <v>0</v>
      </c>
      <c r="M37" s="37">
        <f t="shared" si="18"/>
        <v>0</v>
      </c>
      <c r="N37" s="37">
        <f t="shared" si="18"/>
        <v>0</v>
      </c>
      <c r="O37" s="37">
        <f>SUM(C37:N37)</f>
        <v>0</v>
      </c>
      <c r="P37" s="38">
        <f>O37/$O$16</f>
        <v>0</v>
      </c>
      <c r="Q37" s="6"/>
      <c r="R37" s="6"/>
      <c r="S37" s="6"/>
      <c r="T37" s="6"/>
    </row>
    <row r="38" ht="16.8" spans="1:20">
      <c r="A38" s="36"/>
      <c r="B38" s="4" t="s">
        <v>51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36">
        <f>SUM(C38:N38)</f>
        <v>0</v>
      </c>
      <c r="P38" s="42">
        <f>O38/$O$16</f>
        <v>0</v>
      </c>
      <c r="Q38" s="6" t="s">
        <v>91</v>
      </c>
      <c r="R38" s="6"/>
      <c r="S38" s="6"/>
      <c r="T38" s="6"/>
    </row>
    <row r="39" ht="16.8" spans="1:20">
      <c r="A39" s="36"/>
      <c r="B39" s="4" t="s">
        <v>53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36">
        <f>SUM(C39:N39)</f>
        <v>0</v>
      </c>
      <c r="P39" s="42">
        <f>O39/$O$16</f>
        <v>0</v>
      </c>
      <c r="Q39" s="6" t="s">
        <v>91</v>
      </c>
      <c r="R39" s="6"/>
      <c r="S39" s="6"/>
      <c r="T39" s="6"/>
    </row>
    <row r="40" ht="16.8" spans="1:20">
      <c r="A40" s="36"/>
      <c r="B40" s="4" t="s">
        <v>55</v>
      </c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36">
        <f>SUM(C40:N40)</f>
        <v>0</v>
      </c>
      <c r="P40" s="42">
        <f>O40/$O$16</f>
        <v>0</v>
      </c>
      <c r="Q40" s="6" t="s">
        <v>91</v>
      </c>
      <c r="R40" s="6"/>
      <c r="S40" s="6"/>
      <c r="T40" s="6"/>
    </row>
    <row r="41" ht="16.8" outlineLevel="1" spans="1:20">
      <c r="A41" s="36"/>
      <c r="B41" s="4" t="s">
        <v>57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2">
        <f>O38/$O$16</f>
        <v>0</v>
      </c>
      <c r="P41" s="6"/>
      <c r="Q41" s="6" t="s">
        <v>91</v>
      </c>
      <c r="R41" s="6"/>
      <c r="S41" s="6"/>
      <c r="T41" s="6"/>
    </row>
    <row r="42" ht="16.8" outlineLevel="1" spans="1:20">
      <c r="A42" s="36"/>
      <c r="B42" s="4" t="s">
        <v>58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2">
        <f>O39/$O$16</f>
        <v>0</v>
      </c>
      <c r="P42" s="6"/>
      <c r="Q42" s="6" t="s">
        <v>91</v>
      </c>
      <c r="R42" s="6"/>
      <c r="S42" s="6"/>
      <c r="T42" s="6"/>
    </row>
    <row r="43" ht="16.8" outlineLevel="1" spans="1:20">
      <c r="A43" s="36"/>
      <c r="B43" s="4" t="s">
        <v>59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2">
        <f>O40/$O$16</f>
        <v>0</v>
      </c>
      <c r="P43" s="6"/>
      <c r="Q43" s="6" t="s">
        <v>91</v>
      </c>
      <c r="R43" s="6"/>
      <c r="S43" s="6"/>
      <c r="T43" s="6"/>
    </row>
    <row r="44" ht="16.8" spans="1:20">
      <c r="A44" s="6"/>
      <c r="B44" s="17" t="s">
        <v>60</v>
      </c>
      <c r="C44" s="37">
        <f t="shared" ref="C44:N44" si="19">SUM(C45:C46)</f>
        <v>15808.8495575221</v>
      </c>
      <c r="D44" s="37">
        <f t="shared" si="19"/>
        <v>9823.00884955752</v>
      </c>
      <c r="E44" s="37">
        <f t="shared" si="19"/>
        <v>12907.9646017699</v>
      </c>
      <c r="F44" s="37">
        <f t="shared" si="19"/>
        <v>11753.982300885</v>
      </c>
      <c r="G44" s="37">
        <f t="shared" si="19"/>
        <v>11136.2831858407</v>
      </c>
      <c r="H44" s="37">
        <f t="shared" si="19"/>
        <v>13667.2566371681</v>
      </c>
      <c r="I44" s="37">
        <f t="shared" si="19"/>
        <v>11766.3716814159</v>
      </c>
      <c r="J44" s="37">
        <f t="shared" si="19"/>
        <v>12576.9911504425</v>
      </c>
      <c r="K44" s="37">
        <f t="shared" si="19"/>
        <v>11447.7876106195</v>
      </c>
      <c r="L44" s="37">
        <f t="shared" si="19"/>
        <v>16486.7256637168</v>
      </c>
      <c r="M44" s="37">
        <f t="shared" si="19"/>
        <v>21706.1946902655</v>
      </c>
      <c r="N44" s="37">
        <f t="shared" si="19"/>
        <v>22481.4159292035</v>
      </c>
      <c r="O44" s="37">
        <f t="shared" ref="O44:O60" si="20">SUM(C44:N44)</f>
        <v>171562.831858407</v>
      </c>
      <c r="P44" s="38">
        <f>O44/$O$16</f>
        <v>0.02</v>
      </c>
      <c r="Q44" s="6"/>
      <c r="R44" s="6"/>
      <c r="S44" s="6"/>
      <c r="T44" s="6"/>
    </row>
    <row r="45" ht="16.8" spans="1:20">
      <c r="A45" s="36"/>
      <c r="B45" s="4" t="s">
        <v>61</v>
      </c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36">
        <f t="shared" si="20"/>
        <v>0</v>
      </c>
      <c r="P45" s="42">
        <v>0.01</v>
      </c>
      <c r="Q45" s="6" t="s">
        <v>92</v>
      </c>
      <c r="R45" s="6"/>
      <c r="S45" s="6"/>
      <c r="T45" s="6"/>
    </row>
    <row r="46" ht="16.8" spans="1:20">
      <c r="A46" s="36"/>
      <c r="B46" s="4" t="s">
        <v>63</v>
      </c>
      <c r="C46" s="45">
        <f t="shared" ref="C46:N46" si="21">C16*$P$46</f>
        <v>15808.8495575221</v>
      </c>
      <c r="D46" s="45">
        <f t="shared" si="21"/>
        <v>9823.00884955752</v>
      </c>
      <c r="E46" s="45">
        <f t="shared" si="21"/>
        <v>12907.9646017699</v>
      </c>
      <c r="F46" s="45">
        <f t="shared" si="21"/>
        <v>11753.982300885</v>
      </c>
      <c r="G46" s="45">
        <f t="shared" si="21"/>
        <v>11136.2831858407</v>
      </c>
      <c r="H46" s="45">
        <f t="shared" si="21"/>
        <v>13667.2566371681</v>
      </c>
      <c r="I46" s="45">
        <f t="shared" si="21"/>
        <v>11766.3716814159</v>
      </c>
      <c r="J46" s="45">
        <f t="shared" si="21"/>
        <v>12576.9911504425</v>
      </c>
      <c r="K46" s="45">
        <f t="shared" si="21"/>
        <v>11447.7876106195</v>
      </c>
      <c r="L46" s="45">
        <f t="shared" si="21"/>
        <v>16486.7256637168</v>
      </c>
      <c r="M46" s="45">
        <f t="shared" si="21"/>
        <v>21706.1946902655</v>
      </c>
      <c r="N46" s="45">
        <f t="shared" si="21"/>
        <v>22481.4159292035</v>
      </c>
      <c r="O46" s="36">
        <f t="shared" si="20"/>
        <v>171562.831858407</v>
      </c>
      <c r="P46" s="42">
        <v>0.02</v>
      </c>
      <c r="Q46" s="4" t="s">
        <v>83</v>
      </c>
      <c r="R46" s="6"/>
      <c r="S46" s="6"/>
      <c r="T46" s="6"/>
    </row>
    <row r="47" ht="16.8" spans="1:20">
      <c r="A47" s="6"/>
      <c r="B47" s="17" t="s">
        <v>65</v>
      </c>
      <c r="C47" s="37">
        <f t="shared" ref="C47:N47" si="22">SUM(C48:C51)</f>
        <v>411787.508543442</v>
      </c>
      <c r="D47" s="37">
        <f t="shared" si="22"/>
        <v>371724.109360902</v>
      </c>
      <c r="E47" s="37">
        <f t="shared" si="22"/>
        <v>410783.846744361</v>
      </c>
      <c r="F47" s="37">
        <f t="shared" si="22"/>
        <v>395771.329614035</v>
      </c>
      <c r="G47" s="37">
        <f t="shared" si="22"/>
        <v>297825.709017544</v>
      </c>
      <c r="H47" s="37">
        <f t="shared" si="22"/>
        <v>378591.270157895</v>
      </c>
      <c r="I47" s="37">
        <f t="shared" si="22"/>
        <v>339683.468210526</v>
      </c>
      <c r="J47" s="37">
        <f t="shared" si="22"/>
        <v>303145.296666667</v>
      </c>
      <c r="K47" s="37">
        <f t="shared" si="22"/>
        <v>288371.228157895</v>
      </c>
      <c r="L47" s="37">
        <f t="shared" si="22"/>
        <v>364122.684473684</v>
      </c>
      <c r="M47" s="37">
        <f t="shared" si="22"/>
        <v>385831.867719298</v>
      </c>
      <c r="N47" s="37">
        <f t="shared" si="22"/>
        <v>391421.469780702</v>
      </c>
      <c r="O47" s="37">
        <f t="shared" si="20"/>
        <v>4339059.78844695</v>
      </c>
      <c r="P47" s="38">
        <f t="shared" ref="P47:P52" si="23">O47/$O$16</f>
        <v>0.505827485061337</v>
      </c>
      <c r="Q47" s="6"/>
      <c r="R47" s="6"/>
      <c r="S47" s="6"/>
      <c r="T47" s="6"/>
    </row>
    <row r="48" ht="16.8" spans="1:20">
      <c r="A48" s="36"/>
      <c r="B48" s="4" t="s">
        <v>66</v>
      </c>
      <c r="C48" s="45">
        <f t="shared" ref="C48:N48" si="24">C6*0.03</f>
        <v>28206.3157894737</v>
      </c>
      <c r="D48" s="45">
        <f t="shared" si="24"/>
        <v>17526.3157894737</v>
      </c>
      <c r="E48" s="45">
        <f t="shared" si="24"/>
        <v>23030.5263157895</v>
      </c>
      <c r="F48" s="45">
        <f t="shared" si="24"/>
        <v>20971.5789473684</v>
      </c>
      <c r="G48" s="45">
        <f t="shared" si="24"/>
        <v>19869.4736842105</v>
      </c>
      <c r="H48" s="45">
        <f t="shared" si="24"/>
        <v>24385.2631578947</v>
      </c>
      <c r="I48" s="45">
        <f t="shared" si="24"/>
        <v>20993.6842105263</v>
      </c>
      <c r="J48" s="45">
        <f t="shared" si="24"/>
        <v>22440</v>
      </c>
      <c r="K48" s="45">
        <f t="shared" si="24"/>
        <v>20425.2631578947</v>
      </c>
      <c r="L48" s="45">
        <f t="shared" si="24"/>
        <v>29415.7894736842</v>
      </c>
      <c r="M48" s="45">
        <f t="shared" si="24"/>
        <v>38728.4210526316</v>
      </c>
      <c r="N48" s="45">
        <f t="shared" si="24"/>
        <v>40111.5789473684</v>
      </c>
      <c r="O48" s="36">
        <f t="shared" si="20"/>
        <v>306104.210526316</v>
      </c>
      <c r="P48" s="42">
        <f t="shared" si="23"/>
        <v>0.0356842105263158</v>
      </c>
      <c r="Q48" s="4" t="s">
        <v>95</v>
      </c>
      <c r="R48" s="6"/>
      <c r="S48" s="6"/>
      <c r="T48" s="6"/>
    </row>
    <row r="49" ht="16.8" spans="1:20">
      <c r="A49" s="36"/>
      <c r="B49" s="4" t="s">
        <v>67</v>
      </c>
      <c r="C49" s="45">
        <v>151958.471673633</v>
      </c>
      <c r="D49" s="45">
        <v>132683.535</v>
      </c>
      <c r="E49" s="45">
        <v>144087.636</v>
      </c>
      <c r="F49" s="45">
        <v>135605.015</v>
      </c>
      <c r="G49" s="45">
        <v>102872.77</v>
      </c>
      <c r="H49" s="45">
        <v>143943.345</v>
      </c>
      <c r="I49" s="45">
        <v>131789.64</v>
      </c>
      <c r="J49" s="45">
        <v>112127.73</v>
      </c>
      <c r="K49" s="45">
        <v>107031.015</v>
      </c>
      <c r="L49" s="45">
        <v>130051.305</v>
      </c>
      <c r="M49" s="45">
        <v>134868.02</v>
      </c>
      <c r="N49" s="45">
        <v>139684.735</v>
      </c>
      <c r="O49" s="36">
        <f t="shared" si="20"/>
        <v>1566703.21767363</v>
      </c>
      <c r="P49" s="42">
        <f t="shared" si="23"/>
        <v>0.182639001781767</v>
      </c>
      <c r="Q49" s="4" t="s">
        <v>95</v>
      </c>
      <c r="R49" s="6"/>
      <c r="S49" s="6"/>
      <c r="T49" s="6"/>
    </row>
    <row r="50" ht="16.8" spans="1:20">
      <c r="A50" s="36"/>
      <c r="B50" s="4" t="s">
        <v>68</v>
      </c>
      <c r="C50" s="45">
        <v>112000</v>
      </c>
      <c r="D50" s="45">
        <v>120000</v>
      </c>
      <c r="E50" s="45">
        <v>132000</v>
      </c>
      <c r="F50" s="45">
        <v>145000</v>
      </c>
      <c r="G50" s="45">
        <v>110000</v>
      </c>
      <c r="H50" s="45">
        <v>135000</v>
      </c>
      <c r="I50" s="45">
        <v>120000</v>
      </c>
      <c r="J50" s="45">
        <v>110000</v>
      </c>
      <c r="K50" s="45">
        <v>105000</v>
      </c>
      <c r="L50" s="45">
        <v>135000</v>
      </c>
      <c r="M50" s="45">
        <v>140000</v>
      </c>
      <c r="N50" s="45">
        <v>145000</v>
      </c>
      <c r="O50" s="36">
        <f t="shared" si="20"/>
        <v>1509000</v>
      </c>
      <c r="P50" s="42">
        <f t="shared" si="23"/>
        <v>0.175912228033796</v>
      </c>
      <c r="Q50" s="4" t="s">
        <v>95</v>
      </c>
      <c r="R50" s="6"/>
      <c r="S50" s="6"/>
      <c r="T50" s="6"/>
    </row>
    <row r="51" ht="16.8" spans="1:20">
      <c r="A51" s="6"/>
      <c r="B51" s="4" t="s">
        <v>69</v>
      </c>
      <c r="C51" s="45">
        <v>119622.721080335</v>
      </c>
      <c r="D51" s="45">
        <v>101514.258571429</v>
      </c>
      <c r="E51" s="45">
        <v>111665.684428571</v>
      </c>
      <c r="F51" s="45">
        <v>94194.7356666666</v>
      </c>
      <c r="G51" s="45">
        <v>65083.4653333333</v>
      </c>
      <c r="H51" s="45">
        <v>75262.662</v>
      </c>
      <c r="I51" s="45">
        <v>66900.144</v>
      </c>
      <c r="J51" s="45">
        <v>58577.5666666667</v>
      </c>
      <c r="K51" s="45">
        <v>55914.95</v>
      </c>
      <c r="L51" s="45">
        <v>69655.59</v>
      </c>
      <c r="M51" s="45">
        <v>72235.4266666667</v>
      </c>
      <c r="N51" s="45">
        <v>66625.1558333333</v>
      </c>
      <c r="O51" s="36">
        <f t="shared" si="20"/>
        <v>957252.360247002</v>
      </c>
      <c r="P51" s="42">
        <f t="shared" si="23"/>
        <v>0.111592044719457</v>
      </c>
      <c r="Q51" s="57" t="s">
        <v>141</v>
      </c>
      <c r="R51" s="6"/>
      <c r="S51" s="6"/>
      <c r="T51" s="6"/>
    </row>
    <row r="52" ht="16.8" spans="1:20">
      <c r="A52" s="6"/>
      <c r="B52" s="21" t="s">
        <v>70</v>
      </c>
      <c r="C52" s="40">
        <f t="shared" ref="C52:N52" si="25">SUM(C26,C37,C44,C47)</f>
        <v>427596.358100964</v>
      </c>
      <c r="D52" s="40">
        <f t="shared" si="25"/>
        <v>381547.11821046</v>
      </c>
      <c r="E52" s="40">
        <f t="shared" si="25"/>
        <v>423691.811346131</v>
      </c>
      <c r="F52" s="40">
        <f t="shared" si="25"/>
        <v>407525.31191492</v>
      </c>
      <c r="G52" s="40">
        <f t="shared" si="25"/>
        <v>308961.992203385</v>
      </c>
      <c r="H52" s="40">
        <f t="shared" si="25"/>
        <v>392258.526795063</v>
      </c>
      <c r="I52" s="40">
        <f t="shared" si="25"/>
        <v>351449.839891942</v>
      </c>
      <c r="J52" s="40">
        <f t="shared" si="25"/>
        <v>315722.287817109</v>
      </c>
      <c r="K52" s="40">
        <f t="shared" si="25"/>
        <v>299819.015768514</v>
      </c>
      <c r="L52" s="40">
        <f t="shared" si="25"/>
        <v>380609.410137401</v>
      </c>
      <c r="M52" s="40">
        <f t="shared" si="25"/>
        <v>407538.062409564</v>
      </c>
      <c r="N52" s="40">
        <f t="shared" si="25"/>
        <v>413902.885709905</v>
      </c>
      <c r="O52" s="40">
        <f t="shared" si="20"/>
        <v>4510622.62030536</v>
      </c>
      <c r="P52" s="41">
        <f t="shared" si="23"/>
        <v>0.525827485061336</v>
      </c>
      <c r="Q52" s="6"/>
      <c r="R52" s="6"/>
      <c r="S52" s="6"/>
      <c r="T52" s="6"/>
    </row>
    <row r="53" ht="16.8" spans="1:20">
      <c r="A53" s="36"/>
      <c r="B53" s="4" t="s">
        <v>71</v>
      </c>
      <c r="C53" s="45">
        <f t="shared" ref="C53:N53" si="26">C16*$P$53</f>
        <v>0</v>
      </c>
      <c r="D53" s="45">
        <f t="shared" si="26"/>
        <v>0</v>
      </c>
      <c r="E53" s="45">
        <f t="shared" si="26"/>
        <v>0</v>
      </c>
      <c r="F53" s="45">
        <f t="shared" si="26"/>
        <v>0</v>
      </c>
      <c r="G53" s="45">
        <f t="shared" si="26"/>
        <v>0</v>
      </c>
      <c r="H53" s="45">
        <f t="shared" si="26"/>
        <v>0</v>
      </c>
      <c r="I53" s="45">
        <f t="shared" si="26"/>
        <v>0</v>
      </c>
      <c r="J53" s="45">
        <f t="shared" si="26"/>
        <v>0</v>
      </c>
      <c r="K53" s="45">
        <f t="shared" si="26"/>
        <v>0</v>
      </c>
      <c r="L53" s="45">
        <f t="shared" si="26"/>
        <v>0</v>
      </c>
      <c r="M53" s="45">
        <f t="shared" si="26"/>
        <v>0</v>
      </c>
      <c r="N53" s="45">
        <f t="shared" si="26"/>
        <v>0</v>
      </c>
      <c r="O53" s="36">
        <f t="shared" si="20"/>
        <v>0</v>
      </c>
      <c r="P53" s="42">
        <v>0</v>
      </c>
      <c r="Q53" s="6"/>
      <c r="R53" s="6"/>
      <c r="S53" s="6"/>
      <c r="T53" s="6"/>
    </row>
    <row r="54" ht="16.8" spans="1:20">
      <c r="A54" s="36"/>
      <c r="B54" s="4" t="s">
        <v>73</v>
      </c>
      <c r="C54" s="45">
        <f t="shared" ref="C54:N54" si="27">C16*$P$54</f>
        <v>0</v>
      </c>
      <c r="D54" s="45">
        <f t="shared" si="27"/>
        <v>0</v>
      </c>
      <c r="E54" s="45">
        <f t="shared" si="27"/>
        <v>0</v>
      </c>
      <c r="F54" s="45">
        <f t="shared" si="27"/>
        <v>0</v>
      </c>
      <c r="G54" s="45">
        <f t="shared" si="27"/>
        <v>0</v>
      </c>
      <c r="H54" s="45">
        <f t="shared" si="27"/>
        <v>0</v>
      </c>
      <c r="I54" s="45">
        <f t="shared" si="27"/>
        <v>0</v>
      </c>
      <c r="J54" s="45">
        <f t="shared" si="27"/>
        <v>0</v>
      </c>
      <c r="K54" s="45">
        <f t="shared" si="27"/>
        <v>0</v>
      </c>
      <c r="L54" s="45">
        <f t="shared" si="27"/>
        <v>0</v>
      </c>
      <c r="M54" s="45">
        <f t="shared" si="27"/>
        <v>0</v>
      </c>
      <c r="N54" s="45">
        <f t="shared" si="27"/>
        <v>0</v>
      </c>
      <c r="O54" s="36">
        <f t="shared" si="20"/>
        <v>0</v>
      </c>
      <c r="P54" s="42">
        <v>0</v>
      </c>
      <c r="Q54" s="6"/>
      <c r="R54" s="6"/>
      <c r="S54" s="6"/>
      <c r="T54" s="6"/>
    </row>
    <row r="55" ht="16.8" spans="1:20">
      <c r="A55" s="36"/>
      <c r="B55" s="4" t="s">
        <v>75</v>
      </c>
      <c r="C55" s="45">
        <v>23467.2370507496</v>
      </c>
      <c r="D55" s="45">
        <v>15345.4910299828</v>
      </c>
      <c r="E55" s="45">
        <v>11969.3635038827</v>
      </c>
      <c r="F55" s="45">
        <v>18420.1710622476</v>
      </c>
      <c r="G55" s="45">
        <v>15819.1910614661</v>
      </c>
      <c r="H55" s="45">
        <v>11082.4350764733</v>
      </c>
      <c r="I55" s="45">
        <v>15440.901832751</v>
      </c>
      <c r="J55" s="45">
        <v>11945.8967332798</v>
      </c>
      <c r="K55" s="45">
        <v>16460.6901639569</v>
      </c>
      <c r="L55" s="45">
        <v>12992.8612063055</v>
      </c>
      <c r="M55" s="45">
        <v>11380.2287286008</v>
      </c>
      <c r="N55" s="45">
        <v>11103.4252309643</v>
      </c>
      <c r="O55" s="36">
        <f t="shared" si="20"/>
        <v>175427.89268066</v>
      </c>
      <c r="P55" s="42">
        <v>0.03</v>
      </c>
      <c r="Q55" s="6"/>
      <c r="R55" s="6"/>
      <c r="S55" s="6"/>
      <c r="T55" s="6"/>
    </row>
    <row r="56" ht="16.8" spans="1:20">
      <c r="A56" s="36"/>
      <c r="B56" s="4" t="s">
        <v>77</v>
      </c>
      <c r="C56" s="45">
        <f t="shared" ref="C56:N56" si="28">C16*$P$56</f>
        <v>0</v>
      </c>
      <c r="D56" s="45">
        <f t="shared" si="28"/>
        <v>0</v>
      </c>
      <c r="E56" s="45">
        <f t="shared" si="28"/>
        <v>0</v>
      </c>
      <c r="F56" s="45">
        <f t="shared" si="28"/>
        <v>0</v>
      </c>
      <c r="G56" s="45">
        <f t="shared" si="28"/>
        <v>0</v>
      </c>
      <c r="H56" s="45">
        <f t="shared" si="28"/>
        <v>0</v>
      </c>
      <c r="I56" s="45">
        <f t="shared" si="28"/>
        <v>0</v>
      </c>
      <c r="J56" s="45">
        <f t="shared" si="28"/>
        <v>0</v>
      </c>
      <c r="K56" s="45">
        <f t="shared" si="28"/>
        <v>0</v>
      </c>
      <c r="L56" s="45">
        <f t="shared" si="28"/>
        <v>0</v>
      </c>
      <c r="M56" s="45">
        <f t="shared" si="28"/>
        <v>0</v>
      </c>
      <c r="N56" s="45">
        <f t="shared" si="28"/>
        <v>0</v>
      </c>
      <c r="O56" s="36">
        <f t="shared" si="20"/>
        <v>0</v>
      </c>
      <c r="P56" s="42">
        <v>0</v>
      </c>
      <c r="Q56" s="6"/>
      <c r="R56" s="6"/>
      <c r="S56" s="6"/>
      <c r="T56" s="6"/>
    </row>
    <row r="57" ht="16.8" spans="1:20">
      <c r="A57" s="36"/>
      <c r="B57" s="4" t="s">
        <v>79</v>
      </c>
      <c r="C57" s="45">
        <v>2776.64245015045</v>
      </c>
      <c r="D57" s="45"/>
      <c r="E57" s="45"/>
      <c r="F57" s="45"/>
      <c r="G57" s="45">
        <v>1110.65698006018</v>
      </c>
      <c r="H57" s="45"/>
      <c r="I57" s="45"/>
      <c r="J57" s="45"/>
      <c r="K57" s="45"/>
      <c r="L57" s="45">
        <v>1110.65698006018</v>
      </c>
      <c r="M57" s="45"/>
      <c r="N57" s="45">
        <v>3331.97094018054</v>
      </c>
      <c r="O57" s="36">
        <f t="shared" si="20"/>
        <v>8329.92735045134</v>
      </c>
      <c r="P57" s="42">
        <f>O57/$O$16</f>
        <v>0.000971064333716073</v>
      </c>
      <c r="Q57" s="4"/>
      <c r="R57" s="6"/>
      <c r="S57" s="6"/>
      <c r="T57" s="6"/>
    </row>
    <row r="58" ht="16.8" spans="1:20">
      <c r="A58" s="6"/>
      <c r="B58" s="21" t="s">
        <v>80</v>
      </c>
      <c r="C58" s="40">
        <f t="shared" ref="C58:N58" si="29">SUM(C53:C57)</f>
        <v>26243.8795009</v>
      </c>
      <c r="D58" s="40">
        <f t="shared" si="29"/>
        <v>15345.4910299828</v>
      </c>
      <c r="E58" s="40">
        <f t="shared" si="29"/>
        <v>11969.3635038827</v>
      </c>
      <c r="F58" s="40">
        <f t="shared" si="29"/>
        <v>18420.1710622476</v>
      </c>
      <c r="G58" s="40">
        <f t="shared" si="29"/>
        <v>16929.8480415263</v>
      </c>
      <c r="H58" s="40">
        <f t="shared" si="29"/>
        <v>11082.4350764733</v>
      </c>
      <c r="I58" s="40">
        <f t="shared" si="29"/>
        <v>15440.901832751</v>
      </c>
      <c r="J58" s="40">
        <f t="shared" si="29"/>
        <v>11945.8967332798</v>
      </c>
      <c r="K58" s="40">
        <f t="shared" si="29"/>
        <v>16460.6901639569</v>
      </c>
      <c r="L58" s="40">
        <f t="shared" si="29"/>
        <v>14103.5181863657</v>
      </c>
      <c r="M58" s="40">
        <f t="shared" si="29"/>
        <v>11380.2287286008</v>
      </c>
      <c r="N58" s="40">
        <f t="shared" si="29"/>
        <v>14435.3961711448</v>
      </c>
      <c r="O58" s="40">
        <f t="shared" si="20"/>
        <v>183757.820031112</v>
      </c>
      <c r="P58" s="41">
        <f>O58/$O$16</f>
        <v>0.0214216352155774</v>
      </c>
      <c r="Q58" s="6"/>
      <c r="R58" s="6"/>
      <c r="S58" s="6"/>
      <c r="T58" s="6"/>
    </row>
    <row r="59" ht="16.8" spans="1:20">
      <c r="A59" s="32"/>
      <c r="B59" s="12" t="s">
        <v>81</v>
      </c>
      <c r="C59" s="12">
        <f t="shared" ref="C59:N59" si="30">SUM(C52,C58)</f>
        <v>453840.237601864</v>
      </c>
      <c r="D59" s="12">
        <f t="shared" si="30"/>
        <v>396892.609240443</v>
      </c>
      <c r="E59" s="12">
        <f t="shared" si="30"/>
        <v>435661.174850014</v>
      </c>
      <c r="F59" s="12">
        <f t="shared" si="30"/>
        <v>425945.482977168</v>
      </c>
      <c r="G59" s="12">
        <f t="shared" si="30"/>
        <v>325891.840244911</v>
      </c>
      <c r="H59" s="12">
        <f t="shared" si="30"/>
        <v>403340.961871536</v>
      </c>
      <c r="I59" s="12">
        <f t="shared" si="30"/>
        <v>366890.741724693</v>
      </c>
      <c r="J59" s="12">
        <f t="shared" si="30"/>
        <v>327668.184550389</v>
      </c>
      <c r="K59" s="12">
        <f t="shared" si="30"/>
        <v>316279.705932471</v>
      </c>
      <c r="L59" s="12">
        <f t="shared" si="30"/>
        <v>394712.928323767</v>
      </c>
      <c r="M59" s="12">
        <f t="shared" si="30"/>
        <v>418918.291138165</v>
      </c>
      <c r="N59" s="12">
        <f t="shared" si="30"/>
        <v>428338.28188105</v>
      </c>
      <c r="O59" s="12">
        <f t="shared" si="20"/>
        <v>4694380.44033647</v>
      </c>
      <c r="P59" s="43">
        <f>O59/$O$16</f>
        <v>0.547249120276914</v>
      </c>
      <c r="Q59" s="32"/>
      <c r="R59" s="48"/>
      <c r="S59" s="6"/>
      <c r="T59" s="6"/>
    </row>
    <row r="60" ht="16.8" spans="1:20">
      <c r="A60" s="32"/>
      <c r="B60" s="12" t="s">
        <v>82</v>
      </c>
      <c r="C60" s="12">
        <f t="shared" ref="C60:N60" si="31">C22-C59</f>
        <v>-70475.6358319526</v>
      </c>
      <c r="D60" s="12">
        <f t="shared" si="31"/>
        <v>-153773.140213894</v>
      </c>
      <c r="E60" s="12">
        <f t="shared" si="31"/>
        <v>-109735.068655323</v>
      </c>
      <c r="F60" s="12">
        <f t="shared" si="31"/>
        <v>-123280.43872938</v>
      </c>
      <c r="G60" s="12">
        <f t="shared" si="31"/>
        <v>-33564.4066165922</v>
      </c>
      <c r="H60" s="12">
        <f t="shared" si="31"/>
        <v>-37741.8468272884</v>
      </c>
      <c r="I60" s="12">
        <f t="shared" si="31"/>
        <v>-46257.1134061092</v>
      </c>
      <c r="J60" s="12">
        <f t="shared" si="31"/>
        <v>27631.8154496111</v>
      </c>
      <c r="K60" s="12">
        <f t="shared" si="31"/>
        <v>12844.1878728387</v>
      </c>
      <c r="L60" s="12">
        <f t="shared" si="31"/>
        <v>87523.7973399502</v>
      </c>
      <c r="M60" s="12">
        <f t="shared" si="31"/>
        <v>226841.000897234</v>
      </c>
      <c r="N60" s="12">
        <f t="shared" si="31"/>
        <v>251724.549977357</v>
      </c>
      <c r="O60" s="12">
        <f t="shared" si="20"/>
        <v>31737.7012564512</v>
      </c>
      <c r="P60" s="43">
        <f>O60/$O$16</f>
        <v>0.00369983415552906</v>
      </c>
      <c r="Q60" s="32"/>
      <c r="R60" s="49"/>
      <c r="S60" s="6"/>
      <c r="T60" s="6"/>
    </row>
    <row r="61" spans="1:20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>
      <c r="A62" s="6"/>
      <c r="B62" s="6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6"/>
      <c r="Q62" s="6"/>
      <c r="R62" s="6"/>
      <c r="S62" s="6"/>
      <c r="T62" s="6"/>
    </row>
    <row r="63" spans="1:20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>
      <c r="A82" s="6"/>
      <c r="B82" s="6"/>
      <c r="C82" s="35">
        <f t="shared" ref="C82:O82" si="32">C16-C18-C20-C26-C37-C44-C47-C58-C60</f>
        <v>0</v>
      </c>
      <c r="D82" s="35">
        <f t="shared" si="32"/>
        <v>0</v>
      </c>
      <c r="E82" s="35">
        <f t="shared" si="32"/>
        <v>0</v>
      </c>
      <c r="F82" s="35">
        <f t="shared" si="32"/>
        <v>0</v>
      </c>
      <c r="G82" s="35">
        <f t="shared" si="32"/>
        <v>0</v>
      </c>
      <c r="H82" s="35">
        <f t="shared" si="32"/>
        <v>0</v>
      </c>
      <c r="I82" s="35">
        <f t="shared" si="32"/>
        <v>0</v>
      </c>
      <c r="J82" s="35">
        <f t="shared" si="32"/>
        <v>0</v>
      </c>
      <c r="K82" s="35">
        <f t="shared" si="32"/>
        <v>-1.45519152283669e-11</v>
      </c>
      <c r="L82" s="35">
        <f t="shared" si="32"/>
        <v>0</v>
      </c>
      <c r="M82" s="35">
        <f t="shared" si="32"/>
        <v>0</v>
      </c>
      <c r="N82" s="35">
        <f t="shared" si="32"/>
        <v>0</v>
      </c>
      <c r="O82" s="35">
        <f t="shared" si="32"/>
        <v>1.22236087918282e-9</v>
      </c>
      <c r="P82" s="6"/>
      <c r="Q82" s="6"/>
      <c r="R82" s="6"/>
      <c r="S82" s="6"/>
      <c r="T82" s="6"/>
    </row>
    <row r="83" spans="1:20">
      <c r="A83" s="6"/>
      <c r="B83" s="6"/>
      <c r="C83" s="53">
        <f t="shared" ref="C83:O83" si="33">C10-C11-C12-C13-C15</f>
        <v>0</v>
      </c>
      <c r="D83" s="53">
        <f t="shared" si="33"/>
        <v>0</v>
      </c>
      <c r="E83" s="53">
        <f t="shared" si="33"/>
        <v>0</v>
      </c>
      <c r="F83" s="53">
        <f t="shared" si="33"/>
        <v>0</v>
      </c>
      <c r="G83" s="53">
        <f t="shared" si="33"/>
        <v>0</v>
      </c>
      <c r="H83" s="53">
        <f t="shared" si="33"/>
        <v>0</v>
      </c>
      <c r="I83" s="53">
        <f t="shared" si="33"/>
        <v>0</v>
      </c>
      <c r="J83" s="53">
        <f t="shared" si="33"/>
        <v>0</v>
      </c>
      <c r="K83" s="53">
        <f t="shared" si="33"/>
        <v>0</v>
      </c>
      <c r="L83" s="53">
        <f t="shared" si="33"/>
        <v>0</v>
      </c>
      <c r="M83" s="53">
        <f t="shared" si="33"/>
        <v>0</v>
      </c>
      <c r="N83" s="53">
        <f t="shared" si="33"/>
        <v>0</v>
      </c>
      <c r="O83" s="53">
        <f t="shared" si="33"/>
        <v>0</v>
      </c>
      <c r="P83" s="6"/>
      <c r="Q83" s="6"/>
      <c r="R83" s="6"/>
      <c r="S83" s="6"/>
      <c r="T83" s="6"/>
    </row>
    <row r="84" spans="1:20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1:20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1:20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1:2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</sheetData>
  <pageMargins left="0.75" right="0.75" top="1" bottom="1" header="0.5" footer="0.5"/>
  <headerFooter/>
  <picture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1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4.4"/>
  <cols>
    <col min="1" max="1" width="7" customWidth="1"/>
    <col min="2" max="2" width="30" customWidth="1"/>
    <col min="3" max="15" width="19" customWidth="1"/>
    <col min="16" max="17" width="14" customWidth="1"/>
    <col min="18" max="18" width="11" customWidth="1"/>
    <col min="19" max="20" width="14" customWidth="1"/>
  </cols>
  <sheetData>
    <row r="1" ht="17" spans="1:20">
      <c r="A1" s="6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6"/>
      <c r="S1" s="6"/>
      <c r="T1" s="6"/>
    </row>
    <row r="2" ht="16.8" spans="1:20">
      <c r="A2" s="6"/>
      <c r="B2" s="4" t="s">
        <v>16</v>
      </c>
      <c r="C2" s="36">
        <v>305.010893246187</v>
      </c>
      <c r="D2" s="36">
        <v>326.797385620915</v>
      </c>
      <c r="E2" s="36">
        <v>359.477124183007</v>
      </c>
      <c r="F2" s="36">
        <v>631.808278867102</v>
      </c>
      <c r="G2" s="36">
        <v>718.954248366013</v>
      </c>
      <c r="H2" s="36">
        <v>1764.70588235294</v>
      </c>
      <c r="I2" s="36">
        <v>2091.50326797386</v>
      </c>
      <c r="J2" s="36">
        <v>2156.86274509804</v>
      </c>
      <c r="K2" s="36">
        <v>2058.82352941176</v>
      </c>
      <c r="L2" s="36">
        <v>3529.41176470588</v>
      </c>
      <c r="M2" s="36">
        <v>3660.13071895425</v>
      </c>
      <c r="N2" s="36">
        <v>4422.65795206972</v>
      </c>
      <c r="O2" s="36">
        <f>SUM(C2:N2)</f>
        <v>22026.1437908497</v>
      </c>
      <c r="P2" s="36"/>
      <c r="Q2" s="6"/>
      <c r="R2" s="6"/>
      <c r="S2" s="6"/>
      <c r="T2" s="6"/>
    </row>
    <row r="3" ht="16.8" spans="1:20">
      <c r="A3" s="32"/>
      <c r="B3" s="8" t="s">
        <v>17</v>
      </c>
      <c r="C3" s="8">
        <f t="shared" ref="C3:N3" si="0">C6/(1-$P$12)</f>
        <v>147368.421052632</v>
      </c>
      <c r="D3" s="8">
        <f t="shared" si="0"/>
        <v>157894.736842105</v>
      </c>
      <c r="E3" s="8">
        <f t="shared" si="0"/>
        <v>173684.210526316</v>
      </c>
      <c r="F3" s="8">
        <f t="shared" si="0"/>
        <v>305263.157894737</v>
      </c>
      <c r="G3" s="8">
        <f t="shared" si="0"/>
        <v>347368.421052632</v>
      </c>
      <c r="H3" s="8">
        <f t="shared" si="0"/>
        <v>852631.578947368</v>
      </c>
      <c r="I3" s="8">
        <f t="shared" si="0"/>
        <v>1010526.31578947</v>
      </c>
      <c r="J3" s="8">
        <f t="shared" si="0"/>
        <v>1042105.26315789</v>
      </c>
      <c r="K3" s="8">
        <f t="shared" si="0"/>
        <v>994736.842105263</v>
      </c>
      <c r="L3" s="8">
        <f t="shared" si="0"/>
        <v>1705263.15789474</v>
      </c>
      <c r="M3" s="8">
        <f t="shared" si="0"/>
        <v>1768421.05263158</v>
      </c>
      <c r="N3" s="8">
        <f t="shared" si="0"/>
        <v>2136842.10526316</v>
      </c>
      <c r="O3" s="8">
        <f>SUM(C3:N3)</f>
        <v>10642105.2631579</v>
      </c>
      <c r="P3" s="8"/>
      <c r="Q3" s="10" t="s">
        <v>83</v>
      </c>
      <c r="R3" s="6"/>
      <c r="S3" s="6"/>
      <c r="T3" s="6"/>
    </row>
    <row r="4" ht="16.8" spans="1:20">
      <c r="A4" s="32"/>
      <c r="B4" s="8" t="s">
        <v>84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10" t="s">
        <v>83</v>
      </c>
      <c r="R4" s="6"/>
      <c r="S4" s="6"/>
      <c r="T4" s="6"/>
    </row>
    <row r="5" ht="16.8" spans="1:20">
      <c r="A5" s="32"/>
      <c r="B5" s="8" t="s">
        <v>18</v>
      </c>
      <c r="C5" s="8">
        <f t="shared" ref="C5:N5" si="1">C3*$P$12</f>
        <v>0</v>
      </c>
      <c r="D5" s="8">
        <f t="shared" si="1"/>
        <v>0</v>
      </c>
      <c r="E5" s="8">
        <f t="shared" si="1"/>
        <v>0</v>
      </c>
      <c r="F5" s="8">
        <f t="shared" si="1"/>
        <v>0</v>
      </c>
      <c r="G5" s="8">
        <f t="shared" si="1"/>
        <v>0</v>
      </c>
      <c r="H5" s="8">
        <f t="shared" si="1"/>
        <v>0</v>
      </c>
      <c r="I5" s="8">
        <f t="shared" si="1"/>
        <v>0</v>
      </c>
      <c r="J5" s="8">
        <f t="shared" si="1"/>
        <v>0</v>
      </c>
      <c r="K5" s="8">
        <f t="shared" si="1"/>
        <v>0</v>
      </c>
      <c r="L5" s="8">
        <f t="shared" si="1"/>
        <v>0</v>
      </c>
      <c r="M5" s="8">
        <f t="shared" si="1"/>
        <v>0</v>
      </c>
      <c r="N5" s="8">
        <f t="shared" si="1"/>
        <v>0</v>
      </c>
      <c r="O5" s="8">
        <f>SUM(C5:N5)</f>
        <v>0</v>
      </c>
      <c r="P5" s="8"/>
      <c r="Q5" s="11" t="s">
        <v>83</v>
      </c>
      <c r="R5" s="6"/>
      <c r="S5" s="6"/>
      <c r="T5" s="6"/>
    </row>
    <row r="6" ht="16.8" spans="1:20">
      <c r="A6" s="32"/>
      <c r="B6" s="12" t="s">
        <v>85</v>
      </c>
      <c r="C6" s="51">
        <f t="shared" ref="C6:N6" si="2">C8/(1-C7)</f>
        <v>147368.421052632</v>
      </c>
      <c r="D6" s="51">
        <f t="shared" si="2"/>
        <v>157894.736842105</v>
      </c>
      <c r="E6" s="51">
        <f t="shared" si="2"/>
        <v>173684.210526316</v>
      </c>
      <c r="F6" s="51">
        <f t="shared" si="2"/>
        <v>305263.157894737</v>
      </c>
      <c r="G6" s="51">
        <f t="shared" si="2"/>
        <v>347368.421052632</v>
      </c>
      <c r="H6" s="51">
        <f t="shared" si="2"/>
        <v>852631.578947368</v>
      </c>
      <c r="I6" s="51">
        <f t="shared" si="2"/>
        <v>1010526.31578947</v>
      </c>
      <c r="J6" s="51">
        <f t="shared" si="2"/>
        <v>1042105.26315789</v>
      </c>
      <c r="K6" s="51">
        <f t="shared" si="2"/>
        <v>994736.842105263</v>
      </c>
      <c r="L6" s="51">
        <f t="shared" si="2"/>
        <v>1705263.15789474</v>
      </c>
      <c r="M6" s="51">
        <f t="shared" si="2"/>
        <v>1768421.05263158</v>
      </c>
      <c r="N6" s="51">
        <f t="shared" si="2"/>
        <v>2136842.10526316</v>
      </c>
      <c r="O6" s="12">
        <f>SUM(C6:N6)</f>
        <v>10642105.2631579</v>
      </c>
      <c r="P6" s="12"/>
      <c r="Q6" s="11" t="s">
        <v>83</v>
      </c>
      <c r="R6" s="6"/>
      <c r="S6" s="6"/>
      <c r="T6" s="6"/>
    </row>
    <row r="7" ht="16.8" spans="1:20">
      <c r="A7" s="32"/>
      <c r="B7" s="14" t="s">
        <v>20</v>
      </c>
      <c r="C7" s="14">
        <v>0.05</v>
      </c>
      <c r="D7" s="14">
        <v>0.05</v>
      </c>
      <c r="E7" s="14">
        <v>0.05</v>
      </c>
      <c r="F7" s="14">
        <v>0.05</v>
      </c>
      <c r="G7" s="14">
        <v>0.05</v>
      </c>
      <c r="H7" s="14">
        <v>0.05</v>
      </c>
      <c r="I7" s="14">
        <v>0.05</v>
      </c>
      <c r="J7" s="14">
        <v>0.05</v>
      </c>
      <c r="K7" s="14">
        <v>0.05</v>
      </c>
      <c r="L7" s="14">
        <v>0.05</v>
      </c>
      <c r="M7" s="14">
        <v>0.05</v>
      </c>
      <c r="N7" s="14">
        <v>0.05</v>
      </c>
      <c r="O7" s="14">
        <f>1-O8/O6</f>
        <v>0.0500000000000002</v>
      </c>
      <c r="P7" s="14"/>
      <c r="Q7" s="6" t="s">
        <v>83</v>
      </c>
      <c r="R7" s="6"/>
      <c r="S7" s="6"/>
      <c r="T7" s="6"/>
    </row>
    <row r="8" ht="16.8" spans="1:20">
      <c r="A8" s="32"/>
      <c r="B8" s="12" t="s">
        <v>86</v>
      </c>
      <c r="C8" s="12">
        <v>140000</v>
      </c>
      <c r="D8" s="12">
        <v>150000</v>
      </c>
      <c r="E8" s="12">
        <v>165000</v>
      </c>
      <c r="F8" s="12">
        <v>290000</v>
      </c>
      <c r="G8" s="12">
        <v>330000</v>
      </c>
      <c r="H8" s="12">
        <v>810000</v>
      </c>
      <c r="I8" s="12">
        <v>960000</v>
      </c>
      <c r="J8" s="12">
        <v>990000</v>
      </c>
      <c r="K8" s="12">
        <v>945000</v>
      </c>
      <c r="L8" s="12">
        <v>1620000</v>
      </c>
      <c r="M8" s="12">
        <v>1680000</v>
      </c>
      <c r="N8" s="12">
        <v>2030000</v>
      </c>
      <c r="O8" s="12">
        <f>SUM(C8:N8)</f>
        <v>10110000</v>
      </c>
      <c r="P8" s="12"/>
      <c r="Q8" s="6" t="s">
        <v>83</v>
      </c>
      <c r="R8" s="6"/>
      <c r="S8" s="6"/>
      <c r="T8" s="6"/>
    </row>
    <row r="9" ht="16.8" spans="1:20">
      <c r="A9" s="6"/>
      <c r="B9" s="4"/>
      <c r="C9" s="5">
        <f t="shared" ref="C9:O9" si="3">C10-C14-C15</f>
        <v>0</v>
      </c>
      <c r="D9" s="5">
        <f t="shared" si="3"/>
        <v>0</v>
      </c>
      <c r="E9" s="5">
        <f t="shared" si="3"/>
        <v>0</v>
      </c>
      <c r="F9" s="5">
        <f t="shared" si="3"/>
        <v>0</v>
      </c>
      <c r="G9" s="5">
        <f t="shared" si="3"/>
        <v>0</v>
      </c>
      <c r="H9" s="5">
        <f t="shared" si="3"/>
        <v>0</v>
      </c>
      <c r="I9" s="5">
        <f t="shared" si="3"/>
        <v>0</v>
      </c>
      <c r="J9" s="5">
        <f t="shared" si="3"/>
        <v>0</v>
      </c>
      <c r="K9" s="5">
        <f t="shared" si="3"/>
        <v>0</v>
      </c>
      <c r="L9" s="5">
        <f t="shared" si="3"/>
        <v>0</v>
      </c>
      <c r="M9" s="5">
        <f t="shared" si="3"/>
        <v>0</v>
      </c>
      <c r="N9" s="5">
        <f t="shared" si="3"/>
        <v>0</v>
      </c>
      <c r="O9" s="5">
        <f t="shared" si="3"/>
        <v>0</v>
      </c>
      <c r="P9" s="36"/>
      <c r="Q9" s="6"/>
      <c r="R9" s="6"/>
      <c r="S9" s="6"/>
      <c r="T9" s="6"/>
    </row>
    <row r="10" ht="16.8" spans="1:20">
      <c r="A10" s="32"/>
      <c r="B10" s="12" t="s">
        <v>22</v>
      </c>
      <c r="C10" s="12">
        <v>155358.845843478</v>
      </c>
      <c r="D10" s="12">
        <v>174874.592119565</v>
      </c>
      <c r="E10" s="12">
        <v>176399.257434783</v>
      </c>
      <c r="F10" s="12">
        <v>341181.863271739</v>
      </c>
      <c r="G10" s="12">
        <v>372883.763868</v>
      </c>
      <c r="H10" s="12">
        <v>958151.147625</v>
      </c>
      <c r="I10" s="12">
        <v>1114059.144</v>
      </c>
      <c r="J10" s="12">
        <v>1148873.49225</v>
      </c>
      <c r="K10" s="12">
        <v>1096654.8639375</v>
      </c>
      <c r="L10" s="12">
        <v>1879975.79775</v>
      </c>
      <c r="M10" s="12">
        <v>1955274.5282</v>
      </c>
      <c r="N10" s="12">
        <v>2516949.94090909</v>
      </c>
      <c r="O10" s="12">
        <f t="shared" ref="O10:O16" si="4">SUM(C10:N10)</f>
        <v>11890637.2372092</v>
      </c>
      <c r="P10" s="12"/>
      <c r="Q10" s="6"/>
      <c r="R10" s="52"/>
      <c r="S10" s="6"/>
      <c r="T10" s="6"/>
    </row>
    <row r="11" ht="16.8" spans="1:20">
      <c r="A11" s="6"/>
      <c r="B11" s="17" t="s">
        <v>23</v>
      </c>
      <c r="C11" s="37">
        <f t="shared" ref="C11:N11" si="5">C10-C15</f>
        <v>15358.8458434783</v>
      </c>
      <c r="D11" s="37">
        <f t="shared" si="5"/>
        <v>24874.5921195652</v>
      </c>
      <c r="E11" s="37">
        <f t="shared" si="5"/>
        <v>11399.2574347826</v>
      </c>
      <c r="F11" s="37">
        <f t="shared" si="5"/>
        <v>51181.8632717392</v>
      </c>
      <c r="G11" s="37">
        <f t="shared" si="5"/>
        <v>42883.763868</v>
      </c>
      <c r="H11" s="37">
        <f t="shared" si="5"/>
        <v>148151.147625</v>
      </c>
      <c r="I11" s="37">
        <f t="shared" si="5"/>
        <v>154059.144</v>
      </c>
      <c r="J11" s="37">
        <f t="shared" si="5"/>
        <v>158873.49225</v>
      </c>
      <c r="K11" s="37">
        <f t="shared" si="5"/>
        <v>151654.8639375</v>
      </c>
      <c r="L11" s="37">
        <f t="shared" si="5"/>
        <v>259975.79775</v>
      </c>
      <c r="M11" s="37">
        <f t="shared" si="5"/>
        <v>275274.5282</v>
      </c>
      <c r="N11" s="37">
        <f t="shared" si="5"/>
        <v>486949.940909091</v>
      </c>
      <c r="O11" s="37">
        <f t="shared" si="4"/>
        <v>1780637.23720916</v>
      </c>
      <c r="P11" s="37"/>
      <c r="Q11" s="6" t="s">
        <v>88</v>
      </c>
      <c r="R11" s="52">
        <f>O11/O10</f>
        <v>0.14975120354669</v>
      </c>
      <c r="S11" s="6" t="s">
        <v>143</v>
      </c>
      <c r="T11" s="6"/>
    </row>
    <row r="12" ht="16.8" spans="1:20">
      <c r="A12" s="6"/>
      <c r="B12" s="17" t="s">
        <v>25</v>
      </c>
      <c r="C12" s="37">
        <f t="shared" ref="C12:N12" si="6">C3*$P$12</f>
        <v>0</v>
      </c>
      <c r="D12" s="37">
        <f t="shared" si="6"/>
        <v>0</v>
      </c>
      <c r="E12" s="37">
        <f t="shared" si="6"/>
        <v>0</v>
      </c>
      <c r="F12" s="37">
        <f t="shared" si="6"/>
        <v>0</v>
      </c>
      <c r="G12" s="37">
        <f t="shared" si="6"/>
        <v>0</v>
      </c>
      <c r="H12" s="37">
        <f t="shared" si="6"/>
        <v>0</v>
      </c>
      <c r="I12" s="37">
        <f t="shared" si="6"/>
        <v>0</v>
      </c>
      <c r="J12" s="37">
        <f t="shared" si="6"/>
        <v>0</v>
      </c>
      <c r="K12" s="37">
        <f t="shared" si="6"/>
        <v>0</v>
      </c>
      <c r="L12" s="37">
        <f t="shared" si="6"/>
        <v>0</v>
      </c>
      <c r="M12" s="37">
        <f t="shared" si="6"/>
        <v>0</v>
      </c>
      <c r="N12" s="37">
        <f t="shared" si="6"/>
        <v>0</v>
      </c>
      <c r="O12" s="37">
        <f t="shared" si="4"/>
        <v>0</v>
      </c>
      <c r="P12" s="39"/>
      <c r="Q12" s="6" t="s">
        <v>83</v>
      </c>
      <c r="R12" s="20">
        <f>O12/$O$10</f>
        <v>0</v>
      </c>
      <c r="S12" s="6"/>
      <c r="T12" s="6"/>
    </row>
    <row r="13" ht="16.8" spans="1:20">
      <c r="A13" s="6"/>
      <c r="B13" s="17" t="s">
        <v>27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>
        <f t="shared" si="4"/>
        <v>0</v>
      </c>
      <c r="P13" s="37"/>
      <c r="Q13" s="6" t="s">
        <v>83</v>
      </c>
      <c r="R13" s="20">
        <f>O13/$O$10</f>
        <v>0</v>
      </c>
      <c r="S13" s="6"/>
      <c r="T13" s="6"/>
    </row>
    <row r="14" ht="16.8" spans="1:20">
      <c r="A14" s="6"/>
      <c r="B14" s="21" t="s">
        <v>28</v>
      </c>
      <c r="C14" s="40">
        <f t="shared" ref="C14:N14" si="7">SUM(C11:C13)</f>
        <v>15358.8458434783</v>
      </c>
      <c r="D14" s="40">
        <f t="shared" si="7"/>
        <v>24874.5921195652</v>
      </c>
      <c r="E14" s="40">
        <f t="shared" si="7"/>
        <v>11399.2574347826</v>
      </c>
      <c r="F14" s="40">
        <f t="shared" si="7"/>
        <v>51181.8632717392</v>
      </c>
      <c r="G14" s="40">
        <f t="shared" si="7"/>
        <v>42883.763868</v>
      </c>
      <c r="H14" s="40">
        <f t="shared" si="7"/>
        <v>148151.147625</v>
      </c>
      <c r="I14" s="40">
        <f t="shared" si="7"/>
        <v>154059.144</v>
      </c>
      <c r="J14" s="40">
        <f t="shared" si="7"/>
        <v>158873.49225</v>
      </c>
      <c r="K14" s="40">
        <f t="shared" si="7"/>
        <v>151654.8639375</v>
      </c>
      <c r="L14" s="40">
        <f t="shared" si="7"/>
        <v>259975.79775</v>
      </c>
      <c r="M14" s="40">
        <f t="shared" si="7"/>
        <v>275274.5282</v>
      </c>
      <c r="N14" s="40">
        <f t="shared" si="7"/>
        <v>486949.940909091</v>
      </c>
      <c r="O14" s="40">
        <f t="shared" si="4"/>
        <v>1780637.23720916</v>
      </c>
      <c r="P14" s="40"/>
      <c r="Q14" s="6"/>
      <c r="R14" s="6"/>
      <c r="S14" s="6"/>
      <c r="T14" s="6"/>
    </row>
    <row r="15" ht="16.8" spans="1:20">
      <c r="A15" s="32"/>
      <c r="B15" s="12" t="s">
        <v>29</v>
      </c>
      <c r="C15" s="12">
        <f t="shared" ref="C15:N15" si="8">C8</f>
        <v>140000</v>
      </c>
      <c r="D15" s="12">
        <f t="shared" si="8"/>
        <v>150000</v>
      </c>
      <c r="E15" s="12">
        <f t="shared" si="8"/>
        <v>165000</v>
      </c>
      <c r="F15" s="12">
        <f t="shared" si="8"/>
        <v>290000</v>
      </c>
      <c r="G15" s="12">
        <f t="shared" si="8"/>
        <v>330000</v>
      </c>
      <c r="H15" s="12">
        <f t="shared" si="8"/>
        <v>810000</v>
      </c>
      <c r="I15" s="12">
        <f t="shared" si="8"/>
        <v>960000</v>
      </c>
      <c r="J15" s="12">
        <f t="shared" si="8"/>
        <v>990000</v>
      </c>
      <c r="K15" s="12">
        <f t="shared" si="8"/>
        <v>945000</v>
      </c>
      <c r="L15" s="12">
        <f t="shared" si="8"/>
        <v>1620000</v>
      </c>
      <c r="M15" s="12">
        <f t="shared" si="8"/>
        <v>1680000</v>
      </c>
      <c r="N15" s="12">
        <f t="shared" si="8"/>
        <v>2030000</v>
      </c>
      <c r="O15" s="12">
        <f t="shared" si="4"/>
        <v>10110000</v>
      </c>
      <c r="P15" s="12"/>
      <c r="Q15" s="6"/>
      <c r="R15" s="6"/>
      <c r="S15" s="6"/>
      <c r="T15" s="6"/>
    </row>
    <row r="16" ht="16.8" spans="1:20">
      <c r="A16" s="32"/>
      <c r="B16" s="12" t="s">
        <v>30</v>
      </c>
      <c r="C16" s="12">
        <f t="shared" ref="C16:N16" si="9">+C8/1.13</f>
        <v>123893.805309735</v>
      </c>
      <c r="D16" s="12">
        <f t="shared" si="9"/>
        <v>132743.362831858</v>
      </c>
      <c r="E16" s="12">
        <f t="shared" si="9"/>
        <v>146017.699115044</v>
      </c>
      <c r="F16" s="12">
        <f t="shared" si="9"/>
        <v>256637.168141593</v>
      </c>
      <c r="G16" s="12">
        <f t="shared" si="9"/>
        <v>292035.398230089</v>
      </c>
      <c r="H16" s="12">
        <f t="shared" si="9"/>
        <v>716814.159292036</v>
      </c>
      <c r="I16" s="12">
        <f t="shared" si="9"/>
        <v>849557.522123894</v>
      </c>
      <c r="J16" s="12">
        <f t="shared" si="9"/>
        <v>876106.194690266</v>
      </c>
      <c r="K16" s="12">
        <f t="shared" si="9"/>
        <v>836283.185840708</v>
      </c>
      <c r="L16" s="12">
        <f t="shared" si="9"/>
        <v>1433628.31858407</v>
      </c>
      <c r="M16" s="12">
        <f t="shared" si="9"/>
        <v>1486725.66371681</v>
      </c>
      <c r="N16" s="12">
        <f t="shared" si="9"/>
        <v>1796460.17699115</v>
      </c>
      <c r="O16" s="12">
        <f t="shared" si="4"/>
        <v>8946902.65486726</v>
      </c>
      <c r="P16" s="12"/>
      <c r="Q16" s="6"/>
      <c r="R16" s="6"/>
      <c r="S16" s="6"/>
      <c r="T16" s="6"/>
    </row>
    <row r="17" spans="1:20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ht="16.8" spans="1:20">
      <c r="A18" s="6"/>
      <c r="B18" s="17" t="s">
        <v>31</v>
      </c>
      <c r="C18" s="37">
        <f t="shared" ref="C18:N18" si="10">C16*(1-C23)</f>
        <v>60707.9646017699</v>
      </c>
      <c r="D18" s="37">
        <f t="shared" si="10"/>
        <v>63716.814159292</v>
      </c>
      <c r="E18" s="37">
        <f t="shared" si="10"/>
        <v>68628.3185840708</v>
      </c>
      <c r="F18" s="37">
        <f t="shared" si="10"/>
        <v>118053.097345133</v>
      </c>
      <c r="G18" s="37">
        <f t="shared" si="10"/>
        <v>131415.92920354</v>
      </c>
      <c r="H18" s="37">
        <f t="shared" si="10"/>
        <v>315398.230088496</v>
      </c>
      <c r="I18" s="37">
        <f t="shared" si="10"/>
        <v>365309.734513274</v>
      </c>
      <c r="J18" s="37">
        <f t="shared" si="10"/>
        <v>359203.539823009</v>
      </c>
      <c r="K18" s="37">
        <f t="shared" si="10"/>
        <v>334513.274336283</v>
      </c>
      <c r="L18" s="37">
        <f t="shared" si="10"/>
        <v>559115.044247788</v>
      </c>
      <c r="M18" s="37">
        <f t="shared" si="10"/>
        <v>564955.752212389</v>
      </c>
      <c r="N18" s="37">
        <f t="shared" si="10"/>
        <v>664690.265486726</v>
      </c>
      <c r="O18" s="37">
        <f>SUM(C18:N18)</f>
        <v>3605707.96460177</v>
      </c>
      <c r="P18" s="38">
        <f>O18/O16</f>
        <v>0.403011869436202</v>
      </c>
      <c r="Q18" s="6"/>
      <c r="R18" s="6"/>
      <c r="S18" s="6"/>
      <c r="T18" s="6"/>
    </row>
    <row r="19" ht="16.8" spans="1:20">
      <c r="A19" s="6"/>
      <c r="B19" s="21" t="s">
        <v>32</v>
      </c>
      <c r="C19" s="40">
        <f t="shared" ref="C19:N19" si="11">C16-C18</f>
        <v>63185.8407079646</v>
      </c>
      <c r="D19" s="40">
        <f t="shared" si="11"/>
        <v>69026.5486725664</v>
      </c>
      <c r="E19" s="40">
        <f t="shared" si="11"/>
        <v>77389.3805309735</v>
      </c>
      <c r="F19" s="40">
        <f t="shared" si="11"/>
        <v>138584.07079646</v>
      </c>
      <c r="G19" s="40">
        <f t="shared" si="11"/>
        <v>160619.469026549</v>
      </c>
      <c r="H19" s="40">
        <f t="shared" si="11"/>
        <v>401415.92920354</v>
      </c>
      <c r="I19" s="40">
        <f t="shared" si="11"/>
        <v>484247.787610619</v>
      </c>
      <c r="J19" s="40">
        <f t="shared" si="11"/>
        <v>516902.654867257</v>
      </c>
      <c r="K19" s="40">
        <f t="shared" si="11"/>
        <v>501769.911504425</v>
      </c>
      <c r="L19" s="40">
        <f t="shared" si="11"/>
        <v>874513.274336283</v>
      </c>
      <c r="M19" s="40">
        <f t="shared" si="11"/>
        <v>921769.911504425</v>
      </c>
      <c r="N19" s="40">
        <f t="shared" si="11"/>
        <v>1131769.91150443</v>
      </c>
      <c r="O19" s="40">
        <f>SUM(C19:N19)</f>
        <v>5341194.69026549</v>
      </c>
      <c r="P19" s="41">
        <f>O19/$O$16</f>
        <v>0.596988130563798</v>
      </c>
      <c r="Q19" s="6"/>
      <c r="R19" s="6"/>
      <c r="S19" s="6"/>
      <c r="T19" s="6"/>
    </row>
    <row r="20" ht="16.8" spans="1:20">
      <c r="A20" s="36"/>
      <c r="B20" s="4" t="s">
        <v>33</v>
      </c>
      <c r="C20" s="36">
        <f t="shared" ref="C20:N20" si="12">C16*2.5%</f>
        <v>3097.34513274336</v>
      </c>
      <c r="D20" s="36">
        <f t="shared" si="12"/>
        <v>3318.58407079646</v>
      </c>
      <c r="E20" s="36">
        <f t="shared" si="12"/>
        <v>3650.44247787611</v>
      </c>
      <c r="F20" s="36">
        <f t="shared" si="12"/>
        <v>6415.92920353982</v>
      </c>
      <c r="G20" s="36">
        <f t="shared" si="12"/>
        <v>7300.88495575221</v>
      </c>
      <c r="H20" s="36">
        <f t="shared" si="12"/>
        <v>17920.3539823009</v>
      </c>
      <c r="I20" s="36">
        <f t="shared" si="12"/>
        <v>21238.9380530973</v>
      </c>
      <c r="J20" s="36">
        <f t="shared" si="12"/>
        <v>21902.6548672566</v>
      </c>
      <c r="K20" s="36">
        <f t="shared" si="12"/>
        <v>20907.0796460177</v>
      </c>
      <c r="L20" s="36">
        <f t="shared" si="12"/>
        <v>35840.7079646018</v>
      </c>
      <c r="M20" s="36">
        <f t="shared" si="12"/>
        <v>37168.1415929204</v>
      </c>
      <c r="N20" s="36">
        <f t="shared" si="12"/>
        <v>44911.5044247788</v>
      </c>
      <c r="O20" s="36">
        <f>SUM(C20:N20)</f>
        <v>223672.566371681</v>
      </c>
      <c r="P20" s="42">
        <v>0.025</v>
      </c>
      <c r="Q20" s="6"/>
      <c r="R20" s="6"/>
      <c r="S20" s="6"/>
      <c r="T20" s="6"/>
    </row>
    <row r="21" ht="16.8" spans="1:20">
      <c r="A21" s="6"/>
      <c r="B21" s="21" t="s">
        <v>35</v>
      </c>
      <c r="C21" s="40">
        <f t="shared" ref="C21:N21" si="13">SUM(C18,C20)</f>
        <v>63805.3097345133</v>
      </c>
      <c r="D21" s="40">
        <f t="shared" si="13"/>
        <v>67035.3982300885</v>
      </c>
      <c r="E21" s="40">
        <f t="shared" si="13"/>
        <v>72278.7610619469</v>
      </c>
      <c r="F21" s="40">
        <f t="shared" si="13"/>
        <v>124469.026548673</v>
      </c>
      <c r="G21" s="40">
        <f t="shared" si="13"/>
        <v>138716.814159292</v>
      </c>
      <c r="H21" s="40">
        <f t="shared" si="13"/>
        <v>333318.584070796</v>
      </c>
      <c r="I21" s="40">
        <f t="shared" si="13"/>
        <v>386548.672566372</v>
      </c>
      <c r="J21" s="40">
        <f t="shared" si="13"/>
        <v>381106.194690266</v>
      </c>
      <c r="K21" s="40">
        <f t="shared" si="13"/>
        <v>355420.353982301</v>
      </c>
      <c r="L21" s="40">
        <f t="shared" si="13"/>
        <v>594955.752212389</v>
      </c>
      <c r="M21" s="40">
        <f t="shared" si="13"/>
        <v>602123.89380531</v>
      </c>
      <c r="N21" s="40">
        <f t="shared" si="13"/>
        <v>709601.769911504</v>
      </c>
      <c r="O21" s="40">
        <f>SUM(C21:N21)</f>
        <v>3829380.53097345</v>
      </c>
      <c r="P21" s="41">
        <f>O21/$O$16</f>
        <v>0.428011869436202</v>
      </c>
      <c r="Q21" s="6"/>
      <c r="R21" s="6"/>
      <c r="S21" s="6"/>
      <c r="T21" s="6"/>
    </row>
    <row r="22" ht="16.8" spans="1:20">
      <c r="A22" s="32"/>
      <c r="B22" s="12" t="s">
        <v>36</v>
      </c>
      <c r="C22" s="12">
        <f t="shared" ref="C22:N22" si="14">C16-C21</f>
        <v>60088.4955752212</v>
      </c>
      <c r="D22" s="12">
        <f t="shared" si="14"/>
        <v>65707.9646017699</v>
      </c>
      <c r="E22" s="12">
        <f t="shared" si="14"/>
        <v>73738.9380530974</v>
      </c>
      <c r="F22" s="12">
        <f t="shared" si="14"/>
        <v>132168.14159292</v>
      </c>
      <c r="G22" s="12">
        <f t="shared" si="14"/>
        <v>153318.584070796</v>
      </c>
      <c r="H22" s="12">
        <f t="shared" si="14"/>
        <v>383495.575221239</v>
      </c>
      <c r="I22" s="12">
        <f t="shared" si="14"/>
        <v>463008.849557522</v>
      </c>
      <c r="J22" s="12">
        <f t="shared" si="14"/>
        <v>495000</v>
      </c>
      <c r="K22" s="12">
        <f t="shared" si="14"/>
        <v>480862.831858407</v>
      </c>
      <c r="L22" s="12">
        <f t="shared" si="14"/>
        <v>838672.566371682</v>
      </c>
      <c r="M22" s="12">
        <f t="shared" si="14"/>
        <v>884601.769911505</v>
      </c>
      <c r="N22" s="12">
        <f t="shared" si="14"/>
        <v>1086858.40707965</v>
      </c>
      <c r="O22" s="12">
        <f>SUM(C22:N22)</f>
        <v>5117522.12389381</v>
      </c>
      <c r="P22" s="43">
        <f>O22/$O$16</f>
        <v>0.571988130563798</v>
      </c>
      <c r="Q22" s="6"/>
      <c r="R22" s="6"/>
      <c r="S22" s="6"/>
      <c r="T22" s="6"/>
    </row>
    <row r="23" ht="16.8" spans="1:20">
      <c r="A23" s="6"/>
      <c r="B23" s="14" t="s">
        <v>37</v>
      </c>
      <c r="C23" s="44">
        <v>0.51</v>
      </c>
      <c r="D23" s="44">
        <v>0.52</v>
      </c>
      <c r="E23" s="44">
        <v>0.53</v>
      </c>
      <c r="F23" s="44">
        <v>0.54</v>
      </c>
      <c r="G23" s="44">
        <v>0.55</v>
      </c>
      <c r="H23" s="44">
        <v>0.56</v>
      </c>
      <c r="I23" s="44">
        <v>0.57</v>
      </c>
      <c r="J23" s="44">
        <v>0.59</v>
      </c>
      <c r="K23" s="44">
        <v>0.6</v>
      </c>
      <c r="L23" s="44">
        <v>0.61</v>
      </c>
      <c r="M23" s="44">
        <v>0.62</v>
      </c>
      <c r="N23" s="44">
        <v>0.63</v>
      </c>
      <c r="O23" s="44">
        <f>O19/$O$16</f>
        <v>0.596988130563798</v>
      </c>
      <c r="P23" s="42"/>
      <c r="Q23" s="6"/>
      <c r="R23" s="6"/>
      <c r="S23" s="6"/>
      <c r="T23" s="6"/>
    </row>
    <row r="24" ht="16.8" spans="1:20">
      <c r="A24" s="6"/>
      <c r="B24" s="14" t="s">
        <v>38</v>
      </c>
      <c r="C24" s="44">
        <f t="shared" ref="C24:O24" si="15">IFERROR(1-C21/C16,0)</f>
        <v>0.485</v>
      </c>
      <c r="D24" s="44">
        <f t="shared" si="15"/>
        <v>0.495</v>
      </c>
      <c r="E24" s="44">
        <f t="shared" si="15"/>
        <v>0.505</v>
      </c>
      <c r="F24" s="44">
        <f t="shared" si="15"/>
        <v>0.515</v>
      </c>
      <c r="G24" s="44">
        <f t="shared" si="15"/>
        <v>0.525</v>
      </c>
      <c r="H24" s="44">
        <f t="shared" si="15"/>
        <v>0.535</v>
      </c>
      <c r="I24" s="44">
        <f t="shared" si="15"/>
        <v>0.545</v>
      </c>
      <c r="J24" s="44">
        <f t="shared" si="15"/>
        <v>0.565</v>
      </c>
      <c r="K24" s="44">
        <f t="shared" si="15"/>
        <v>0.575</v>
      </c>
      <c r="L24" s="44">
        <f t="shared" si="15"/>
        <v>0.585</v>
      </c>
      <c r="M24" s="44">
        <f t="shared" si="15"/>
        <v>0.595</v>
      </c>
      <c r="N24" s="44">
        <f t="shared" si="15"/>
        <v>0.605</v>
      </c>
      <c r="O24" s="44">
        <f t="shared" si="15"/>
        <v>0.571988130563798</v>
      </c>
      <c r="P24" s="42"/>
      <c r="Q24" s="6"/>
      <c r="R24" s="6"/>
      <c r="S24" s="6"/>
      <c r="T24" s="6"/>
    </row>
    <row r="25" ht="16.8" spans="1:20">
      <c r="A25" s="6"/>
      <c r="B25" s="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42"/>
      <c r="Q25" s="6"/>
      <c r="R25" s="6"/>
      <c r="S25" s="6"/>
      <c r="T25" s="6"/>
    </row>
    <row r="26" ht="16.8" spans="1:20">
      <c r="A26" s="6"/>
      <c r="B26" s="17" t="s">
        <v>39</v>
      </c>
      <c r="C26" s="37">
        <f t="shared" ref="C26:N26" si="16">SUM(C27:C31)</f>
        <v>0</v>
      </c>
      <c r="D26" s="37">
        <f t="shared" si="16"/>
        <v>0</v>
      </c>
      <c r="E26" s="37">
        <f t="shared" si="16"/>
        <v>0</v>
      </c>
      <c r="F26" s="37">
        <f t="shared" si="16"/>
        <v>0</v>
      </c>
      <c r="G26" s="37">
        <f t="shared" si="16"/>
        <v>0</v>
      </c>
      <c r="H26" s="37">
        <f t="shared" si="16"/>
        <v>0</v>
      </c>
      <c r="I26" s="37">
        <f t="shared" si="16"/>
        <v>0</v>
      </c>
      <c r="J26" s="37">
        <f t="shared" si="16"/>
        <v>0</v>
      </c>
      <c r="K26" s="37">
        <f t="shared" si="16"/>
        <v>0</v>
      </c>
      <c r="L26" s="37">
        <f t="shared" si="16"/>
        <v>0</v>
      </c>
      <c r="M26" s="37">
        <f t="shared" si="16"/>
        <v>0</v>
      </c>
      <c r="N26" s="37">
        <f t="shared" si="16"/>
        <v>0</v>
      </c>
      <c r="O26" s="37">
        <f t="shared" ref="O26:O31" si="17">SUM(C26:N26)</f>
        <v>0</v>
      </c>
      <c r="P26" s="38">
        <f t="shared" ref="P26:P31" si="18">O26/$O$16</f>
        <v>0</v>
      </c>
      <c r="Q26" s="6" t="s">
        <v>144</v>
      </c>
      <c r="R26" s="6"/>
      <c r="S26" s="6"/>
      <c r="T26" s="6"/>
    </row>
    <row r="27" ht="16.8" spans="1:20">
      <c r="A27" s="36"/>
      <c r="B27" s="4" t="s">
        <v>40</v>
      </c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36">
        <f t="shared" si="17"/>
        <v>0</v>
      </c>
      <c r="P27" s="42">
        <f t="shared" si="18"/>
        <v>0</v>
      </c>
      <c r="Q27" s="6"/>
      <c r="R27" s="6"/>
      <c r="S27" s="6"/>
      <c r="T27" s="6"/>
    </row>
    <row r="28" ht="16.8" spans="1:20">
      <c r="A28" s="36"/>
      <c r="B28" s="4" t="s">
        <v>41</v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36">
        <f t="shared" si="17"/>
        <v>0</v>
      </c>
      <c r="P28" s="42">
        <f t="shared" si="18"/>
        <v>0</v>
      </c>
      <c r="Q28" s="6"/>
      <c r="R28" s="6"/>
      <c r="S28" s="6"/>
      <c r="T28" s="6"/>
    </row>
    <row r="29" ht="16.8" spans="1:20">
      <c r="A29" s="36"/>
      <c r="B29" s="4" t="s">
        <v>42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36">
        <f t="shared" si="17"/>
        <v>0</v>
      </c>
      <c r="P29" s="42">
        <f t="shared" si="18"/>
        <v>0</v>
      </c>
      <c r="Q29" s="6"/>
      <c r="R29" s="6"/>
      <c r="S29" s="6"/>
      <c r="T29" s="6"/>
    </row>
    <row r="30" ht="16.8" spans="1:20">
      <c r="A30" s="36"/>
      <c r="B30" s="4" t="s">
        <v>43</v>
      </c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36">
        <f t="shared" si="17"/>
        <v>0</v>
      </c>
      <c r="P30" s="42">
        <f t="shared" si="18"/>
        <v>0</v>
      </c>
      <c r="Q30" s="6"/>
      <c r="R30" s="6"/>
      <c r="S30" s="6"/>
      <c r="T30" s="6"/>
    </row>
    <row r="31" ht="16.8" collapsed="1" spans="1:20">
      <c r="A31" s="36"/>
      <c r="B31" s="4" t="s">
        <v>44</v>
      </c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36">
        <f t="shared" si="17"/>
        <v>0</v>
      </c>
      <c r="P31" s="42">
        <f t="shared" si="18"/>
        <v>0</v>
      </c>
      <c r="Q31" s="6"/>
      <c r="R31" s="6"/>
      <c r="S31" s="6"/>
      <c r="T31" s="6"/>
    </row>
    <row r="32" ht="16.8" hidden="1" outlineLevel="1" spans="1:20">
      <c r="A32" s="36"/>
      <c r="B32" s="4" t="s">
        <v>45</v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42"/>
      <c r="Q32" s="6"/>
      <c r="R32" s="6"/>
      <c r="S32" s="6"/>
      <c r="T32" s="6"/>
    </row>
    <row r="33" ht="16.8" hidden="1" outlineLevel="1" spans="1:20">
      <c r="A33" s="36"/>
      <c r="B33" s="4" t="s">
        <v>46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42"/>
      <c r="Q33" s="6"/>
      <c r="R33" s="6"/>
      <c r="S33" s="6"/>
      <c r="T33" s="6"/>
    </row>
    <row r="34" ht="16.8" hidden="1" outlineLevel="1" spans="1:20">
      <c r="A34" s="36"/>
      <c r="B34" s="4" t="s">
        <v>47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42"/>
      <c r="Q34" s="6"/>
      <c r="R34" s="6"/>
      <c r="S34" s="6"/>
      <c r="T34" s="6"/>
    </row>
    <row r="35" ht="16.8" hidden="1" outlineLevel="1" spans="1:20">
      <c r="A35" s="36"/>
      <c r="B35" s="4" t="s">
        <v>48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42"/>
      <c r="Q35" s="6"/>
      <c r="R35" s="6"/>
      <c r="S35" s="6"/>
      <c r="T35" s="6"/>
    </row>
    <row r="36" ht="16.8" hidden="1" outlineLevel="1" spans="1:20">
      <c r="A36" s="36"/>
      <c r="B36" s="4" t="s">
        <v>49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36"/>
      <c r="P36" s="42"/>
      <c r="Q36" s="6"/>
      <c r="R36" s="6"/>
      <c r="S36" s="6"/>
      <c r="T36" s="6"/>
    </row>
    <row r="37" ht="16.8" spans="1:20">
      <c r="A37" s="6"/>
      <c r="B37" s="17" t="s">
        <v>50</v>
      </c>
      <c r="C37" s="37">
        <f t="shared" ref="C37:N37" si="19">SUM(C38:C40)</f>
        <v>0</v>
      </c>
      <c r="D37" s="37">
        <f t="shared" si="19"/>
        <v>0</v>
      </c>
      <c r="E37" s="37">
        <f t="shared" si="19"/>
        <v>0</v>
      </c>
      <c r="F37" s="37">
        <f t="shared" si="19"/>
        <v>0</v>
      </c>
      <c r="G37" s="37">
        <f t="shared" si="19"/>
        <v>0</v>
      </c>
      <c r="H37" s="37">
        <f t="shared" si="19"/>
        <v>0</v>
      </c>
      <c r="I37" s="37">
        <f t="shared" si="19"/>
        <v>0</v>
      </c>
      <c r="J37" s="37">
        <f t="shared" si="19"/>
        <v>0</v>
      </c>
      <c r="K37" s="37">
        <f t="shared" si="19"/>
        <v>0</v>
      </c>
      <c r="L37" s="37">
        <f t="shared" si="19"/>
        <v>0</v>
      </c>
      <c r="M37" s="37">
        <f t="shared" si="19"/>
        <v>0</v>
      </c>
      <c r="N37" s="37">
        <f t="shared" si="19"/>
        <v>0</v>
      </c>
      <c r="O37" s="37">
        <f>SUM(C37:N37)</f>
        <v>0</v>
      </c>
      <c r="P37" s="38">
        <f>O37/$O$16</f>
        <v>0</v>
      </c>
      <c r="Q37" s="6" t="s">
        <v>144</v>
      </c>
      <c r="R37" s="6"/>
      <c r="S37" s="6"/>
      <c r="T37" s="6"/>
    </row>
    <row r="38" ht="16.8" spans="1:20">
      <c r="A38" s="36"/>
      <c r="B38" s="4" t="s">
        <v>51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36">
        <f>SUM(C38:N38)</f>
        <v>0</v>
      </c>
      <c r="P38" s="42">
        <f>O38/$O$16</f>
        <v>0</v>
      </c>
      <c r="Q38" s="6" t="s">
        <v>91</v>
      </c>
      <c r="R38" s="6"/>
      <c r="S38" s="6"/>
      <c r="T38" s="6"/>
    </row>
    <row r="39" ht="16.8" spans="1:20">
      <c r="A39" s="36"/>
      <c r="B39" s="4" t="s">
        <v>53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36">
        <f>SUM(C39:N39)</f>
        <v>0</v>
      </c>
      <c r="P39" s="42">
        <f>O39/$O$16</f>
        <v>0</v>
      </c>
      <c r="Q39" s="6" t="s">
        <v>91</v>
      </c>
      <c r="R39" s="6"/>
      <c r="S39" s="6"/>
      <c r="T39" s="6"/>
    </row>
    <row r="40" ht="16.8" collapsed="1" spans="1:20">
      <c r="A40" s="36"/>
      <c r="B40" s="4" t="s">
        <v>55</v>
      </c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36">
        <f>SUM(C40:N40)</f>
        <v>0</v>
      </c>
      <c r="P40" s="42">
        <f>O40/$O$16</f>
        <v>0</v>
      </c>
      <c r="Q40" s="6" t="s">
        <v>91</v>
      </c>
      <c r="R40" s="6"/>
      <c r="S40" s="6"/>
      <c r="T40" s="6"/>
    </row>
    <row r="41" ht="16.8" hidden="1" outlineLevel="1" spans="1:20">
      <c r="A41" s="36"/>
      <c r="B41" s="4" t="s">
        <v>57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2">
        <f>O38/$O$16</f>
        <v>0</v>
      </c>
      <c r="P41" s="6"/>
      <c r="Q41" s="6" t="s">
        <v>91</v>
      </c>
      <c r="R41" s="6"/>
      <c r="S41" s="6"/>
      <c r="T41" s="6"/>
    </row>
    <row r="42" ht="16.8" hidden="1" outlineLevel="1" spans="1:20">
      <c r="A42" s="36"/>
      <c r="B42" s="4" t="s">
        <v>58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2">
        <f>O39/$O$16</f>
        <v>0</v>
      </c>
      <c r="P42" s="6"/>
      <c r="Q42" s="6" t="s">
        <v>91</v>
      </c>
      <c r="R42" s="6"/>
      <c r="S42" s="6"/>
      <c r="T42" s="6"/>
    </row>
    <row r="43" ht="16.8" hidden="1" outlineLevel="1" spans="1:20">
      <c r="A43" s="36"/>
      <c r="B43" s="4" t="s">
        <v>59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2">
        <f>O40/$O$16</f>
        <v>0</v>
      </c>
      <c r="P43" s="6"/>
      <c r="Q43" s="6" t="s">
        <v>91</v>
      </c>
      <c r="R43" s="6"/>
      <c r="S43" s="6"/>
      <c r="T43" s="6"/>
    </row>
    <row r="44" ht="16.8" spans="1:20">
      <c r="A44" s="6"/>
      <c r="B44" s="17" t="s">
        <v>60</v>
      </c>
      <c r="C44" s="37">
        <f t="shared" ref="C44:N44" si="20">SUM(C45:C46)</f>
        <v>2477.87610619469</v>
      </c>
      <c r="D44" s="37">
        <f t="shared" si="20"/>
        <v>2654.86725663717</v>
      </c>
      <c r="E44" s="37">
        <f t="shared" si="20"/>
        <v>2920.35398230089</v>
      </c>
      <c r="F44" s="37">
        <f t="shared" si="20"/>
        <v>5132.74336283186</v>
      </c>
      <c r="G44" s="37">
        <f t="shared" si="20"/>
        <v>5840.70796460177</v>
      </c>
      <c r="H44" s="37">
        <f t="shared" si="20"/>
        <v>14336.2831858407</v>
      </c>
      <c r="I44" s="37">
        <f t="shared" si="20"/>
        <v>16991.1504424779</v>
      </c>
      <c r="J44" s="37">
        <f t="shared" si="20"/>
        <v>17522.1238938053</v>
      </c>
      <c r="K44" s="37">
        <f t="shared" si="20"/>
        <v>16725.6637168142</v>
      </c>
      <c r="L44" s="37">
        <f t="shared" si="20"/>
        <v>28672.5663716814</v>
      </c>
      <c r="M44" s="37">
        <f t="shared" si="20"/>
        <v>29734.5132743363</v>
      </c>
      <c r="N44" s="37">
        <f t="shared" si="20"/>
        <v>35929.203539823</v>
      </c>
      <c r="O44" s="37">
        <f t="shared" ref="O44:O60" si="21">SUM(C44:N44)</f>
        <v>178938.053097345</v>
      </c>
      <c r="P44" s="38">
        <f>O44/$O$16</f>
        <v>0.02</v>
      </c>
      <c r="Q44" s="6" t="s">
        <v>144</v>
      </c>
      <c r="R44" s="6"/>
      <c r="S44" s="6"/>
      <c r="T44" s="6"/>
    </row>
    <row r="45" ht="16.8" spans="1:20">
      <c r="A45" s="36"/>
      <c r="B45" s="4" t="s">
        <v>61</v>
      </c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36">
        <f t="shared" si="21"/>
        <v>0</v>
      </c>
      <c r="P45" s="42">
        <v>0.01</v>
      </c>
      <c r="Q45" s="6" t="s">
        <v>92</v>
      </c>
      <c r="R45" s="6"/>
      <c r="S45" s="6"/>
      <c r="T45" s="6"/>
    </row>
    <row r="46" ht="16.8" spans="1:20">
      <c r="A46" s="36"/>
      <c r="B46" s="4" t="s">
        <v>63</v>
      </c>
      <c r="C46" s="45">
        <f t="shared" ref="C46:N46" si="22">C16*$P$46</f>
        <v>2477.87610619469</v>
      </c>
      <c r="D46" s="45">
        <f t="shared" si="22"/>
        <v>2654.86725663717</v>
      </c>
      <c r="E46" s="45">
        <f t="shared" si="22"/>
        <v>2920.35398230089</v>
      </c>
      <c r="F46" s="45">
        <f t="shared" si="22"/>
        <v>5132.74336283186</v>
      </c>
      <c r="G46" s="45">
        <f t="shared" si="22"/>
        <v>5840.70796460177</v>
      </c>
      <c r="H46" s="45">
        <f t="shared" si="22"/>
        <v>14336.2831858407</v>
      </c>
      <c r="I46" s="45">
        <f t="shared" si="22"/>
        <v>16991.1504424779</v>
      </c>
      <c r="J46" s="45">
        <f t="shared" si="22"/>
        <v>17522.1238938053</v>
      </c>
      <c r="K46" s="45">
        <f t="shared" si="22"/>
        <v>16725.6637168142</v>
      </c>
      <c r="L46" s="45">
        <f t="shared" si="22"/>
        <v>28672.5663716814</v>
      </c>
      <c r="M46" s="45">
        <f t="shared" si="22"/>
        <v>29734.5132743363</v>
      </c>
      <c r="N46" s="45">
        <f t="shared" si="22"/>
        <v>35929.203539823</v>
      </c>
      <c r="O46" s="36">
        <f t="shared" si="21"/>
        <v>178938.053097345</v>
      </c>
      <c r="P46" s="42">
        <v>0.02</v>
      </c>
      <c r="Q46" s="4" t="s">
        <v>83</v>
      </c>
      <c r="R46" s="6"/>
      <c r="S46" s="6"/>
      <c r="T46" s="6"/>
    </row>
    <row r="47" ht="16.8" spans="1:20">
      <c r="A47" s="6"/>
      <c r="B47" s="17" t="s">
        <v>65</v>
      </c>
      <c r="C47" s="37">
        <f t="shared" ref="C47:N47" si="23">SUM(C48:C51)</f>
        <v>48659.3843098312</v>
      </c>
      <c r="D47" s="37">
        <f t="shared" si="23"/>
        <v>52135.0546176763</v>
      </c>
      <c r="E47" s="37">
        <f t="shared" si="23"/>
        <v>62848.5600794439</v>
      </c>
      <c r="F47" s="37">
        <f t="shared" si="23"/>
        <v>117711.105594174</v>
      </c>
      <c r="G47" s="37">
        <f t="shared" si="23"/>
        <v>142197.120158888</v>
      </c>
      <c r="H47" s="37">
        <f t="shared" si="23"/>
        <v>333279.294935452</v>
      </c>
      <c r="I47" s="37">
        <f t="shared" si="23"/>
        <v>399664.349553128</v>
      </c>
      <c r="J47" s="37">
        <f t="shared" si="23"/>
        <v>410091.360476663</v>
      </c>
      <c r="K47" s="37">
        <f t="shared" si="23"/>
        <v>401950.844091361</v>
      </c>
      <c r="L47" s="37">
        <f t="shared" si="23"/>
        <v>686808.589870904</v>
      </c>
      <c r="M47" s="37">
        <f t="shared" si="23"/>
        <v>726245.945051308</v>
      </c>
      <c r="N47" s="37">
        <f t="shared" si="23"/>
        <v>884394.405825885</v>
      </c>
      <c r="O47" s="37">
        <f t="shared" si="21"/>
        <v>4265986.01456471</v>
      </c>
      <c r="P47" s="38">
        <f t="shared" ref="P47:P52" si="24">O47/$O$16</f>
        <v>0.476811493220388</v>
      </c>
      <c r="Q47" s="6" t="s">
        <v>144</v>
      </c>
      <c r="R47" s="6"/>
      <c r="S47" s="6"/>
      <c r="T47" s="6"/>
    </row>
    <row r="48" ht="16.8" spans="1:20">
      <c r="A48" s="36"/>
      <c r="B48" s="4" t="s">
        <v>66</v>
      </c>
      <c r="C48" s="45">
        <f t="shared" ref="C48:N48" si="25">C6*0.35/1.06</f>
        <v>48659.3843098312</v>
      </c>
      <c r="D48" s="45">
        <f t="shared" si="25"/>
        <v>52135.0546176763</v>
      </c>
      <c r="E48" s="45">
        <f t="shared" si="25"/>
        <v>57348.5600794439</v>
      </c>
      <c r="F48" s="45">
        <f t="shared" si="25"/>
        <v>100794.438927507</v>
      </c>
      <c r="G48" s="45">
        <f t="shared" si="25"/>
        <v>114697.120158888</v>
      </c>
      <c r="H48" s="45">
        <f t="shared" si="25"/>
        <v>281529.294935452</v>
      </c>
      <c r="I48" s="45">
        <f t="shared" si="25"/>
        <v>333664.349553128</v>
      </c>
      <c r="J48" s="45">
        <f t="shared" si="25"/>
        <v>344091.360476663</v>
      </c>
      <c r="K48" s="45">
        <f t="shared" si="25"/>
        <v>328450.844091361</v>
      </c>
      <c r="L48" s="45">
        <f t="shared" si="25"/>
        <v>563058.589870904</v>
      </c>
      <c r="M48" s="45">
        <f t="shared" si="25"/>
        <v>583912.611717974</v>
      </c>
      <c r="N48" s="45">
        <f t="shared" si="25"/>
        <v>705561.072492552</v>
      </c>
      <c r="O48" s="36">
        <f t="shared" si="21"/>
        <v>3513902.68123138</v>
      </c>
      <c r="P48" s="42">
        <f t="shared" si="24"/>
        <v>0.392750744786494</v>
      </c>
      <c r="Q48" s="4" t="s">
        <v>95</v>
      </c>
      <c r="R48" s="6"/>
      <c r="S48" s="6"/>
      <c r="T48" s="6"/>
    </row>
    <row r="49" ht="16.8" spans="1:20">
      <c r="A49" s="36"/>
      <c r="B49" s="4" t="s">
        <v>67</v>
      </c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36">
        <f t="shared" si="21"/>
        <v>0</v>
      </c>
      <c r="P49" s="42">
        <f t="shared" si="24"/>
        <v>0</v>
      </c>
      <c r="Q49" s="4" t="s">
        <v>95</v>
      </c>
      <c r="R49" s="6"/>
      <c r="S49" s="6"/>
      <c r="T49" s="6"/>
    </row>
    <row r="50" ht="16.8" spans="1:20">
      <c r="A50" s="36"/>
      <c r="B50" s="4" t="s">
        <v>68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36">
        <f t="shared" si="21"/>
        <v>0</v>
      </c>
      <c r="P50" s="42">
        <f t="shared" si="24"/>
        <v>0</v>
      </c>
      <c r="Q50" s="4" t="s">
        <v>95</v>
      </c>
      <c r="R50" s="6"/>
      <c r="S50" s="6"/>
      <c r="T50" s="6"/>
    </row>
    <row r="51" ht="16.8" spans="1:20">
      <c r="A51" s="6"/>
      <c r="B51" s="4" t="s">
        <v>69</v>
      </c>
      <c r="C51" s="45">
        <v>0</v>
      </c>
      <c r="D51" s="45">
        <v>0</v>
      </c>
      <c r="E51" s="45">
        <v>5500</v>
      </c>
      <c r="F51" s="45">
        <v>16916.6666666667</v>
      </c>
      <c r="G51" s="45">
        <v>27500</v>
      </c>
      <c r="H51" s="45">
        <v>51750</v>
      </c>
      <c r="I51" s="45">
        <v>66000</v>
      </c>
      <c r="J51" s="45">
        <v>66000</v>
      </c>
      <c r="K51" s="45">
        <v>73500</v>
      </c>
      <c r="L51" s="45">
        <v>123750</v>
      </c>
      <c r="M51" s="45">
        <v>142333.333333333</v>
      </c>
      <c r="N51" s="45">
        <v>178833.333333333</v>
      </c>
      <c r="O51" s="36">
        <f t="shared" si="21"/>
        <v>752083.333333333</v>
      </c>
      <c r="P51" s="42">
        <f t="shared" si="24"/>
        <v>0.0840607484338938</v>
      </c>
      <c r="Q51" s="4" t="s">
        <v>95</v>
      </c>
      <c r="R51" s="6"/>
      <c r="S51" s="6"/>
      <c r="T51" s="6"/>
    </row>
    <row r="52" ht="16.8" spans="1:20">
      <c r="A52" s="6"/>
      <c r="B52" s="21" t="s">
        <v>70</v>
      </c>
      <c r="C52" s="40">
        <f t="shared" ref="C52:N52" si="26">SUM(C26,C37,C44,C47)</f>
        <v>51137.2604160259</v>
      </c>
      <c r="D52" s="40">
        <f t="shared" si="26"/>
        <v>54789.9218743134</v>
      </c>
      <c r="E52" s="40">
        <f t="shared" si="26"/>
        <v>65768.9140617448</v>
      </c>
      <c r="F52" s="40">
        <f t="shared" si="26"/>
        <v>122843.848957006</v>
      </c>
      <c r="G52" s="40">
        <f t="shared" si="26"/>
        <v>148037.82812349</v>
      </c>
      <c r="H52" s="40">
        <f t="shared" si="26"/>
        <v>347615.578121293</v>
      </c>
      <c r="I52" s="40">
        <f t="shared" si="26"/>
        <v>416655.499995606</v>
      </c>
      <c r="J52" s="40">
        <f t="shared" si="26"/>
        <v>427613.484370469</v>
      </c>
      <c r="K52" s="40">
        <f t="shared" si="26"/>
        <v>418676.507808175</v>
      </c>
      <c r="L52" s="40">
        <f t="shared" si="26"/>
        <v>715481.156242585</v>
      </c>
      <c r="M52" s="40">
        <f t="shared" si="26"/>
        <v>755980.458325644</v>
      </c>
      <c r="N52" s="40">
        <f t="shared" si="26"/>
        <v>920323.609365709</v>
      </c>
      <c r="O52" s="40">
        <f t="shared" si="21"/>
        <v>4444924.06766206</v>
      </c>
      <c r="P52" s="41">
        <f t="shared" si="24"/>
        <v>0.496811493220388</v>
      </c>
      <c r="Q52" s="6" t="s">
        <v>144</v>
      </c>
      <c r="R52" s="6"/>
      <c r="S52" s="6"/>
      <c r="T52" s="6"/>
    </row>
    <row r="53" ht="16.8" spans="1:20">
      <c r="A53" s="36"/>
      <c r="B53" s="4" t="s">
        <v>71</v>
      </c>
      <c r="C53" s="45">
        <f t="shared" ref="C53:N53" si="27">C16*$P$53</f>
        <v>0</v>
      </c>
      <c r="D53" s="45">
        <f t="shared" si="27"/>
        <v>0</v>
      </c>
      <c r="E53" s="45">
        <f t="shared" si="27"/>
        <v>0</v>
      </c>
      <c r="F53" s="45">
        <f t="shared" si="27"/>
        <v>0</v>
      </c>
      <c r="G53" s="45">
        <f t="shared" si="27"/>
        <v>0</v>
      </c>
      <c r="H53" s="45">
        <f t="shared" si="27"/>
        <v>0</v>
      </c>
      <c r="I53" s="45">
        <f t="shared" si="27"/>
        <v>0</v>
      </c>
      <c r="J53" s="45">
        <f t="shared" si="27"/>
        <v>0</v>
      </c>
      <c r="K53" s="45">
        <f t="shared" si="27"/>
        <v>0</v>
      </c>
      <c r="L53" s="45">
        <f t="shared" si="27"/>
        <v>0</v>
      </c>
      <c r="M53" s="45">
        <f t="shared" si="27"/>
        <v>0</v>
      </c>
      <c r="N53" s="45">
        <f t="shared" si="27"/>
        <v>0</v>
      </c>
      <c r="O53" s="36">
        <f t="shared" si="21"/>
        <v>0</v>
      </c>
      <c r="P53" s="42">
        <v>0</v>
      </c>
      <c r="Q53" s="6"/>
      <c r="R53" s="6"/>
      <c r="S53" s="6"/>
      <c r="T53" s="6"/>
    </row>
    <row r="54" ht="16.8" spans="1:20">
      <c r="A54" s="36"/>
      <c r="B54" s="4" t="s">
        <v>73</v>
      </c>
      <c r="C54" s="45">
        <f t="shared" ref="C54:N54" si="28">C16*$P$54</f>
        <v>0</v>
      </c>
      <c r="D54" s="45">
        <f t="shared" si="28"/>
        <v>0</v>
      </c>
      <c r="E54" s="45">
        <f t="shared" si="28"/>
        <v>0</v>
      </c>
      <c r="F54" s="45">
        <f t="shared" si="28"/>
        <v>0</v>
      </c>
      <c r="G54" s="45">
        <f t="shared" si="28"/>
        <v>0</v>
      </c>
      <c r="H54" s="45">
        <f t="shared" si="28"/>
        <v>0</v>
      </c>
      <c r="I54" s="45">
        <f t="shared" si="28"/>
        <v>0</v>
      </c>
      <c r="J54" s="45">
        <f t="shared" si="28"/>
        <v>0</v>
      </c>
      <c r="K54" s="45">
        <f t="shared" si="28"/>
        <v>0</v>
      </c>
      <c r="L54" s="45">
        <f t="shared" si="28"/>
        <v>0</v>
      </c>
      <c r="M54" s="45">
        <f t="shared" si="28"/>
        <v>0</v>
      </c>
      <c r="N54" s="45">
        <f t="shared" si="28"/>
        <v>0</v>
      </c>
      <c r="O54" s="36">
        <f t="shared" si="21"/>
        <v>0</v>
      </c>
      <c r="P54" s="42">
        <v>0</v>
      </c>
      <c r="Q54" s="6"/>
      <c r="R54" s="6"/>
      <c r="S54" s="6"/>
      <c r="T54" s="6"/>
    </row>
    <row r="55" ht="16.8" spans="1:20">
      <c r="A55" s="36"/>
      <c r="B55" s="4" t="s">
        <v>75</v>
      </c>
      <c r="C55" s="45">
        <v>41250.5629693032</v>
      </c>
      <c r="D55" s="45">
        <v>26974.2084531831</v>
      </c>
      <c r="E55" s="45">
        <v>21039.672538</v>
      </c>
      <c r="F55" s="45">
        <v>32378.8618432315</v>
      </c>
      <c r="G55" s="45">
        <v>27806.8754149992</v>
      </c>
      <c r="H55" s="45">
        <v>19480.6352783092</v>
      </c>
      <c r="I55" s="45">
        <v>27141.9209674016</v>
      </c>
      <c r="J55" s="45">
        <v>20998.4227949499</v>
      </c>
      <c r="K55" s="45">
        <v>28934.4985376029</v>
      </c>
      <c r="L55" s="45">
        <v>22838.7704177984</v>
      </c>
      <c r="M55" s="45">
        <v>20004.095103272</v>
      </c>
      <c r="N55" s="45">
        <v>19517.5316409996</v>
      </c>
      <c r="O55" s="36">
        <f t="shared" si="21"/>
        <v>308366.055959051</v>
      </c>
      <c r="P55" s="42">
        <v>0.03</v>
      </c>
      <c r="Q55" s="6"/>
      <c r="R55" s="6"/>
      <c r="S55" s="6"/>
      <c r="T55" s="6"/>
    </row>
    <row r="56" ht="16.8" spans="1:20">
      <c r="A56" s="36"/>
      <c r="B56" s="4" t="s">
        <v>77</v>
      </c>
      <c r="C56" s="45">
        <f t="shared" ref="C56:N56" si="29">C16*$P$56</f>
        <v>0</v>
      </c>
      <c r="D56" s="45">
        <f t="shared" si="29"/>
        <v>0</v>
      </c>
      <c r="E56" s="45">
        <f t="shared" si="29"/>
        <v>0</v>
      </c>
      <c r="F56" s="45">
        <f t="shared" si="29"/>
        <v>0</v>
      </c>
      <c r="G56" s="45">
        <f t="shared" si="29"/>
        <v>0</v>
      </c>
      <c r="H56" s="45">
        <f t="shared" si="29"/>
        <v>0</v>
      </c>
      <c r="I56" s="45">
        <f t="shared" si="29"/>
        <v>0</v>
      </c>
      <c r="J56" s="45">
        <f t="shared" si="29"/>
        <v>0</v>
      </c>
      <c r="K56" s="45">
        <f t="shared" si="29"/>
        <v>0</v>
      </c>
      <c r="L56" s="45">
        <f t="shared" si="29"/>
        <v>0</v>
      </c>
      <c r="M56" s="45">
        <f t="shared" si="29"/>
        <v>0</v>
      </c>
      <c r="N56" s="45">
        <f t="shared" si="29"/>
        <v>0</v>
      </c>
      <c r="O56" s="36">
        <f t="shared" si="21"/>
        <v>0</v>
      </c>
      <c r="P56" s="42">
        <v>0</v>
      </c>
      <c r="Q56" s="6"/>
      <c r="R56" s="6"/>
      <c r="S56" s="6"/>
      <c r="T56" s="6"/>
    </row>
    <row r="57" ht="16.8" spans="1:20">
      <c r="A57" s="36"/>
      <c r="B57" s="4" t="s">
        <v>79</v>
      </c>
      <c r="C57" s="45">
        <v>4880.76478647549</v>
      </c>
      <c r="D57" s="45"/>
      <c r="E57" s="45"/>
      <c r="F57" s="45"/>
      <c r="G57" s="45">
        <v>1952.30591459019</v>
      </c>
      <c r="H57" s="45"/>
      <c r="I57" s="45"/>
      <c r="J57" s="45"/>
      <c r="K57" s="45"/>
      <c r="L57" s="45">
        <v>1952.30591459019</v>
      </c>
      <c r="M57" s="45"/>
      <c r="N57" s="45">
        <v>5856.91774377058</v>
      </c>
      <c r="O57" s="36">
        <f t="shared" si="21"/>
        <v>14642.2943594265</v>
      </c>
      <c r="P57" s="42">
        <f>O57/$O$16</f>
        <v>0.00163657691653332</v>
      </c>
      <c r="Q57" s="4"/>
      <c r="R57" s="6"/>
      <c r="S57" s="6"/>
      <c r="T57" s="6"/>
    </row>
    <row r="58" ht="16.8" spans="1:20">
      <c r="A58" s="6"/>
      <c r="B58" s="21" t="s">
        <v>80</v>
      </c>
      <c r="C58" s="40">
        <f t="shared" ref="C58:N58" si="30">SUM(C53:C57)</f>
        <v>46131.3277557787</v>
      </c>
      <c r="D58" s="40">
        <f t="shared" si="30"/>
        <v>26974.2084531831</v>
      </c>
      <c r="E58" s="40">
        <f t="shared" si="30"/>
        <v>21039.672538</v>
      </c>
      <c r="F58" s="40">
        <f t="shared" si="30"/>
        <v>32378.8618432315</v>
      </c>
      <c r="G58" s="40">
        <f t="shared" si="30"/>
        <v>29759.1813295894</v>
      </c>
      <c r="H58" s="40">
        <f t="shared" si="30"/>
        <v>19480.6352783092</v>
      </c>
      <c r="I58" s="40">
        <f t="shared" si="30"/>
        <v>27141.9209674016</v>
      </c>
      <c r="J58" s="40">
        <f t="shared" si="30"/>
        <v>20998.4227949499</v>
      </c>
      <c r="K58" s="40">
        <f t="shared" si="30"/>
        <v>28934.4985376029</v>
      </c>
      <c r="L58" s="40">
        <f t="shared" si="30"/>
        <v>24791.0763323886</v>
      </c>
      <c r="M58" s="40">
        <f t="shared" si="30"/>
        <v>20004.095103272</v>
      </c>
      <c r="N58" s="40">
        <f t="shared" si="30"/>
        <v>25374.4493847702</v>
      </c>
      <c r="O58" s="40">
        <f t="shared" si="21"/>
        <v>323008.350318477</v>
      </c>
      <c r="P58" s="41">
        <f>O58/$O$16</f>
        <v>0.0361028126468723</v>
      </c>
      <c r="Q58" s="6"/>
      <c r="R58" s="6"/>
      <c r="S58" s="6"/>
      <c r="T58" s="6"/>
    </row>
    <row r="59" ht="16.8" spans="1:20">
      <c r="A59" s="32"/>
      <c r="B59" s="12" t="s">
        <v>81</v>
      </c>
      <c r="C59" s="12">
        <f t="shared" ref="C59:N59" si="31">SUM(C52,C58)</f>
        <v>97268.5881718046</v>
      </c>
      <c r="D59" s="12">
        <f t="shared" si="31"/>
        <v>81764.1303274965</v>
      </c>
      <c r="E59" s="12">
        <f t="shared" si="31"/>
        <v>86808.5865997448</v>
      </c>
      <c r="F59" s="12">
        <f t="shared" si="31"/>
        <v>155222.710800237</v>
      </c>
      <c r="G59" s="12">
        <f t="shared" si="31"/>
        <v>177797.009453079</v>
      </c>
      <c r="H59" s="12">
        <f t="shared" si="31"/>
        <v>367096.213399602</v>
      </c>
      <c r="I59" s="12">
        <f t="shared" si="31"/>
        <v>443797.420963008</v>
      </c>
      <c r="J59" s="12">
        <f t="shared" si="31"/>
        <v>448611.907165418</v>
      </c>
      <c r="K59" s="12">
        <f t="shared" si="31"/>
        <v>447611.006345778</v>
      </c>
      <c r="L59" s="12">
        <f t="shared" si="31"/>
        <v>740272.232574974</v>
      </c>
      <c r="M59" s="12">
        <f t="shared" si="31"/>
        <v>775984.553428916</v>
      </c>
      <c r="N59" s="12">
        <f t="shared" si="31"/>
        <v>945698.058750479</v>
      </c>
      <c r="O59" s="12">
        <f t="shared" si="21"/>
        <v>4767932.41798054</v>
      </c>
      <c r="P59" s="43">
        <f>O59/$O$16</f>
        <v>0.532914305867261</v>
      </c>
      <c r="Q59" s="32"/>
      <c r="R59" s="48"/>
      <c r="S59" s="6"/>
      <c r="T59" s="6"/>
    </row>
    <row r="60" ht="16.8" spans="1:20">
      <c r="A60" s="32"/>
      <c r="B60" s="12" t="s">
        <v>82</v>
      </c>
      <c r="C60" s="12">
        <f t="shared" ref="C60:N60" si="32">C22-C59</f>
        <v>-37180.0925965833</v>
      </c>
      <c r="D60" s="12">
        <f t="shared" si="32"/>
        <v>-16056.1657257266</v>
      </c>
      <c r="E60" s="12">
        <f t="shared" si="32"/>
        <v>-13069.6485466474</v>
      </c>
      <c r="F60" s="12">
        <f t="shared" si="32"/>
        <v>-23054.5692073171</v>
      </c>
      <c r="G60" s="12">
        <f t="shared" si="32"/>
        <v>-24478.4253822824</v>
      </c>
      <c r="H60" s="12">
        <f t="shared" si="32"/>
        <v>16399.3618216373</v>
      </c>
      <c r="I60" s="12">
        <f t="shared" si="32"/>
        <v>19211.4285945145</v>
      </c>
      <c r="J60" s="12">
        <f t="shared" si="32"/>
        <v>46388.0928345815</v>
      </c>
      <c r="K60" s="12">
        <f t="shared" si="32"/>
        <v>33251.8255126295</v>
      </c>
      <c r="L60" s="12">
        <f t="shared" si="32"/>
        <v>98400.3337967078</v>
      </c>
      <c r="M60" s="12">
        <f t="shared" si="32"/>
        <v>108617.216482589</v>
      </c>
      <c r="N60" s="12">
        <f t="shared" si="32"/>
        <v>141160.348329168</v>
      </c>
      <c r="O60" s="12">
        <f t="shared" si="21"/>
        <v>349589.70591327</v>
      </c>
      <c r="P60" s="43">
        <f>O60/$O$16</f>
        <v>0.0390738246965376</v>
      </c>
      <c r="Q60" s="32"/>
      <c r="R60" s="49"/>
      <c r="S60" s="6"/>
      <c r="T60" s="6"/>
    </row>
    <row r="61" spans="1:20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>
      <c r="A62" s="6"/>
      <c r="B62" s="6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6"/>
      <c r="Q62" s="6"/>
      <c r="R62" s="6"/>
      <c r="S62" s="6"/>
      <c r="T62" s="6"/>
    </row>
    <row r="63" spans="1:20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>
      <c r="A82" s="6"/>
      <c r="B82" s="6"/>
      <c r="C82" s="35">
        <f t="shared" ref="C82:O82" si="33">C16-C18-C20-C26-C37-C44-C47-C58-C60</f>
        <v>0</v>
      </c>
      <c r="D82" s="35">
        <f t="shared" si="33"/>
        <v>0</v>
      </c>
      <c r="E82" s="35">
        <f t="shared" si="33"/>
        <v>0</v>
      </c>
      <c r="F82" s="35">
        <f t="shared" si="33"/>
        <v>0</v>
      </c>
      <c r="G82" s="35">
        <f t="shared" si="33"/>
        <v>0</v>
      </c>
      <c r="H82" s="35">
        <f t="shared" si="33"/>
        <v>0</v>
      </c>
      <c r="I82" s="35">
        <f t="shared" si="33"/>
        <v>2.91038304567337e-11</v>
      </c>
      <c r="J82" s="35">
        <f t="shared" si="33"/>
        <v>0</v>
      </c>
      <c r="K82" s="35">
        <f t="shared" si="33"/>
        <v>0</v>
      </c>
      <c r="L82" s="35">
        <f t="shared" si="33"/>
        <v>0</v>
      </c>
      <c r="M82" s="35">
        <f t="shared" si="33"/>
        <v>0</v>
      </c>
      <c r="N82" s="35">
        <f t="shared" si="33"/>
        <v>0</v>
      </c>
      <c r="O82" s="35">
        <f t="shared" si="33"/>
        <v>9.89530235528946e-10</v>
      </c>
      <c r="P82" s="6"/>
      <c r="Q82" s="6"/>
      <c r="R82" s="6"/>
      <c r="S82" s="6"/>
      <c r="T82" s="6"/>
    </row>
    <row r="83" spans="1:20">
      <c r="A83" s="6"/>
      <c r="B83" s="6"/>
      <c r="C83" s="53">
        <f t="shared" ref="C83:O83" si="34">C10-C11-C12-C13-C15</f>
        <v>0</v>
      </c>
      <c r="D83" s="53">
        <f t="shared" si="34"/>
        <v>0</v>
      </c>
      <c r="E83" s="53">
        <f t="shared" si="34"/>
        <v>0</v>
      </c>
      <c r="F83" s="53">
        <f t="shared" si="34"/>
        <v>0</v>
      </c>
      <c r="G83" s="53">
        <f t="shared" si="34"/>
        <v>0</v>
      </c>
      <c r="H83" s="53">
        <f t="shared" si="34"/>
        <v>0</v>
      </c>
      <c r="I83" s="53">
        <f t="shared" si="34"/>
        <v>0</v>
      </c>
      <c r="J83" s="53">
        <f t="shared" si="34"/>
        <v>0</v>
      </c>
      <c r="K83" s="53">
        <f t="shared" si="34"/>
        <v>0</v>
      </c>
      <c r="L83" s="53">
        <f t="shared" si="34"/>
        <v>0</v>
      </c>
      <c r="M83" s="53">
        <f t="shared" si="34"/>
        <v>0</v>
      </c>
      <c r="N83" s="53">
        <f t="shared" si="34"/>
        <v>0</v>
      </c>
      <c r="O83" s="53">
        <f t="shared" si="34"/>
        <v>0</v>
      </c>
      <c r="P83" s="6"/>
      <c r="Q83" s="6"/>
      <c r="R83" s="6"/>
      <c r="S83" s="6"/>
      <c r="T83" s="6"/>
    </row>
    <row r="84" spans="1:20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1:20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1:20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1:2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</sheetData>
  <pageMargins left="0.75" right="0.75" top="1" bottom="1" header="0.5" footer="0.5"/>
  <headerFooter/>
  <picture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1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4.4"/>
  <cols>
    <col min="1" max="1" width="7" customWidth="1"/>
    <col min="2" max="2" width="30" customWidth="1"/>
    <col min="3" max="15" width="19" customWidth="1"/>
    <col min="16" max="17" width="14" customWidth="1"/>
    <col min="18" max="18" width="11" customWidth="1"/>
    <col min="19" max="20" width="14" customWidth="1"/>
  </cols>
  <sheetData>
    <row r="1" ht="17" spans="1:20">
      <c r="A1" s="6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6"/>
      <c r="S1" s="6"/>
      <c r="T1" s="6"/>
    </row>
    <row r="2" ht="16.8" spans="1:20">
      <c r="A2" s="6"/>
      <c r="B2" s="4" t="s">
        <v>16</v>
      </c>
      <c r="C2" s="36">
        <v>11154.752636341</v>
      </c>
      <c r="D2" s="36">
        <v>10174.1150419374</v>
      </c>
      <c r="E2" s="36">
        <v>11890.2308321437</v>
      </c>
      <c r="F2" s="36">
        <v>9867.66579368625</v>
      </c>
      <c r="G2" s="36">
        <v>17222.4477517133</v>
      </c>
      <c r="H2" s="36">
        <v>14893.4334650047</v>
      </c>
      <c r="I2" s="36">
        <v>9683.79624473558</v>
      </c>
      <c r="J2" s="36">
        <v>12172.1641405347</v>
      </c>
      <c r="K2" s="36">
        <v>13422.4770733993</v>
      </c>
      <c r="L2" s="36">
        <v>17786.3143684953</v>
      </c>
      <c r="M2" s="36">
        <v>13826.9900810908</v>
      </c>
      <c r="N2" s="36">
        <v>12356.0336894854</v>
      </c>
      <c r="O2" s="36">
        <f>SUM(C2:N2)</f>
        <v>154450.421118567</v>
      </c>
      <c r="P2" s="36"/>
      <c r="Q2" s="6"/>
      <c r="R2" s="6"/>
      <c r="S2" s="6"/>
      <c r="T2" s="6"/>
    </row>
    <row r="3" ht="16.8" spans="1:20">
      <c r="A3" s="32"/>
      <c r="B3" s="8" t="s">
        <v>17</v>
      </c>
      <c r="C3" s="8">
        <f t="shared" ref="C3:N3" si="0">C6/(1-$P$12)</f>
        <v>4139650.33294473</v>
      </c>
      <c r="D3" s="8">
        <f t="shared" si="0"/>
        <v>4476868.6378834</v>
      </c>
      <c r="E3" s="8">
        <f t="shared" si="0"/>
        <v>3529138.98680596</v>
      </c>
      <c r="F3" s="8">
        <f t="shared" si="0"/>
        <v>3145407.47023334</v>
      </c>
      <c r="G3" s="8">
        <f t="shared" si="0"/>
        <v>5836788.2081962</v>
      </c>
      <c r="H3" s="8">
        <f t="shared" si="0"/>
        <v>5354264.81954793</v>
      </c>
      <c r="I3" s="8">
        <f t="shared" si="0"/>
        <v>4081508.93646932</v>
      </c>
      <c r="J3" s="8">
        <f t="shared" si="0"/>
        <v>5267588.51297966</v>
      </c>
      <c r="K3" s="8">
        <f t="shared" si="0"/>
        <v>4029182.10468272</v>
      </c>
      <c r="L3" s="8">
        <f t="shared" si="0"/>
        <v>5936211.97497244</v>
      </c>
      <c r="M3" s="8">
        <f t="shared" si="0"/>
        <v>6726931.8500687</v>
      </c>
      <c r="N3" s="8">
        <f t="shared" si="0"/>
        <v>5610738.03282467</v>
      </c>
      <c r="O3" s="8">
        <f>SUM(C3:N3)</f>
        <v>58134279.8676091</v>
      </c>
      <c r="P3" s="8"/>
      <c r="Q3" s="10" t="s">
        <v>83</v>
      </c>
      <c r="R3" s="6"/>
      <c r="S3" s="6"/>
      <c r="T3" s="6"/>
    </row>
    <row r="4" ht="16.8" spans="1:20">
      <c r="A4" s="32"/>
      <c r="B4" s="8" t="s">
        <v>84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10" t="s">
        <v>83</v>
      </c>
      <c r="R4" s="6"/>
      <c r="S4" s="6"/>
      <c r="T4" s="6"/>
    </row>
    <row r="5" ht="16.8" spans="1:20">
      <c r="A5" s="32"/>
      <c r="B5" s="8" t="s">
        <v>18</v>
      </c>
      <c r="C5" s="8">
        <f t="shared" ref="C5:N5" si="1">C3*$P$12</f>
        <v>0</v>
      </c>
      <c r="D5" s="8">
        <f t="shared" si="1"/>
        <v>0</v>
      </c>
      <c r="E5" s="8">
        <f t="shared" si="1"/>
        <v>0</v>
      </c>
      <c r="F5" s="8">
        <f t="shared" si="1"/>
        <v>0</v>
      </c>
      <c r="G5" s="8">
        <f t="shared" si="1"/>
        <v>0</v>
      </c>
      <c r="H5" s="8">
        <f t="shared" si="1"/>
        <v>0</v>
      </c>
      <c r="I5" s="8">
        <f t="shared" si="1"/>
        <v>0</v>
      </c>
      <c r="J5" s="8">
        <f t="shared" si="1"/>
        <v>0</v>
      </c>
      <c r="K5" s="8">
        <f t="shared" si="1"/>
        <v>0</v>
      </c>
      <c r="L5" s="8">
        <f t="shared" si="1"/>
        <v>0</v>
      </c>
      <c r="M5" s="8">
        <f t="shared" si="1"/>
        <v>0</v>
      </c>
      <c r="N5" s="8">
        <f t="shared" si="1"/>
        <v>0</v>
      </c>
      <c r="O5" s="8">
        <f>SUM(C5:N5)</f>
        <v>0</v>
      </c>
      <c r="P5" s="8"/>
      <c r="Q5" s="11" t="s">
        <v>83</v>
      </c>
      <c r="R5" s="6"/>
      <c r="S5" s="6"/>
      <c r="T5" s="6"/>
    </row>
    <row r="6" ht="16.8" spans="1:20">
      <c r="A6" s="32"/>
      <c r="B6" s="12" t="s">
        <v>85</v>
      </c>
      <c r="C6" s="12">
        <f t="shared" ref="C6:N6" si="2">C8/(1-C7)</f>
        <v>4139650.33294473</v>
      </c>
      <c r="D6" s="12">
        <f t="shared" si="2"/>
        <v>4476868.6378834</v>
      </c>
      <c r="E6" s="12">
        <f t="shared" si="2"/>
        <v>3529138.98680596</v>
      </c>
      <c r="F6" s="12">
        <f t="shared" si="2"/>
        <v>3145407.47023334</v>
      </c>
      <c r="G6" s="12">
        <f t="shared" si="2"/>
        <v>5836788.2081962</v>
      </c>
      <c r="H6" s="12">
        <f t="shared" si="2"/>
        <v>5354264.81954793</v>
      </c>
      <c r="I6" s="12">
        <f t="shared" si="2"/>
        <v>4081508.93646932</v>
      </c>
      <c r="J6" s="12">
        <f t="shared" si="2"/>
        <v>5267588.51297966</v>
      </c>
      <c r="K6" s="12">
        <f t="shared" si="2"/>
        <v>4029182.10468272</v>
      </c>
      <c r="L6" s="12">
        <f t="shared" si="2"/>
        <v>5936211.97497244</v>
      </c>
      <c r="M6" s="12">
        <f t="shared" si="2"/>
        <v>6726931.8500687</v>
      </c>
      <c r="N6" s="12">
        <f t="shared" si="2"/>
        <v>5610738.03282467</v>
      </c>
      <c r="O6" s="12">
        <f>SUM(C6:N6)</f>
        <v>58134279.8676091</v>
      </c>
      <c r="P6" s="12"/>
      <c r="Q6" s="11" t="s">
        <v>83</v>
      </c>
      <c r="R6" s="6"/>
      <c r="S6" s="6"/>
      <c r="T6" s="6"/>
    </row>
    <row r="7" ht="16.8" spans="1:20">
      <c r="A7" s="32"/>
      <c r="B7" s="14" t="s">
        <v>20</v>
      </c>
      <c r="C7" s="14">
        <v>0.05</v>
      </c>
      <c r="D7" s="14">
        <v>0.05</v>
      </c>
      <c r="E7" s="14">
        <v>0.05</v>
      </c>
      <c r="F7" s="14">
        <v>0.05</v>
      </c>
      <c r="G7" s="14">
        <v>0.05</v>
      </c>
      <c r="H7" s="14">
        <v>0.05</v>
      </c>
      <c r="I7" s="14">
        <v>0.05</v>
      </c>
      <c r="J7" s="14">
        <v>0.05</v>
      </c>
      <c r="K7" s="14">
        <v>0.05</v>
      </c>
      <c r="L7" s="14">
        <v>0.05</v>
      </c>
      <c r="M7" s="14">
        <v>0.05</v>
      </c>
      <c r="N7" s="14">
        <v>0.05</v>
      </c>
      <c r="O7" s="14">
        <v>0.05</v>
      </c>
      <c r="P7" s="14"/>
      <c r="Q7" s="6" t="s">
        <v>83</v>
      </c>
      <c r="R7" s="6"/>
      <c r="S7" s="6"/>
      <c r="T7" s="6"/>
    </row>
    <row r="8" ht="16.8" spans="1:20">
      <c r="A8" s="32"/>
      <c r="B8" s="12" t="s">
        <v>86</v>
      </c>
      <c r="C8" s="12">
        <v>3932667.81629749</v>
      </c>
      <c r="D8" s="12">
        <v>4253025.20598923</v>
      </c>
      <c r="E8" s="12">
        <v>3352682.03746566</v>
      </c>
      <c r="F8" s="12">
        <v>2988137.09672167</v>
      </c>
      <c r="G8" s="12">
        <v>5544948.79778639</v>
      </c>
      <c r="H8" s="12">
        <v>5086551.57857053</v>
      </c>
      <c r="I8" s="12">
        <v>3877433.48964585</v>
      </c>
      <c r="J8" s="12">
        <v>5004209.08733068</v>
      </c>
      <c r="K8" s="12">
        <v>3827722.99944859</v>
      </c>
      <c r="L8" s="12">
        <v>5639401.37622382</v>
      </c>
      <c r="M8" s="12">
        <v>6390585.25756527</v>
      </c>
      <c r="N8" s="12">
        <v>5330201.13118344</v>
      </c>
      <c r="O8" s="12">
        <f>SUM(C8:N8)</f>
        <v>55227565.8742286</v>
      </c>
      <c r="P8" s="12"/>
      <c r="Q8" s="6" t="s">
        <v>83</v>
      </c>
      <c r="R8" s="6"/>
      <c r="S8" s="6"/>
      <c r="T8" s="6"/>
    </row>
    <row r="9" ht="16.8" spans="1:20">
      <c r="A9" s="6"/>
      <c r="B9" s="4"/>
      <c r="C9" s="5">
        <f t="shared" ref="C9:O9" si="3">C10-C14-C15</f>
        <v>0</v>
      </c>
      <c r="D9" s="5">
        <f t="shared" si="3"/>
        <v>0</v>
      </c>
      <c r="E9" s="5">
        <f t="shared" si="3"/>
        <v>0</v>
      </c>
      <c r="F9" s="5">
        <f t="shared" si="3"/>
        <v>0</v>
      </c>
      <c r="G9" s="5">
        <f t="shared" si="3"/>
        <v>0</v>
      </c>
      <c r="H9" s="5">
        <f t="shared" si="3"/>
        <v>0</v>
      </c>
      <c r="I9" s="5">
        <f t="shared" si="3"/>
        <v>0</v>
      </c>
      <c r="J9" s="5">
        <f t="shared" si="3"/>
        <v>0</v>
      </c>
      <c r="K9" s="5">
        <f t="shared" si="3"/>
        <v>0</v>
      </c>
      <c r="L9" s="5">
        <f t="shared" si="3"/>
        <v>0</v>
      </c>
      <c r="M9" s="5">
        <f t="shared" si="3"/>
        <v>0</v>
      </c>
      <c r="N9" s="5">
        <f t="shared" si="3"/>
        <v>0</v>
      </c>
      <c r="O9" s="5">
        <f t="shared" si="3"/>
        <v>0</v>
      </c>
      <c r="P9" s="36"/>
      <c r="Q9" s="6"/>
      <c r="R9" s="6"/>
      <c r="S9" s="6"/>
      <c r="T9" s="6"/>
    </row>
    <row r="10" ht="16.8" spans="1:20">
      <c r="A10" s="32"/>
      <c r="B10" s="12" t="s">
        <v>22</v>
      </c>
      <c r="C10" s="12">
        <f t="shared" ref="C10:O10" si="4">C11+C15</f>
        <v>5112468.16118674</v>
      </c>
      <c r="D10" s="12">
        <f t="shared" si="4"/>
        <v>5528932.767786</v>
      </c>
      <c r="E10" s="12">
        <f t="shared" si="4"/>
        <v>4358486.64870536</v>
      </c>
      <c r="F10" s="12">
        <f t="shared" si="4"/>
        <v>3884578.22573818</v>
      </c>
      <c r="G10" s="12">
        <f t="shared" si="4"/>
        <v>7208433.43712231</v>
      </c>
      <c r="H10" s="12">
        <f t="shared" si="4"/>
        <v>6612517.05214169</v>
      </c>
      <c r="I10" s="12">
        <f t="shared" si="4"/>
        <v>5040663.53653961</v>
      </c>
      <c r="J10" s="12">
        <f t="shared" si="4"/>
        <v>6505471.81352988</v>
      </c>
      <c r="K10" s="12">
        <f t="shared" si="4"/>
        <v>4976039.89928316</v>
      </c>
      <c r="L10" s="12">
        <f t="shared" si="4"/>
        <v>7331221.78909097</v>
      </c>
      <c r="M10" s="12">
        <f t="shared" si="4"/>
        <v>8307760.83483484</v>
      </c>
      <c r="N10" s="12">
        <f t="shared" si="4"/>
        <v>6929261.47053847</v>
      </c>
      <c r="O10" s="12">
        <f t="shared" si="4"/>
        <v>71795835.6364972</v>
      </c>
      <c r="P10" s="12"/>
      <c r="Q10" s="6"/>
      <c r="R10" s="20">
        <f>C15/C10</f>
        <v>0.769230769230769</v>
      </c>
      <c r="S10" s="6"/>
      <c r="T10" s="6"/>
    </row>
    <row r="11" ht="16.8" spans="1:20">
      <c r="A11" s="6"/>
      <c r="B11" s="17" t="s">
        <v>23</v>
      </c>
      <c r="C11" s="37">
        <f t="shared" ref="C11:N11" si="5">C8*$P$11</f>
        <v>1179800.34488925</v>
      </c>
      <c r="D11" s="37">
        <f t="shared" si="5"/>
        <v>1275907.56179677</v>
      </c>
      <c r="E11" s="37">
        <f t="shared" si="5"/>
        <v>1005804.6112397</v>
      </c>
      <c r="F11" s="37">
        <f t="shared" si="5"/>
        <v>896441.129016502</v>
      </c>
      <c r="G11" s="37">
        <f t="shared" si="5"/>
        <v>1663484.63933592</v>
      </c>
      <c r="H11" s="37">
        <f t="shared" si="5"/>
        <v>1525965.47357116</v>
      </c>
      <c r="I11" s="37">
        <f t="shared" si="5"/>
        <v>1163230.04689376</v>
      </c>
      <c r="J11" s="37">
        <f t="shared" si="5"/>
        <v>1501262.7261992</v>
      </c>
      <c r="K11" s="37">
        <f t="shared" si="5"/>
        <v>1148316.89983458</v>
      </c>
      <c r="L11" s="37">
        <f t="shared" si="5"/>
        <v>1691820.41286715</v>
      </c>
      <c r="M11" s="37">
        <f t="shared" si="5"/>
        <v>1917175.57726958</v>
      </c>
      <c r="N11" s="37">
        <f t="shared" si="5"/>
        <v>1599060.33935503</v>
      </c>
      <c r="O11" s="37">
        <f t="shared" ref="O11:O16" si="6">SUM(C11:N11)</f>
        <v>16568269.7622686</v>
      </c>
      <c r="P11" s="38">
        <v>0.3</v>
      </c>
      <c r="Q11" s="6" t="s">
        <v>88</v>
      </c>
      <c r="R11" s="6"/>
      <c r="S11" s="6"/>
      <c r="T11" s="6"/>
    </row>
    <row r="12" ht="16.8" spans="1:20">
      <c r="A12" s="6"/>
      <c r="B12" s="17" t="s">
        <v>25</v>
      </c>
      <c r="C12" s="37">
        <f t="shared" ref="C12:N12" si="7">C3*$P$12</f>
        <v>0</v>
      </c>
      <c r="D12" s="37">
        <f t="shared" si="7"/>
        <v>0</v>
      </c>
      <c r="E12" s="37">
        <f t="shared" si="7"/>
        <v>0</v>
      </c>
      <c r="F12" s="37">
        <f t="shared" si="7"/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6"/>
        <v>0</v>
      </c>
      <c r="P12" s="39"/>
      <c r="Q12" s="6" t="s">
        <v>83</v>
      </c>
      <c r="R12" s="20">
        <f>O12/$O$10</f>
        <v>0</v>
      </c>
      <c r="S12" s="6"/>
      <c r="T12" s="6"/>
    </row>
    <row r="13" ht="16.8" spans="1:20">
      <c r="A13" s="6"/>
      <c r="B13" s="17" t="s">
        <v>27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>
        <f t="shared" si="6"/>
        <v>0</v>
      </c>
      <c r="P13" s="37"/>
      <c r="Q13" s="6" t="s">
        <v>83</v>
      </c>
      <c r="R13" s="20">
        <f>O13/$O$10</f>
        <v>0</v>
      </c>
      <c r="S13" s="6"/>
      <c r="T13" s="6"/>
    </row>
    <row r="14" ht="16.8" spans="1:20">
      <c r="A14" s="6"/>
      <c r="B14" s="21" t="s">
        <v>28</v>
      </c>
      <c r="C14" s="40">
        <f t="shared" ref="C14:N14" si="8">SUM(C11:C13)</f>
        <v>1179800.34488925</v>
      </c>
      <c r="D14" s="40">
        <f t="shared" si="8"/>
        <v>1275907.56179677</v>
      </c>
      <c r="E14" s="40">
        <f t="shared" si="8"/>
        <v>1005804.6112397</v>
      </c>
      <c r="F14" s="40">
        <f t="shared" si="8"/>
        <v>896441.129016502</v>
      </c>
      <c r="G14" s="40">
        <f t="shared" si="8"/>
        <v>1663484.63933592</v>
      </c>
      <c r="H14" s="40">
        <f t="shared" si="8"/>
        <v>1525965.47357116</v>
      </c>
      <c r="I14" s="40">
        <f t="shared" si="8"/>
        <v>1163230.04689376</v>
      </c>
      <c r="J14" s="40">
        <f t="shared" si="8"/>
        <v>1501262.7261992</v>
      </c>
      <c r="K14" s="40">
        <f t="shared" si="8"/>
        <v>1148316.89983458</v>
      </c>
      <c r="L14" s="40">
        <f t="shared" si="8"/>
        <v>1691820.41286715</v>
      </c>
      <c r="M14" s="40">
        <f t="shared" si="8"/>
        <v>1917175.57726958</v>
      </c>
      <c r="N14" s="40">
        <f t="shared" si="8"/>
        <v>1599060.33935503</v>
      </c>
      <c r="O14" s="40">
        <f t="shared" si="6"/>
        <v>16568269.7622686</v>
      </c>
      <c r="P14" s="40"/>
      <c r="Q14" s="6"/>
      <c r="R14" s="6">
        <f>O14/O10</f>
        <v>0.230769230769231</v>
      </c>
      <c r="S14" s="6"/>
      <c r="T14" s="6"/>
    </row>
    <row r="15" ht="16.8" spans="1:20">
      <c r="A15" s="32"/>
      <c r="B15" s="12" t="s">
        <v>29</v>
      </c>
      <c r="C15" s="12">
        <f t="shared" ref="C15:N15" si="9">C8</f>
        <v>3932667.81629749</v>
      </c>
      <c r="D15" s="12">
        <f t="shared" si="9"/>
        <v>4253025.20598923</v>
      </c>
      <c r="E15" s="12">
        <f t="shared" si="9"/>
        <v>3352682.03746566</v>
      </c>
      <c r="F15" s="12">
        <f t="shared" si="9"/>
        <v>2988137.09672167</v>
      </c>
      <c r="G15" s="12">
        <f t="shared" si="9"/>
        <v>5544948.79778639</v>
      </c>
      <c r="H15" s="12">
        <f t="shared" si="9"/>
        <v>5086551.57857053</v>
      </c>
      <c r="I15" s="12">
        <f t="shared" si="9"/>
        <v>3877433.48964585</v>
      </c>
      <c r="J15" s="12">
        <f t="shared" si="9"/>
        <v>5004209.08733068</v>
      </c>
      <c r="K15" s="12">
        <f t="shared" si="9"/>
        <v>3827722.99944859</v>
      </c>
      <c r="L15" s="12">
        <f t="shared" si="9"/>
        <v>5639401.37622382</v>
      </c>
      <c r="M15" s="12">
        <f t="shared" si="9"/>
        <v>6390585.25756527</v>
      </c>
      <c r="N15" s="12">
        <f t="shared" si="9"/>
        <v>5330201.13118344</v>
      </c>
      <c r="O15" s="12">
        <f t="shared" si="6"/>
        <v>55227565.8742286</v>
      </c>
      <c r="P15" s="12"/>
      <c r="Q15" s="6"/>
      <c r="R15" s="6"/>
      <c r="S15" s="6"/>
      <c r="T15" s="6"/>
    </row>
    <row r="16" ht="16.8" spans="1:20">
      <c r="A16" s="32"/>
      <c r="B16" s="12" t="s">
        <v>30</v>
      </c>
      <c r="C16" s="12">
        <f t="shared" ref="C16:N16" si="10">+C8/1.13</f>
        <v>3480237.005573</v>
      </c>
      <c r="D16" s="12">
        <f t="shared" si="10"/>
        <v>3763739.12034445</v>
      </c>
      <c r="E16" s="12">
        <f t="shared" si="10"/>
        <v>2966975.25439439</v>
      </c>
      <c r="F16" s="12">
        <f t="shared" si="10"/>
        <v>2644369.11214307</v>
      </c>
      <c r="G16" s="12">
        <f t="shared" si="10"/>
        <v>4907034.33432424</v>
      </c>
      <c r="H16" s="12">
        <f t="shared" si="10"/>
        <v>4501373.078381</v>
      </c>
      <c r="I16" s="12">
        <f t="shared" si="10"/>
        <v>3431357.07048306</v>
      </c>
      <c r="J16" s="12">
        <f t="shared" si="10"/>
        <v>4428503.61710679</v>
      </c>
      <c r="K16" s="12">
        <f t="shared" si="10"/>
        <v>3387365.48623769</v>
      </c>
      <c r="L16" s="12">
        <f t="shared" si="10"/>
        <v>4990620.68692374</v>
      </c>
      <c r="M16" s="12">
        <f t="shared" si="10"/>
        <v>5655385.18368608</v>
      </c>
      <c r="N16" s="12">
        <f t="shared" si="10"/>
        <v>4716992.15148977</v>
      </c>
      <c r="O16" s="12">
        <f t="shared" si="6"/>
        <v>48873952.1010873</v>
      </c>
      <c r="P16" s="12"/>
      <c r="Q16" s="6"/>
      <c r="R16" s="6"/>
      <c r="S16" s="6"/>
      <c r="T16" s="6"/>
    </row>
    <row r="17" spans="1:20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ht="16.8" spans="1:20">
      <c r="A18" s="6"/>
      <c r="B18" s="17" t="s">
        <v>31</v>
      </c>
      <c r="C18" s="37">
        <f t="shared" ref="C18:N18" si="11">C16*(1-C23)</f>
        <v>1705316.13273077</v>
      </c>
      <c r="D18" s="37">
        <f t="shared" si="11"/>
        <v>1806594.77776534</v>
      </c>
      <c r="E18" s="37">
        <f t="shared" si="11"/>
        <v>1394478.36956536</v>
      </c>
      <c r="F18" s="37">
        <f t="shared" si="11"/>
        <v>1216409.79158581</v>
      </c>
      <c r="G18" s="37">
        <f t="shared" si="11"/>
        <v>2208165.45044591</v>
      </c>
      <c r="H18" s="37">
        <f t="shared" si="11"/>
        <v>1980604.15448764</v>
      </c>
      <c r="I18" s="37">
        <f t="shared" si="11"/>
        <v>1475483.54030771</v>
      </c>
      <c r="J18" s="37">
        <f t="shared" si="11"/>
        <v>1815686.48301379</v>
      </c>
      <c r="K18" s="37">
        <f t="shared" si="11"/>
        <v>1354946.19449508</v>
      </c>
      <c r="L18" s="37">
        <f t="shared" si="11"/>
        <v>1946342.06790026</v>
      </c>
      <c r="M18" s="37">
        <f t="shared" si="11"/>
        <v>2149046.36980071</v>
      </c>
      <c r="N18" s="37">
        <f t="shared" si="11"/>
        <v>1745287.09605121</v>
      </c>
      <c r="O18" s="37">
        <f>SUM(C18:N18)</f>
        <v>20798360.4281496</v>
      </c>
      <c r="P18" s="38">
        <f>O18/O16</f>
        <v>0.425551025321869</v>
      </c>
      <c r="Q18" s="6"/>
      <c r="R18" s="6"/>
      <c r="S18" s="6"/>
      <c r="T18" s="6"/>
    </row>
    <row r="19" ht="16.8" spans="1:20">
      <c r="A19" s="6"/>
      <c r="B19" s="21" t="s">
        <v>32</v>
      </c>
      <c r="C19" s="40">
        <f t="shared" ref="C19:N19" si="12">C16-C18</f>
        <v>1774920.87284223</v>
      </c>
      <c r="D19" s="40">
        <f t="shared" si="12"/>
        <v>1957144.34257912</v>
      </c>
      <c r="E19" s="40">
        <f t="shared" si="12"/>
        <v>1572496.88482903</v>
      </c>
      <c r="F19" s="40">
        <f t="shared" si="12"/>
        <v>1427959.32055726</v>
      </c>
      <c r="G19" s="40">
        <f t="shared" si="12"/>
        <v>2698868.88387833</v>
      </c>
      <c r="H19" s="40">
        <f t="shared" si="12"/>
        <v>2520768.92389336</v>
      </c>
      <c r="I19" s="40">
        <f t="shared" si="12"/>
        <v>1955873.53017534</v>
      </c>
      <c r="J19" s="40">
        <f t="shared" si="12"/>
        <v>2612817.13409301</v>
      </c>
      <c r="K19" s="40">
        <f t="shared" si="12"/>
        <v>2032419.29174261</v>
      </c>
      <c r="L19" s="40">
        <f t="shared" si="12"/>
        <v>3044278.61902348</v>
      </c>
      <c r="M19" s="40">
        <f t="shared" si="12"/>
        <v>3506338.81388537</v>
      </c>
      <c r="N19" s="40">
        <f t="shared" si="12"/>
        <v>2971705.05543855</v>
      </c>
      <c r="O19" s="40">
        <f>SUM(C19:N19)</f>
        <v>28075591.6729377</v>
      </c>
      <c r="P19" s="41">
        <f>O19/$O$16</f>
        <v>0.574448974678131</v>
      </c>
      <c r="Q19" s="6"/>
      <c r="R19" s="6"/>
      <c r="S19" s="6"/>
      <c r="T19" s="6"/>
    </row>
    <row r="20" ht="16.8" spans="1:20">
      <c r="A20" s="36"/>
      <c r="B20" s="4" t="s">
        <v>33</v>
      </c>
      <c r="C20" s="36">
        <f t="shared" ref="C20:N20" si="13">C16*2.5%</f>
        <v>87005.9251393251</v>
      </c>
      <c r="D20" s="36">
        <f t="shared" si="13"/>
        <v>94093.4780086114</v>
      </c>
      <c r="E20" s="36">
        <f t="shared" si="13"/>
        <v>74174.3813598598</v>
      </c>
      <c r="F20" s="36">
        <f t="shared" si="13"/>
        <v>66109.2278035769</v>
      </c>
      <c r="G20" s="36">
        <f t="shared" si="13"/>
        <v>122675.858358106</v>
      </c>
      <c r="H20" s="36">
        <f t="shared" si="13"/>
        <v>112534.326959525</v>
      </c>
      <c r="I20" s="36">
        <f t="shared" si="13"/>
        <v>85783.9267620764</v>
      </c>
      <c r="J20" s="36">
        <f t="shared" si="13"/>
        <v>110712.59042767</v>
      </c>
      <c r="K20" s="36">
        <f t="shared" si="13"/>
        <v>84684.1371559422</v>
      </c>
      <c r="L20" s="36">
        <f t="shared" si="13"/>
        <v>124765.517173093</v>
      </c>
      <c r="M20" s="36">
        <f t="shared" si="13"/>
        <v>141384.629592152</v>
      </c>
      <c r="N20" s="36">
        <f t="shared" si="13"/>
        <v>117924.803787244</v>
      </c>
      <c r="O20" s="36">
        <f>SUM(C20:N20)</f>
        <v>1221848.80252718</v>
      </c>
      <c r="P20" s="42">
        <v>0.025</v>
      </c>
      <c r="Q20" s="6"/>
      <c r="R20" s="6"/>
      <c r="S20" s="6"/>
      <c r="T20" s="6"/>
    </row>
    <row r="21" ht="16.8" spans="1:20">
      <c r="A21" s="6"/>
      <c r="B21" s="21" t="s">
        <v>35</v>
      </c>
      <c r="C21" s="40">
        <f t="shared" ref="C21:N21" si="14">SUM(C18,C20)</f>
        <v>1792322.0578701</v>
      </c>
      <c r="D21" s="40">
        <f t="shared" si="14"/>
        <v>1900688.25577395</v>
      </c>
      <c r="E21" s="40">
        <f t="shared" si="14"/>
        <v>1468652.75092522</v>
      </c>
      <c r="F21" s="40">
        <f t="shared" si="14"/>
        <v>1282519.01938939</v>
      </c>
      <c r="G21" s="40">
        <f t="shared" si="14"/>
        <v>2330841.30880401</v>
      </c>
      <c r="H21" s="40">
        <f t="shared" si="14"/>
        <v>2093138.48144716</v>
      </c>
      <c r="I21" s="40">
        <f t="shared" si="14"/>
        <v>1561267.46706979</v>
      </c>
      <c r="J21" s="40">
        <f t="shared" si="14"/>
        <v>1926399.07344146</v>
      </c>
      <c r="K21" s="40">
        <f t="shared" si="14"/>
        <v>1439630.33165102</v>
      </c>
      <c r="L21" s="40">
        <f t="shared" si="14"/>
        <v>2071107.58507335</v>
      </c>
      <c r="M21" s="40">
        <f t="shared" si="14"/>
        <v>2290430.99939286</v>
      </c>
      <c r="N21" s="40">
        <f t="shared" si="14"/>
        <v>1863211.89983846</v>
      </c>
      <c r="O21" s="40">
        <f>SUM(C21:N21)</f>
        <v>22020209.2306768</v>
      </c>
      <c r="P21" s="41">
        <f>O21/$O$16</f>
        <v>0.450551025321869</v>
      </c>
      <c r="Q21" s="6"/>
      <c r="R21" s="6"/>
      <c r="S21" s="6"/>
      <c r="T21" s="6"/>
    </row>
    <row r="22" ht="16.8" spans="1:20">
      <c r="A22" s="32"/>
      <c r="B22" s="12" t="s">
        <v>36</v>
      </c>
      <c r="C22" s="12">
        <f t="shared" ref="C22:N22" si="15">C16-C21</f>
        <v>1687914.94770291</v>
      </c>
      <c r="D22" s="12">
        <f t="shared" si="15"/>
        <v>1863050.8645705</v>
      </c>
      <c r="E22" s="12">
        <f t="shared" si="15"/>
        <v>1498322.50346917</v>
      </c>
      <c r="F22" s="12">
        <f t="shared" si="15"/>
        <v>1361850.09275368</v>
      </c>
      <c r="G22" s="12">
        <f t="shared" si="15"/>
        <v>2576193.02552023</v>
      </c>
      <c r="H22" s="12">
        <f t="shared" si="15"/>
        <v>2408234.59693383</v>
      </c>
      <c r="I22" s="12">
        <f t="shared" si="15"/>
        <v>1870089.60341327</v>
      </c>
      <c r="J22" s="12">
        <f t="shared" si="15"/>
        <v>2502104.54366534</v>
      </c>
      <c r="K22" s="12">
        <f t="shared" si="15"/>
        <v>1947735.15458667</v>
      </c>
      <c r="L22" s="12">
        <f t="shared" si="15"/>
        <v>2919513.10185039</v>
      </c>
      <c r="M22" s="12">
        <f t="shared" si="15"/>
        <v>3364954.18429322</v>
      </c>
      <c r="N22" s="12">
        <f t="shared" si="15"/>
        <v>2853780.25165131</v>
      </c>
      <c r="O22" s="12">
        <f>SUM(C22:N22)</f>
        <v>26853742.8704105</v>
      </c>
      <c r="P22" s="43">
        <f>O22/$O$16</f>
        <v>0.549448974678131</v>
      </c>
      <c r="Q22" s="6"/>
      <c r="R22" s="6"/>
      <c r="S22" s="6"/>
      <c r="T22" s="6"/>
    </row>
    <row r="23" ht="16.8" spans="1:20">
      <c r="A23" s="6"/>
      <c r="B23" s="14" t="s">
        <v>37</v>
      </c>
      <c r="C23" s="44">
        <v>0.51</v>
      </c>
      <c r="D23" s="44">
        <v>0.52</v>
      </c>
      <c r="E23" s="44">
        <v>0.53</v>
      </c>
      <c r="F23" s="44">
        <v>0.54</v>
      </c>
      <c r="G23" s="44">
        <v>0.55</v>
      </c>
      <c r="H23" s="44">
        <v>0.56</v>
      </c>
      <c r="I23" s="44">
        <v>0.57</v>
      </c>
      <c r="J23" s="44">
        <v>0.59</v>
      </c>
      <c r="K23" s="44">
        <v>0.6</v>
      </c>
      <c r="L23" s="44">
        <v>0.61</v>
      </c>
      <c r="M23" s="44">
        <v>0.62</v>
      </c>
      <c r="N23" s="44">
        <v>0.63</v>
      </c>
      <c r="O23" s="44">
        <f>O19/$O$16</f>
        <v>0.574448974678131</v>
      </c>
      <c r="P23" s="42"/>
      <c r="Q23" s="6"/>
      <c r="R23" s="6"/>
      <c r="S23" s="6"/>
      <c r="T23" s="6"/>
    </row>
    <row r="24" ht="16.8" spans="1:20">
      <c r="A24" s="6"/>
      <c r="B24" s="14" t="s">
        <v>38</v>
      </c>
      <c r="C24" s="44">
        <f t="shared" ref="C24:O24" si="16">IFERROR(1-C21/C16,0)</f>
        <v>0.485</v>
      </c>
      <c r="D24" s="44">
        <f t="shared" si="16"/>
        <v>0.495</v>
      </c>
      <c r="E24" s="44">
        <f t="shared" si="16"/>
        <v>0.505</v>
      </c>
      <c r="F24" s="44">
        <f t="shared" si="16"/>
        <v>0.515</v>
      </c>
      <c r="G24" s="44">
        <f t="shared" si="16"/>
        <v>0.525</v>
      </c>
      <c r="H24" s="44">
        <f t="shared" si="16"/>
        <v>0.535</v>
      </c>
      <c r="I24" s="44">
        <f t="shared" si="16"/>
        <v>0.545</v>
      </c>
      <c r="J24" s="44">
        <f t="shared" si="16"/>
        <v>0.565</v>
      </c>
      <c r="K24" s="44">
        <f t="shared" si="16"/>
        <v>0.575</v>
      </c>
      <c r="L24" s="44">
        <f t="shared" si="16"/>
        <v>0.585</v>
      </c>
      <c r="M24" s="44">
        <f t="shared" si="16"/>
        <v>0.595</v>
      </c>
      <c r="N24" s="44">
        <f t="shared" si="16"/>
        <v>0.605</v>
      </c>
      <c r="O24" s="44">
        <f t="shared" si="16"/>
        <v>0.549448974678131</v>
      </c>
      <c r="P24" s="42"/>
      <c r="Q24" s="6"/>
      <c r="R24" s="6"/>
      <c r="S24" s="6"/>
      <c r="T24" s="6"/>
    </row>
    <row r="25" ht="16.8" spans="1:20">
      <c r="A25" s="6"/>
      <c r="B25" s="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42"/>
      <c r="Q25" s="6"/>
      <c r="R25" s="6"/>
      <c r="S25" s="6"/>
      <c r="T25" s="6"/>
    </row>
    <row r="26" ht="16.8" spans="1:20">
      <c r="A26" s="6"/>
      <c r="B26" s="17" t="s">
        <v>39</v>
      </c>
      <c r="C26" s="37">
        <f t="shared" ref="C26:N26" si="17">SUM(C27:C31)</f>
        <v>48197.900379216</v>
      </c>
      <c r="D26" s="37">
        <f t="shared" si="17"/>
        <v>170444.06450014</v>
      </c>
      <c r="E26" s="37">
        <f t="shared" si="17"/>
        <v>299937.716100543</v>
      </c>
      <c r="F26" s="37">
        <f t="shared" si="17"/>
        <v>168634.249572336</v>
      </c>
      <c r="G26" s="37">
        <f t="shared" si="17"/>
        <v>731199.327189374</v>
      </c>
      <c r="H26" s="37">
        <f t="shared" si="17"/>
        <v>423442.853754618</v>
      </c>
      <c r="I26" s="37">
        <f t="shared" si="17"/>
        <v>77985.1951319277</v>
      </c>
      <c r="J26" s="37">
        <f t="shared" si="17"/>
        <v>134851.945837055</v>
      </c>
      <c r="K26" s="37">
        <f t="shared" si="17"/>
        <v>107491.123812716</v>
      </c>
      <c r="L26" s="37">
        <f t="shared" si="17"/>
        <v>382744.542103199</v>
      </c>
      <c r="M26" s="37">
        <f t="shared" si="17"/>
        <v>151518.399567772</v>
      </c>
      <c r="N26" s="37">
        <f t="shared" si="17"/>
        <v>89678.8235569044</v>
      </c>
      <c r="O26" s="37">
        <f t="shared" ref="O26:O31" si="18">SUM(C26:N26)</f>
        <v>2786126.1415058</v>
      </c>
      <c r="P26" s="38">
        <f t="shared" ref="P26:P31" si="19">O26/$O$16</f>
        <v>0.0570063606835638</v>
      </c>
      <c r="Q26" s="6"/>
      <c r="R26" s="6"/>
      <c r="S26" s="6"/>
      <c r="T26" s="6"/>
    </row>
    <row r="27" ht="16.8" spans="1:20">
      <c r="A27" s="36"/>
      <c r="B27" s="4" t="s">
        <v>40</v>
      </c>
      <c r="C27" s="45">
        <v>0</v>
      </c>
      <c r="D27" s="45">
        <v>0</v>
      </c>
      <c r="E27" s="45">
        <v>8195.01956558861</v>
      </c>
      <c r="F27" s="45">
        <v>6855.05079562343</v>
      </c>
      <c r="G27" s="45">
        <v>14565.7236491907</v>
      </c>
      <c r="H27" s="45">
        <v>12831.6016289278</v>
      </c>
      <c r="I27" s="45">
        <v>8296.29735446039</v>
      </c>
      <c r="J27" s="45">
        <v>11428.1310031402</v>
      </c>
      <c r="K27" s="45">
        <v>9109.41727226404</v>
      </c>
      <c r="L27" s="45">
        <v>15309.781684128</v>
      </c>
      <c r="M27" s="45">
        <v>11655.2615052132</v>
      </c>
      <c r="N27" s="45">
        <v>0</v>
      </c>
      <c r="O27" s="36">
        <f t="shared" si="18"/>
        <v>98246.2844585365</v>
      </c>
      <c r="P27" s="42">
        <f t="shared" si="19"/>
        <v>0.00201019725712648</v>
      </c>
      <c r="Q27" s="4"/>
      <c r="R27" s="6"/>
      <c r="S27" s="6"/>
      <c r="T27" s="6"/>
    </row>
    <row r="28" ht="16.8" spans="1:20">
      <c r="A28" s="36"/>
      <c r="B28" s="4" t="s">
        <v>41</v>
      </c>
      <c r="C28" s="45">
        <v>0</v>
      </c>
      <c r="D28" s="45">
        <v>0</v>
      </c>
      <c r="E28" s="45">
        <v>0</v>
      </c>
      <c r="F28" s="45">
        <v>8226.06095474812</v>
      </c>
      <c r="G28" s="45">
        <v>87394.3418951443</v>
      </c>
      <c r="H28" s="45">
        <v>41061.125212569</v>
      </c>
      <c r="I28" s="45">
        <v>0</v>
      </c>
      <c r="J28" s="45">
        <v>13713.7572037683</v>
      </c>
      <c r="K28" s="45">
        <v>29150.1352712449</v>
      </c>
      <c r="L28" s="45">
        <v>18371.7380209536</v>
      </c>
      <c r="M28" s="45">
        <v>13986.3138062559</v>
      </c>
      <c r="N28" s="45">
        <v>0</v>
      </c>
      <c r="O28" s="36">
        <f t="shared" si="18"/>
        <v>211903.472364684</v>
      </c>
      <c r="P28" s="42">
        <f t="shared" si="19"/>
        <v>0.00433571387733078</v>
      </c>
      <c r="Q28" s="4"/>
      <c r="R28" s="6"/>
      <c r="S28" s="6"/>
      <c r="T28" s="6"/>
    </row>
    <row r="29" ht="16.8" spans="1:20">
      <c r="A29" s="36"/>
      <c r="B29" s="4" t="s">
        <v>42</v>
      </c>
      <c r="C29" s="45">
        <v>4016.491698268</v>
      </c>
      <c r="D29" s="45">
        <v>3277.77047115653</v>
      </c>
      <c r="E29" s="45">
        <v>3278.00782623544</v>
      </c>
      <c r="F29" s="45">
        <v>13710.1015912469</v>
      </c>
      <c r="G29" s="45">
        <v>87394.3418951443</v>
      </c>
      <c r="H29" s="45">
        <v>56459.0471672824</v>
      </c>
      <c r="I29" s="45">
        <v>0</v>
      </c>
      <c r="J29" s="45">
        <v>13713.7572037683</v>
      </c>
      <c r="K29" s="45">
        <v>29150.1352712449</v>
      </c>
      <c r="L29" s="45">
        <v>30619.5633682559</v>
      </c>
      <c r="M29" s="45">
        <v>23310.5230104265</v>
      </c>
      <c r="N29" s="45">
        <v>4076.31016167747</v>
      </c>
      <c r="O29" s="36">
        <f t="shared" si="18"/>
        <v>269006.049664707</v>
      </c>
      <c r="P29" s="42">
        <f t="shared" si="19"/>
        <v>0.005504078105006</v>
      </c>
      <c r="Q29" s="6"/>
      <c r="R29" s="6"/>
      <c r="S29" s="6"/>
      <c r="T29" s="6"/>
    </row>
    <row r="30" ht="16.8" spans="1:20">
      <c r="A30" s="36"/>
      <c r="B30" s="4" t="s">
        <v>43</v>
      </c>
      <c r="C30" s="45">
        <v>4016.491698268</v>
      </c>
      <c r="D30" s="45">
        <v>3277.77047115653</v>
      </c>
      <c r="E30" s="45">
        <v>26224.0626098835</v>
      </c>
      <c r="F30" s="45">
        <v>2742.02031824937</v>
      </c>
      <c r="G30" s="45">
        <v>17478.8683790289</v>
      </c>
      <c r="H30" s="45">
        <v>5132.64065157113</v>
      </c>
      <c r="I30" s="45">
        <v>3318.51894178416</v>
      </c>
      <c r="J30" s="45">
        <v>4571.2524012561</v>
      </c>
      <c r="K30" s="45">
        <v>3643.76690890562</v>
      </c>
      <c r="L30" s="45">
        <v>12247.8253473024</v>
      </c>
      <c r="M30" s="45">
        <v>9324.2092041706</v>
      </c>
      <c r="N30" s="45">
        <v>4076.31016167747</v>
      </c>
      <c r="O30" s="36">
        <f t="shared" si="18"/>
        <v>96053.7370932538</v>
      </c>
      <c r="P30" s="42">
        <f t="shared" si="19"/>
        <v>0.00196533599113457</v>
      </c>
      <c r="Q30" s="6"/>
      <c r="R30" s="6"/>
      <c r="S30" s="6"/>
      <c r="T30" s="6"/>
    </row>
    <row r="31" ht="16.8" collapsed="1" spans="1:20">
      <c r="A31" s="36"/>
      <c r="B31" s="4" t="s">
        <v>44</v>
      </c>
      <c r="C31" s="45">
        <v>40164.91698268</v>
      </c>
      <c r="D31" s="45">
        <v>163888.523557827</v>
      </c>
      <c r="E31" s="45">
        <v>262240.626098835</v>
      </c>
      <c r="F31" s="45">
        <v>137101.015912469</v>
      </c>
      <c r="G31" s="45">
        <v>524366.051370866</v>
      </c>
      <c r="H31" s="45">
        <v>307958.439094268</v>
      </c>
      <c r="I31" s="45">
        <v>66370.3788356831</v>
      </c>
      <c r="J31" s="45">
        <v>91425.048025122</v>
      </c>
      <c r="K31" s="45">
        <v>36437.6690890562</v>
      </c>
      <c r="L31" s="45">
        <v>306195.633682559</v>
      </c>
      <c r="M31" s="45">
        <v>93242.092041706</v>
      </c>
      <c r="N31" s="45">
        <v>81526.2032335495</v>
      </c>
      <c r="O31" s="36">
        <f t="shared" si="18"/>
        <v>2110916.59792462</v>
      </c>
      <c r="P31" s="42">
        <f t="shared" si="19"/>
        <v>0.0431910354529659</v>
      </c>
      <c r="Q31" s="6"/>
      <c r="R31" s="6"/>
      <c r="S31" s="6"/>
      <c r="T31" s="6"/>
    </row>
    <row r="32" ht="16.8" hidden="1" outlineLevel="1" spans="1:20">
      <c r="A32" s="36"/>
      <c r="B32" s="4" t="s">
        <v>45</v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42"/>
      <c r="Q32" s="6"/>
      <c r="R32" s="6"/>
      <c r="S32" s="6"/>
      <c r="T32" s="6"/>
    </row>
    <row r="33" ht="16.8" hidden="1" outlineLevel="1" spans="1:20">
      <c r="A33" s="36"/>
      <c r="B33" s="4" t="s">
        <v>46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42"/>
      <c r="Q33" s="6"/>
      <c r="R33" s="6"/>
      <c r="S33" s="6"/>
      <c r="T33" s="6"/>
    </row>
    <row r="34" ht="16.8" hidden="1" outlineLevel="1" spans="1:20">
      <c r="A34" s="36"/>
      <c r="B34" s="4" t="s">
        <v>47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42"/>
      <c r="Q34" s="6"/>
      <c r="R34" s="6"/>
      <c r="S34" s="6"/>
      <c r="T34" s="6"/>
    </row>
    <row r="35" ht="16.8" hidden="1" outlineLevel="1" spans="1:20">
      <c r="A35" s="36"/>
      <c r="B35" s="4" t="s">
        <v>48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42"/>
      <c r="Q35" s="6"/>
      <c r="R35" s="6"/>
      <c r="S35" s="6"/>
      <c r="T35" s="6"/>
    </row>
    <row r="36" ht="16.8" hidden="1" outlineLevel="1" spans="1:20">
      <c r="A36" s="36"/>
      <c r="B36" s="4" t="s">
        <v>49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36"/>
      <c r="P36" s="42"/>
      <c r="Q36" s="6"/>
      <c r="R36" s="6"/>
      <c r="S36" s="6"/>
      <c r="T36" s="6"/>
    </row>
    <row r="37" ht="16.8" spans="1:20">
      <c r="A37" s="6"/>
      <c r="B37" s="17" t="s">
        <v>50</v>
      </c>
      <c r="C37" s="37">
        <f t="shared" ref="C37:N37" si="20">SUM(C38:C40)</f>
        <v>0</v>
      </c>
      <c r="D37" s="37">
        <f t="shared" si="20"/>
        <v>0</v>
      </c>
      <c r="E37" s="37">
        <f t="shared" si="20"/>
        <v>0</v>
      </c>
      <c r="F37" s="37">
        <f t="shared" si="20"/>
        <v>0</v>
      </c>
      <c r="G37" s="37">
        <f t="shared" si="20"/>
        <v>0</v>
      </c>
      <c r="H37" s="37">
        <f t="shared" si="20"/>
        <v>0</v>
      </c>
      <c r="I37" s="37">
        <f t="shared" si="20"/>
        <v>0</v>
      </c>
      <c r="J37" s="37">
        <f t="shared" si="20"/>
        <v>0</v>
      </c>
      <c r="K37" s="37">
        <f t="shared" si="20"/>
        <v>0</v>
      </c>
      <c r="L37" s="37">
        <f t="shared" si="20"/>
        <v>0</v>
      </c>
      <c r="M37" s="37">
        <f t="shared" si="20"/>
        <v>0</v>
      </c>
      <c r="N37" s="37">
        <f t="shared" si="20"/>
        <v>0</v>
      </c>
      <c r="O37" s="37">
        <f>SUM(C37:N37)</f>
        <v>0</v>
      </c>
      <c r="P37" s="38">
        <f>O37/$O$16</f>
        <v>0</v>
      </c>
      <c r="Q37" s="6"/>
      <c r="R37" s="6"/>
      <c r="S37" s="6"/>
      <c r="T37" s="6"/>
    </row>
    <row r="38" ht="16.8" spans="1:20">
      <c r="A38" s="36"/>
      <c r="B38" s="4" t="s">
        <v>51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36">
        <f>SUM(C38:N38)</f>
        <v>0</v>
      </c>
      <c r="P38" s="42">
        <f>O38/$O$16</f>
        <v>0</v>
      </c>
      <c r="Q38" s="6" t="s">
        <v>91</v>
      </c>
      <c r="R38" s="6"/>
      <c r="S38" s="6"/>
      <c r="T38" s="6"/>
    </row>
    <row r="39" ht="16.8" spans="1:20">
      <c r="A39" s="36"/>
      <c r="B39" s="4" t="s">
        <v>53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36">
        <f>SUM(C39:N39)</f>
        <v>0</v>
      </c>
      <c r="P39" s="42">
        <f>O39/$O$16</f>
        <v>0</v>
      </c>
      <c r="Q39" s="6" t="s">
        <v>91</v>
      </c>
      <c r="R39" s="6"/>
      <c r="S39" s="6"/>
      <c r="T39" s="6"/>
    </row>
    <row r="40" ht="16.8" collapsed="1" spans="1:20">
      <c r="A40" s="36"/>
      <c r="B40" s="4" t="s">
        <v>55</v>
      </c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36">
        <f>SUM(C40:N40)</f>
        <v>0</v>
      </c>
      <c r="P40" s="42">
        <f>O40/$O$16</f>
        <v>0</v>
      </c>
      <c r="Q40" s="6" t="s">
        <v>91</v>
      </c>
      <c r="R40" s="6"/>
      <c r="S40" s="6"/>
      <c r="T40" s="6"/>
    </row>
    <row r="41" ht="16.8" hidden="1" outlineLevel="1" spans="1:20">
      <c r="A41" s="36"/>
      <c r="B41" s="4" t="s">
        <v>57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2">
        <f>O38/$O$16</f>
        <v>0</v>
      </c>
      <c r="P41" s="6"/>
      <c r="Q41" s="6" t="s">
        <v>91</v>
      </c>
      <c r="R41" s="6"/>
      <c r="S41" s="6"/>
      <c r="T41" s="6"/>
    </row>
    <row r="42" ht="16.8" hidden="1" outlineLevel="1" spans="1:20">
      <c r="A42" s="36"/>
      <c r="B42" s="4" t="s">
        <v>58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2">
        <f>O39/$O$16</f>
        <v>0</v>
      </c>
      <c r="P42" s="6"/>
      <c r="Q42" s="6" t="s">
        <v>91</v>
      </c>
      <c r="R42" s="6"/>
      <c r="S42" s="6"/>
      <c r="T42" s="6"/>
    </row>
    <row r="43" ht="16.8" hidden="1" outlineLevel="1" spans="1:20">
      <c r="A43" s="36"/>
      <c r="B43" s="4" t="s">
        <v>59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2">
        <f>O40/$O$16</f>
        <v>0</v>
      </c>
      <c r="P43" s="6"/>
      <c r="Q43" s="6" t="s">
        <v>91</v>
      </c>
      <c r="R43" s="6"/>
      <c r="S43" s="6"/>
      <c r="T43" s="6"/>
    </row>
    <row r="44" ht="16.8" spans="1:20">
      <c r="A44" s="6"/>
      <c r="B44" s="17" t="s">
        <v>60</v>
      </c>
      <c r="C44" s="37">
        <f t="shared" ref="C44:N44" si="21">SUM(C45:C46)</f>
        <v>69604.7401114601</v>
      </c>
      <c r="D44" s="37">
        <f t="shared" si="21"/>
        <v>75274.7824068891</v>
      </c>
      <c r="E44" s="37">
        <f t="shared" si="21"/>
        <v>59339.5050878878</v>
      </c>
      <c r="F44" s="37">
        <f t="shared" si="21"/>
        <v>52887.3822428615</v>
      </c>
      <c r="G44" s="37">
        <f t="shared" si="21"/>
        <v>98140.6866864848</v>
      </c>
      <c r="H44" s="37">
        <f t="shared" si="21"/>
        <v>90027.46156762</v>
      </c>
      <c r="I44" s="37">
        <f t="shared" si="21"/>
        <v>68627.1414096611</v>
      </c>
      <c r="J44" s="37">
        <f t="shared" si="21"/>
        <v>88570.0723421359</v>
      </c>
      <c r="K44" s="37">
        <f t="shared" si="21"/>
        <v>67747.3097247538</v>
      </c>
      <c r="L44" s="37">
        <f t="shared" si="21"/>
        <v>99812.4137384747</v>
      </c>
      <c r="M44" s="37">
        <f t="shared" si="21"/>
        <v>113107.703673722</v>
      </c>
      <c r="N44" s="37">
        <f t="shared" si="21"/>
        <v>94339.8430297954</v>
      </c>
      <c r="O44" s="37">
        <f>SUM(C44:N44)</f>
        <v>977479.042021746</v>
      </c>
      <c r="P44" s="38">
        <f>O44/$O$16</f>
        <v>0.02</v>
      </c>
      <c r="Q44" s="6"/>
      <c r="R44" s="6"/>
      <c r="S44" s="6"/>
      <c r="T44" s="6"/>
    </row>
    <row r="45" ht="16.8" spans="1:20">
      <c r="A45" s="36"/>
      <c r="B45" s="4" t="s">
        <v>61</v>
      </c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36"/>
      <c r="P45" s="42">
        <v>0.01</v>
      </c>
      <c r="Q45" s="6" t="s">
        <v>92</v>
      </c>
      <c r="R45" s="6"/>
      <c r="S45" s="6"/>
      <c r="T45" s="6"/>
    </row>
    <row r="46" ht="16.8" spans="1:20">
      <c r="A46" s="36"/>
      <c r="B46" s="4" t="s">
        <v>63</v>
      </c>
      <c r="C46" s="45">
        <f t="shared" ref="C46:N46" si="22">C16*$P$46</f>
        <v>69604.7401114601</v>
      </c>
      <c r="D46" s="45">
        <f t="shared" si="22"/>
        <v>75274.7824068891</v>
      </c>
      <c r="E46" s="45">
        <f t="shared" si="22"/>
        <v>59339.5050878878</v>
      </c>
      <c r="F46" s="45">
        <f t="shared" si="22"/>
        <v>52887.3822428615</v>
      </c>
      <c r="G46" s="45">
        <f t="shared" si="22"/>
        <v>98140.6866864848</v>
      </c>
      <c r="H46" s="45">
        <f t="shared" si="22"/>
        <v>90027.46156762</v>
      </c>
      <c r="I46" s="45">
        <f t="shared" si="22"/>
        <v>68627.1414096611</v>
      </c>
      <c r="J46" s="45">
        <f t="shared" si="22"/>
        <v>88570.0723421359</v>
      </c>
      <c r="K46" s="45">
        <f t="shared" si="22"/>
        <v>67747.3097247538</v>
      </c>
      <c r="L46" s="45">
        <f t="shared" si="22"/>
        <v>99812.4137384747</v>
      </c>
      <c r="M46" s="45">
        <f t="shared" si="22"/>
        <v>113107.703673722</v>
      </c>
      <c r="N46" s="45">
        <f t="shared" si="22"/>
        <v>94339.8430297954</v>
      </c>
      <c r="O46" s="36">
        <f t="shared" ref="O46:O52" si="23">SUM(C46:N46)</f>
        <v>977479.042021746</v>
      </c>
      <c r="P46" s="42">
        <v>0.02</v>
      </c>
      <c r="Q46" s="4" t="s">
        <v>83</v>
      </c>
      <c r="R46" s="6"/>
      <c r="S46" s="6"/>
      <c r="T46" s="6"/>
    </row>
    <row r="47" ht="16.8" spans="1:20">
      <c r="A47" s="6"/>
      <c r="B47" s="17" t="s">
        <v>65</v>
      </c>
      <c r="C47" s="37">
        <f t="shared" ref="C47:N47" si="24">SUM(C48:C51)</f>
        <v>196633.390814875</v>
      </c>
      <c r="D47" s="37">
        <f t="shared" si="24"/>
        <v>212651.260299462</v>
      </c>
      <c r="E47" s="37">
        <f t="shared" si="24"/>
        <v>167634.101873283</v>
      </c>
      <c r="F47" s="37">
        <f t="shared" si="24"/>
        <v>149406.854836084</v>
      </c>
      <c r="G47" s="37">
        <f t="shared" si="24"/>
        <v>277247.43988932</v>
      </c>
      <c r="H47" s="37">
        <f t="shared" si="24"/>
        <v>254327.578928526</v>
      </c>
      <c r="I47" s="37">
        <f t="shared" si="24"/>
        <v>193871.674482293</v>
      </c>
      <c r="J47" s="37">
        <f t="shared" si="24"/>
        <v>250210.454366534</v>
      </c>
      <c r="K47" s="37">
        <f t="shared" si="24"/>
        <v>191386.149972429</v>
      </c>
      <c r="L47" s="37">
        <f t="shared" si="24"/>
        <v>281970.068811191</v>
      </c>
      <c r="M47" s="37">
        <f t="shared" si="24"/>
        <v>319529.262878263</v>
      </c>
      <c r="N47" s="37">
        <f t="shared" si="24"/>
        <v>266510.056559172</v>
      </c>
      <c r="O47" s="37">
        <f t="shared" si="23"/>
        <v>2761378.29371143</v>
      </c>
      <c r="P47" s="38">
        <f t="shared" ref="P47:P52" si="25">O47/$O$16</f>
        <v>0.0565</v>
      </c>
      <c r="Q47" s="6"/>
      <c r="R47" s="6"/>
      <c r="S47" s="6"/>
      <c r="T47" s="6"/>
    </row>
    <row r="48" ht="16.8" spans="1:20">
      <c r="A48" s="36"/>
      <c r="B48" s="4" t="s">
        <v>66</v>
      </c>
      <c r="C48" s="45">
        <f t="shared" ref="C48:N48" si="26">C8*0.05</f>
        <v>196633.390814875</v>
      </c>
      <c r="D48" s="45">
        <f t="shared" si="26"/>
        <v>212651.260299462</v>
      </c>
      <c r="E48" s="45">
        <f t="shared" si="26"/>
        <v>167634.101873283</v>
      </c>
      <c r="F48" s="45">
        <f t="shared" si="26"/>
        <v>149406.854836084</v>
      </c>
      <c r="G48" s="45">
        <f t="shared" si="26"/>
        <v>277247.43988932</v>
      </c>
      <c r="H48" s="45">
        <f t="shared" si="26"/>
        <v>254327.578928526</v>
      </c>
      <c r="I48" s="45">
        <f t="shared" si="26"/>
        <v>193871.674482293</v>
      </c>
      <c r="J48" s="45">
        <f t="shared" si="26"/>
        <v>250210.454366534</v>
      </c>
      <c r="K48" s="45">
        <f t="shared" si="26"/>
        <v>191386.149972429</v>
      </c>
      <c r="L48" s="45">
        <f t="shared" si="26"/>
        <v>281970.068811191</v>
      </c>
      <c r="M48" s="45">
        <f t="shared" si="26"/>
        <v>319529.262878263</v>
      </c>
      <c r="N48" s="45">
        <f t="shared" si="26"/>
        <v>266510.056559172</v>
      </c>
      <c r="O48" s="36">
        <f t="shared" si="23"/>
        <v>2761378.29371143</v>
      </c>
      <c r="P48" s="42">
        <f t="shared" si="25"/>
        <v>0.0565</v>
      </c>
      <c r="Q48" s="4" t="s">
        <v>95</v>
      </c>
      <c r="R48" s="6"/>
      <c r="S48" s="6"/>
      <c r="T48" s="6"/>
    </row>
    <row r="49" ht="16.8" spans="1:20">
      <c r="A49" s="36"/>
      <c r="B49" s="4" t="s">
        <v>67</v>
      </c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36">
        <f t="shared" si="23"/>
        <v>0</v>
      </c>
      <c r="P49" s="42">
        <f t="shared" si="25"/>
        <v>0</v>
      </c>
      <c r="Q49" s="4" t="s">
        <v>95</v>
      </c>
      <c r="R49" s="6"/>
      <c r="S49" s="6"/>
      <c r="T49" s="6"/>
    </row>
    <row r="50" ht="16.8" spans="1:20">
      <c r="A50" s="36"/>
      <c r="B50" s="4" t="s">
        <v>68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36">
        <f t="shared" si="23"/>
        <v>0</v>
      </c>
      <c r="P50" s="42">
        <f t="shared" si="25"/>
        <v>0</v>
      </c>
      <c r="Q50" s="4" t="s">
        <v>95</v>
      </c>
      <c r="R50" s="6"/>
      <c r="S50" s="6"/>
      <c r="T50" s="6"/>
    </row>
    <row r="51" ht="16.8" spans="1:20">
      <c r="A51" s="6"/>
      <c r="B51" s="4" t="s">
        <v>69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36">
        <f t="shared" si="23"/>
        <v>0</v>
      </c>
      <c r="P51" s="42">
        <f t="shared" si="25"/>
        <v>0</v>
      </c>
      <c r="Q51" s="4" t="s">
        <v>95</v>
      </c>
      <c r="R51" s="6"/>
      <c r="S51" s="6"/>
      <c r="T51" s="6"/>
    </row>
    <row r="52" ht="16.8" spans="1:20">
      <c r="A52" s="6"/>
      <c r="B52" s="21" t="s">
        <v>70</v>
      </c>
      <c r="C52" s="40">
        <f t="shared" ref="C52:N52" si="27">SUM(C26,C37,C44,C47)</f>
        <v>314436.031305551</v>
      </c>
      <c r="D52" s="40">
        <f t="shared" si="27"/>
        <v>458370.10720649</v>
      </c>
      <c r="E52" s="40">
        <f t="shared" si="27"/>
        <v>526911.323061714</v>
      </c>
      <c r="F52" s="40">
        <f t="shared" si="27"/>
        <v>370928.486651282</v>
      </c>
      <c r="G52" s="40">
        <f t="shared" si="27"/>
        <v>1106587.45376518</v>
      </c>
      <c r="H52" s="40">
        <f t="shared" si="27"/>
        <v>767797.894250764</v>
      </c>
      <c r="I52" s="40">
        <f t="shared" si="27"/>
        <v>340484.011023881</v>
      </c>
      <c r="J52" s="40">
        <f t="shared" si="27"/>
        <v>473632.472545725</v>
      </c>
      <c r="K52" s="40">
        <f t="shared" si="27"/>
        <v>366624.583509899</v>
      </c>
      <c r="L52" s="40">
        <f t="shared" si="27"/>
        <v>764527.024652865</v>
      </c>
      <c r="M52" s="40">
        <f t="shared" si="27"/>
        <v>584155.366119757</v>
      </c>
      <c r="N52" s="40">
        <f t="shared" si="27"/>
        <v>450528.723145872</v>
      </c>
      <c r="O52" s="40">
        <f t="shared" si="23"/>
        <v>6524983.47723898</v>
      </c>
      <c r="P52" s="41">
        <f t="shared" si="25"/>
        <v>0.133506360683564</v>
      </c>
      <c r="Q52" s="6"/>
      <c r="R52" s="6"/>
      <c r="S52" s="6"/>
      <c r="T52" s="6"/>
    </row>
    <row r="53" ht="16.8" spans="1:20">
      <c r="A53" s="36"/>
      <c r="B53" s="4" t="s">
        <v>71</v>
      </c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36"/>
      <c r="P53" s="42">
        <v>0.053</v>
      </c>
      <c r="Q53" s="6"/>
      <c r="R53" s="6"/>
      <c r="S53" s="6"/>
      <c r="T53" s="6"/>
    </row>
    <row r="54" ht="16.8" spans="1:20">
      <c r="A54" s="36"/>
      <c r="B54" s="4" t="s">
        <v>73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36"/>
      <c r="P54" s="42">
        <v>0.014</v>
      </c>
      <c r="Q54" s="6"/>
      <c r="R54" s="6"/>
      <c r="S54" s="6"/>
      <c r="T54" s="6"/>
    </row>
    <row r="55" ht="16.8" spans="1:20">
      <c r="A55" s="36"/>
      <c r="B55" s="4" t="s">
        <v>75</v>
      </c>
      <c r="C55" s="45">
        <v>259000.47564077</v>
      </c>
      <c r="D55" s="45">
        <v>169363.332680007</v>
      </c>
      <c r="E55" s="45">
        <v>132102.080612164</v>
      </c>
      <c r="F55" s="45">
        <v>203297.604067714</v>
      </c>
      <c r="G55" s="45">
        <v>174591.4101567</v>
      </c>
      <c r="H55" s="45">
        <v>122313.331980974</v>
      </c>
      <c r="I55" s="45">
        <v>170416.351543915</v>
      </c>
      <c r="J55" s="45">
        <v>131843.085284561</v>
      </c>
      <c r="K55" s="45">
        <v>181671.432926698</v>
      </c>
      <c r="L55" s="45">
        <v>143398.101152268</v>
      </c>
      <c r="M55" s="45">
        <v>125599.986365426</v>
      </c>
      <c r="N55" s="45">
        <v>122544.993679587</v>
      </c>
      <c r="O55" s="36">
        <f>SUM(C55:N55)</f>
        <v>1936142.18609078</v>
      </c>
      <c r="P55" s="42">
        <v>0.03</v>
      </c>
      <c r="Q55" s="6"/>
      <c r="R55" s="6"/>
      <c r="S55" s="6"/>
      <c r="T55" s="6"/>
    </row>
    <row r="56" ht="16.8" spans="1:20">
      <c r="A56" s="36"/>
      <c r="B56" s="4" t="s">
        <v>77</v>
      </c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36"/>
      <c r="P56" s="42">
        <v>0.001</v>
      </c>
      <c r="Q56" s="6"/>
      <c r="R56" s="6"/>
      <c r="S56" s="6"/>
      <c r="T56" s="6"/>
    </row>
    <row r="57" ht="16.8" spans="1:20">
      <c r="A57" s="36"/>
      <c r="B57" s="4" t="s">
        <v>79</v>
      </c>
      <c r="C57" s="45">
        <v>30644.9248251126</v>
      </c>
      <c r="D57" s="45"/>
      <c r="E57" s="45"/>
      <c r="F57" s="45"/>
      <c r="G57" s="45">
        <v>12257.969930045</v>
      </c>
      <c r="H57" s="45"/>
      <c r="I57" s="45"/>
      <c r="J57" s="45"/>
      <c r="K57" s="45"/>
      <c r="L57" s="45">
        <v>12257.969930045</v>
      </c>
      <c r="M57" s="45"/>
      <c r="N57" s="45">
        <v>36773.9097901351</v>
      </c>
      <c r="O57" s="36">
        <f>SUM(C57:N57)</f>
        <v>91934.7744753378</v>
      </c>
      <c r="P57" s="42">
        <f>O57/$O$16</f>
        <v>0.00188105873421463</v>
      </c>
      <c r="Q57" s="4"/>
      <c r="R57" s="6"/>
      <c r="S57" s="6"/>
      <c r="T57" s="6"/>
    </row>
    <row r="58" ht="16.8" spans="1:20">
      <c r="A58" s="6"/>
      <c r="B58" s="21" t="s">
        <v>80</v>
      </c>
      <c r="C58" s="40">
        <f t="shared" ref="C58:N58" si="28">SUM(C53:C57)</f>
        <v>289645.400465882</v>
      </c>
      <c r="D58" s="40">
        <f t="shared" si="28"/>
        <v>169363.332680007</v>
      </c>
      <c r="E58" s="40">
        <f t="shared" si="28"/>
        <v>132102.080612164</v>
      </c>
      <c r="F58" s="40">
        <f t="shared" si="28"/>
        <v>203297.604067714</v>
      </c>
      <c r="G58" s="40">
        <f t="shared" si="28"/>
        <v>186849.380086745</v>
      </c>
      <c r="H58" s="40">
        <f t="shared" si="28"/>
        <v>122313.331980974</v>
      </c>
      <c r="I58" s="40">
        <f t="shared" si="28"/>
        <v>170416.351543915</v>
      </c>
      <c r="J58" s="40">
        <f t="shared" si="28"/>
        <v>131843.085284561</v>
      </c>
      <c r="K58" s="40">
        <f t="shared" si="28"/>
        <v>181671.432926698</v>
      </c>
      <c r="L58" s="40">
        <f t="shared" si="28"/>
        <v>155656.071082313</v>
      </c>
      <c r="M58" s="40">
        <f t="shared" si="28"/>
        <v>125599.986365426</v>
      </c>
      <c r="N58" s="40">
        <f t="shared" si="28"/>
        <v>159318.903469722</v>
      </c>
      <c r="O58" s="40">
        <f>SUM(C58:N58)</f>
        <v>2028076.96056612</v>
      </c>
      <c r="P58" s="41">
        <f>O58/$O$16</f>
        <v>0.0414960704706547</v>
      </c>
      <c r="Q58" s="6"/>
      <c r="R58" s="6"/>
      <c r="S58" s="6"/>
      <c r="T58" s="6"/>
    </row>
    <row r="59" ht="16.8" spans="1:20">
      <c r="A59" s="32"/>
      <c r="B59" s="12" t="s">
        <v>81</v>
      </c>
      <c r="C59" s="12">
        <f t="shared" ref="C59:N59" si="29">SUM(C52,C58)</f>
        <v>604081.431771433</v>
      </c>
      <c r="D59" s="12">
        <f t="shared" si="29"/>
        <v>627733.439886498</v>
      </c>
      <c r="E59" s="12">
        <f t="shared" si="29"/>
        <v>659013.403673878</v>
      </c>
      <c r="F59" s="12">
        <f t="shared" si="29"/>
        <v>574226.090718996</v>
      </c>
      <c r="G59" s="12">
        <f t="shared" si="29"/>
        <v>1293436.83385192</v>
      </c>
      <c r="H59" s="12">
        <f t="shared" si="29"/>
        <v>890111.226231738</v>
      </c>
      <c r="I59" s="12">
        <f t="shared" si="29"/>
        <v>510900.362567797</v>
      </c>
      <c r="J59" s="12">
        <f t="shared" si="29"/>
        <v>605475.557830286</v>
      </c>
      <c r="K59" s="12">
        <f t="shared" si="29"/>
        <v>548296.016436597</v>
      </c>
      <c r="L59" s="12">
        <f t="shared" si="29"/>
        <v>920183.095735178</v>
      </c>
      <c r="M59" s="12">
        <f t="shared" si="29"/>
        <v>709755.352485183</v>
      </c>
      <c r="N59" s="12">
        <f t="shared" si="29"/>
        <v>609847.626615594</v>
      </c>
      <c r="O59" s="12">
        <f>SUM(C59:N59)</f>
        <v>8553060.4378051</v>
      </c>
      <c r="P59" s="43">
        <f>O59/$O$16</f>
        <v>0.175002431154218</v>
      </c>
      <c r="Q59" s="32"/>
      <c r="R59" s="48"/>
      <c r="S59" s="6"/>
      <c r="T59" s="6"/>
    </row>
    <row r="60" ht="16.8" spans="1:20">
      <c r="A60" s="32"/>
      <c r="B60" s="12" t="s">
        <v>82</v>
      </c>
      <c r="C60" s="12">
        <f t="shared" ref="C60:N60" si="30">C22-C59</f>
        <v>1083833.51593147</v>
      </c>
      <c r="D60" s="12">
        <f t="shared" si="30"/>
        <v>1235317.42468401</v>
      </c>
      <c r="E60" s="12">
        <f t="shared" si="30"/>
        <v>839309.09979529</v>
      </c>
      <c r="F60" s="12">
        <f t="shared" si="30"/>
        <v>787624.002034688</v>
      </c>
      <c r="G60" s="12">
        <f t="shared" si="30"/>
        <v>1282756.1916683</v>
      </c>
      <c r="H60" s="12">
        <f t="shared" si="30"/>
        <v>1518123.3707021</v>
      </c>
      <c r="I60" s="12">
        <f t="shared" si="30"/>
        <v>1359189.24084547</v>
      </c>
      <c r="J60" s="12">
        <f t="shared" si="30"/>
        <v>1896628.98583505</v>
      </c>
      <c r="K60" s="12">
        <f t="shared" si="30"/>
        <v>1399439.13815007</v>
      </c>
      <c r="L60" s="12">
        <f t="shared" si="30"/>
        <v>1999330.00611521</v>
      </c>
      <c r="M60" s="12">
        <f t="shared" si="30"/>
        <v>2655198.83180803</v>
      </c>
      <c r="N60" s="12">
        <f t="shared" si="30"/>
        <v>2243932.62503572</v>
      </c>
      <c r="O60" s="12">
        <f>SUM(C60:N60)</f>
        <v>18300682.4326054</v>
      </c>
      <c r="P60" s="43">
        <f>O60/$O$16</f>
        <v>0.374446543523913</v>
      </c>
      <c r="Q60" s="32"/>
      <c r="R60" s="49"/>
      <c r="S60" s="6"/>
      <c r="T60" s="6"/>
    </row>
    <row r="61" spans="1:20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>
      <c r="A62" s="6"/>
      <c r="B62" s="6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6"/>
      <c r="Q62" s="6"/>
      <c r="R62" s="6"/>
      <c r="S62" s="6"/>
      <c r="T62" s="6"/>
    </row>
    <row r="63" spans="1:20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>
      <c r="A82" s="6"/>
      <c r="B82" s="6"/>
      <c r="C82" s="35">
        <f t="shared" ref="C82:O82" si="31">C16-C18-C20-C26-C37-C44-C47-C58-C60</f>
        <v>0</v>
      </c>
      <c r="D82" s="35">
        <f t="shared" si="31"/>
        <v>0</v>
      </c>
      <c r="E82" s="35">
        <f t="shared" si="31"/>
        <v>0</v>
      </c>
      <c r="F82" s="35">
        <f t="shared" si="31"/>
        <v>0</v>
      </c>
      <c r="G82" s="35">
        <f t="shared" si="31"/>
        <v>0</v>
      </c>
      <c r="H82" s="35">
        <f t="shared" si="31"/>
        <v>0</v>
      </c>
      <c r="I82" s="35">
        <f t="shared" si="31"/>
        <v>0</v>
      </c>
      <c r="J82" s="35">
        <f t="shared" si="31"/>
        <v>0</v>
      </c>
      <c r="K82" s="35">
        <f t="shared" si="31"/>
        <v>0</v>
      </c>
      <c r="L82" s="35">
        <f t="shared" si="31"/>
        <v>0</v>
      </c>
      <c r="M82" s="35">
        <f t="shared" si="31"/>
        <v>0</v>
      </c>
      <c r="N82" s="35">
        <f t="shared" si="31"/>
        <v>0</v>
      </c>
      <c r="O82" s="35">
        <f t="shared" si="31"/>
        <v>0</v>
      </c>
      <c r="P82" s="6"/>
      <c r="Q82" s="6"/>
      <c r="R82" s="6"/>
      <c r="S82" s="6"/>
      <c r="T82" s="6"/>
    </row>
    <row r="83" spans="1:20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>
      <c r="A93" s="6"/>
      <c r="B93" s="6" t="s">
        <v>120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ht="16.8" spans="1:20">
      <c r="A94" s="6"/>
      <c r="B94" s="17" t="s">
        <v>39</v>
      </c>
      <c r="C94" s="37">
        <f t="shared" ref="C94:N94" si="32">SUM(C95:C99)</f>
        <v>0</v>
      </c>
      <c r="D94" s="37">
        <f t="shared" si="32"/>
        <v>0</v>
      </c>
      <c r="E94" s="37">
        <f t="shared" si="32"/>
        <v>0</v>
      </c>
      <c r="F94" s="37">
        <f t="shared" si="32"/>
        <v>0</v>
      </c>
      <c r="G94" s="37">
        <f t="shared" si="32"/>
        <v>0</v>
      </c>
      <c r="H94" s="37">
        <f t="shared" si="32"/>
        <v>0</v>
      </c>
      <c r="I94" s="37">
        <f t="shared" si="32"/>
        <v>0</v>
      </c>
      <c r="J94" s="37">
        <f t="shared" si="32"/>
        <v>0</v>
      </c>
      <c r="K94" s="37">
        <f t="shared" si="32"/>
        <v>0</v>
      </c>
      <c r="L94" s="37">
        <f t="shared" si="32"/>
        <v>0</v>
      </c>
      <c r="M94" s="37">
        <f t="shared" si="32"/>
        <v>0</v>
      </c>
      <c r="N94" s="37">
        <f t="shared" si="32"/>
        <v>0</v>
      </c>
      <c r="O94" s="6"/>
      <c r="P94" s="6"/>
      <c r="Q94" s="6"/>
      <c r="R94" s="6"/>
      <c r="S94" s="6"/>
      <c r="T94" s="6"/>
    </row>
    <row r="95" ht="16.8" spans="1:20">
      <c r="A95" s="6"/>
      <c r="B95" s="4" t="s">
        <v>40</v>
      </c>
      <c r="C95" s="45">
        <f>'线下门店-小计'!C27*(C15/('26年全渠道汇总'!C15-'线下门店-小计'!C15))</f>
        <v>0</v>
      </c>
      <c r="D95" s="45">
        <f>'线下门店-小计'!D27*(D15/('26年全渠道汇总'!D15-'线下门店-小计'!D15))</f>
        <v>0</v>
      </c>
      <c r="E95" s="45">
        <f>'线下门店-小计'!E27*(E15/('26年全渠道汇总'!E15-'线下门店-小计'!E15))</f>
        <v>0</v>
      </c>
      <c r="F95" s="45">
        <f>'线下门店-小计'!F27*(F15/('26年全渠道汇总'!F15-'线下门店-小计'!F15))</f>
        <v>0</v>
      </c>
      <c r="G95" s="45">
        <f>'线下门店-小计'!G27*(G15/('26年全渠道汇总'!G15-'线下门店-小计'!G15))</f>
        <v>0</v>
      </c>
      <c r="H95" s="45">
        <f>'线下门店-小计'!H27*(H15/('26年全渠道汇总'!H15-'线下门店-小计'!H15))</f>
        <v>0</v>
      </c>
      <c r="I95" s="45">
        <f>'线下门店-小计'!I27*(I15/('26年全渠道汇总'!I15-'线下门店-小计'!I15))</f>
        <v>0</v>
      </c>
      <c r="J95" s="45">
        <f>'线下门店-小计'!J27*(J15/('26年全渠道汇总'!J15-'线下门店-小计'!J15))</f>
        <v>0</v>
      </c>
      <c r="K95" s="45">
        <f>'线下门店-小计'!K27*(K15/('26年全渠道汇总'!K15-'线下门店-小计'!K15))</f>
        <v>0</v>
      </c>
      <c r="L95" s="45">
        <f>'线下门店-小计'!L27*(L15/('26年全渠道汇总'!L15-'线下门店-小计'!L15))</f>
        <v>0</v>
      </c>
      <c r="M95" s="45">
        <f>'线下门店-小计'!M27*(M15/('26年全渠道汇总'!M15-'线下门店-小计'!M15))</f>
        <v>0</v>
      </c>
      <c r="N95" s="45">
        <f>'线下门店-小计'!N27*(N15/('26年全渠道汇总'!N15-'线下门店-小计'!N15))</f>
        <v>0</v>
      </c>
      <c r="O95" s="6"/>
      <c r="P95" s="6"/>
      <c r="Q95" s="6"/>
      <c r="R95" s="6"/>
      <c r="S95" s="6"/>
      <c r="T95" s="6"/>
    </row>
    <row r="96" ht="16.8" spans="1:20">
      <c r="A96" s="6"/>
      <c r="B96" s="4" t="s">
        <v>41</v>
      </c>
      <c r="C96" s="45">
        <f>'线下门店-小计'!C28*(C15/('26年全渠道汇总'!C15-'线下门店-小计'!C15))</f>
        <v>0</v>
      </c>
      <c r="D96" s="45">
        <f>'线下门店-小计'!D28*(D15/('26年全渠道汇总'!D15-'线下门店-小计'!D15))</f>
        <v>0</v>
      </c>
      <c r="E96" s="45">
        <f>'线下门店-小计'!E28*(E15/('26年全渠道汇总'!E15-'线下门店-小计'!E15))</f>
        <v>0</v>
      </c>
      <c r="F96" s="45">
        <f>'线下门店-小计'!F28*(F15/('26年全渠道汇总'!F15-'线下门店-小计'!F15))</f>
        <v>0</v>
      </c>
      <c r="G96" s="45">
        <f>'线下门店-小计'!G28*(G15/('26年全渠道汇总'!G15-'线下门店-小计'!G15))</f>
        <v>0</v>
      </c>
      <c r="H96" s="45">
        <f>'线下门店-小计'!H28*(H15/('26年全渠道汇总'!H15-'线下门店-小计'!H15))</f>
        <v>0</v>
      </c>
      <c r="I96" s="45">
        <f>'线下门店-小计'!I28*(I15/('26年全渠道汇总'!I15-'线下门店-小计'!I15))</f>
        <v>0</v>
      </c>
      <c r="J96" s="45">
        <f>'线下门店-小计'!J28*(J15/('26年全渠道汇总'!J15-'线下门店-小计'!J15))</f>
        <v>0</v>
      </c>
      <c r="K96" s="45">
        <f>'线下门店-小计'!K28*(K15/('26年全渠道汇总'!K15-'线下门店-小计'!K15))</f>
        <v>0</v>
      </c>
      <c r="L96" s="45">
        <f>'线下门店-小计'!L28*(L15/('26年全渠道汇总'!L15-'线下门店-小计'!L15))</f>
        <v>0</v>
      </c>
      <c r="M96" s="45">
        <f>'线下门店-小计'!M28*(M15/('26年全渠道汇总'!M15-'线下门店-小计'!M15))</f>
        <v>0</v>
      </c>
      <c r="N96" s="45">
        <f>'线下门店-小计'!N28*(N15/('26年全渠道汇总'!N15-'线下门店-小计'!N15))</f>
        <v>0</v>
      </c>
      <c r="O96" s="6"/>
      <c r="P96" s="6"/>
      <c r="Q96" s="6"/>
      <c r="R96" s="6"/>
      <c r="S96" s="6"/>
      <c r="T96" s="6"/>
    </row>
    <row r="97" ht="16.8" spans="1:20">
      <c r="A97" s="6"/>
      <c r="B97" s="4" t="s">
        <v>42</v>
      </c>
      <c r="C97" s="45">
        <f>'线下门店-小计'!C29*(C15/('26年全渠道汇总'!C15-'线下门店-小计'!C15))</f>
        <v>0</v>
      </c>
      <c r="D97" s="45">
        <f>'线下门店-小计'!D29*(D15/('26年全渠道汇总'!D15-'线下门店-小计'!D15))</f>
        <v>0</v>
      </c>
      <c r="E97" s="45">
        <f>'线下门店-小计'!E29*(E15/('26年全渠道汇总'!E15-'线下门店-小计'!E15))</f>
        <v>0</v>
      </c>
      <c r="F97" s="45">
        <f>'线下门店-小计'!F29*(F15/('26年全渠道汇总'!F15-'线下门店-小计'!F15))</f>
        <v>0</v>
      </c>
      <c r="G97" s="45">
        <f>'线下门店-小计'!G29*(G15/('26年全渠道汇总'!G15-'线下门店-小计'!G15))</f>
        <v>0</v>
      </c>
      <c r="H97" s="45">
        <f>'线下门店-小计'!H29*(H15/('26年全渠道汇总'!H15-'线下门店-小计'!H15))</f>
        <v>0</v>
      </c>
      <c r="I97" s="45">
        <f>'线下门店-小计'!I29*(I15/('26年全渠道汇总'!I15-'线下门店-小计'!I15))</f>
        <v>0</v>
      </c>
      <c r="J97" s="45">
        <f>'线下门店-小计'!J29*(J15/('26年全渠道汇总'!J15-'线下门店-小计'!J15))</f>
        <v>0</v>
      </c>
      <c r="K97" s="45">
        <f>'线下门店-小计'!K29*(K15/('26年全渠道汇总'!K15-'线下门店-小计'!K15))</f>
        <v>0</v>
      </c>
      <c r="L97" s="45">
        <f>'线下门店-小计'!L29*(L15/('26年全渠道汇总'!L15-'线下门店-小计'!L15))</f>
        <v>0</v>
      </c>
      <c r="M97" s="45">
        <f>'线下门店-小计'!M29*(M15/('26年全渠道汇总'!M15-'线下门店-小计'!M15))</f>
        <v>0</v>
      </c>
      <c r="N97" s="45">
        <f>'线下门店-小计'!N29*(N15/('26年全渠道汇总'!N15-'线下门店-小计'!N15))</f>
        <v>0</v>
      </c>
      <c r="O97" s="6"/>
      <c r="P97" s="6"/>
      <c r="Q97" s="6"/>
      <c r="R97" s="6"/>
      <c r="S97" s="6"/>
      <c r="T97" s="6"/>
    </row>
    <row r="98" ht="16.8" spans="1:20">
      <c r="A98" s="6"/>
      <c r="B98" s="4" t="s">
        <v>43</v>
      </c>
      <c r="C98" s="45">
        <f>'线下门店-小计'!C30*(C15/('26年全渠道汇总'!C15-'线下门店-小计'!C15))</f>
        <v>0</v>
      </c>
      <c r="D98" s="45">
        <f>'线下门店-小计'!D30*(D15/('26年全渠道汇总'!D15-'线下门店-小计'!D15))</f>
        <v>0</v>
      </c>
      <c r="E98" s="45">
        <f>'线下门店-小计'!E30*(E15/('26年全渠道汇总'!E15-'线下门店-小计'!E15))</f>
        <v>0</v>
      </c>
      <c r="F98" s="45">
        <f>'线下门店-小计'!F30*(F15/('26年全渠道汇总'!F15-'线下门店-小计'!F15))</f>
        <v>0</v>
      </c>
      <c r="G98" s="45">
        <f>'线下门店-小计'!G30*(G15/('26年全渠道汇总'!G15-'线下门店-小计'!G15))</f>
        <v>0</v>
      </c>
      <c r="H98" s="45">
        <f>'线下门店-小计'!H30*(H15/('26年全渠道汇总'!H15-'线下门店-小计'!H15))</f>
        <v>0</v>
      </c>
      <c r="I98" s="45">
        <f>'线下门店-小计'!I30*(I15/('26年全渠道汇总'!I15-'线下门店-小计'!I15))</f>
        <v>0</v>
      </c>
      <c r="J98" s="45">
        <f>'线下门店-小计'!J30*(J15/('26年全渠道汇总'!J15-'线下门店-小计'!J15))</f>
        <v>0</v>
      </c>
      <c r="K98" s="45">
        <f>'线下门店-小计'!K30*(K15/('26年全渠道汇总'!K15-'线下门店-小计'!K15))</f>
        <v>0</v>
      </c>
      <c r="L98" s="45">
        <f>'线下门店-小计'!L30*(L15/('26年全渠道汇总'!L15-'线下门店-小计'!L15))</f>
        <v>0</v>
      </c>
      <c r="M98" s="45">
        <f>'线下门店-小计'!M30*(M15/('26年全渠道汇总'!M15-'线下门店-小计'!M15))</f>
        <v>0</v>
      </c>
      <c r="N98" s="45">
        <f>'线下门店-小计'!N30*(N15/('26年全渠道汇总'!N15-'线下门店-小计'!N15))</f>
        <v>0</v>
      </c>
      <c r="O98" s="6"/>
      <c r="P98" s="6"/>
      <c r="Q98" s="6"/>
      <c r="R98" s="6"/>
      <c r="S98" s="6"/>
      <c r="T98" s="6"/>
    </row>
    <row r="99" ht="16.8" spans="1:20">
      <c r="A99" s="6"/>
      <c r="B99" s="4" t="s">
        <v>44</v>
      </c>
      <c r="C99" s="45">
        <f>'线下门店-小计'!C31*(C15/('26年全渠道汇总'!C15-'线下门店-小计'!C15))</f>
        <v>0</v>
      </c>
      <c r="D99" s="45">
        <f>'线下门店-小计'!D31*(D15/('26年全渠道汇总'!D15-'线下门店-小计'!D15))</f>
        <v>0</v>
      </c>
      <c r="E99" s="45">
        <f>'线下门店-小计'!E31*(E15/('26年全渠道汇总'!E15-'线下门店-小计'!E15))</f>
        <v>0</v>
      </c>
      <c r="F99" s="45">
        <f>'线下门店-小计'!F31*(F15/('26年全渠道汇总'!F15-'线下门店-小计'!F15))</f>
        <v>0</v>
      </c>
      <c r="G99" s="45">
        <f>'线下门店-小计'!G31*(G15/('26年全渠道汇总'!G15-'线下门店-小计'!G15))</f>
        <v>0</v>
      </c>
      <c r="H99" s="45">
        <f>'线下门店-小计'!H31*(H15/('26年全渠道汇总'!H15-'线下门店-小计'!H15))</f>
        <v>0</v>
      </c>
      <c r="I99" s="45">
        <f>'线下门店-小计'!I31*(I15/('26年全渠道汇总'!I15-'线下门店-小计'!I15))</f>
        <v>0</v>
      </c>
      <c r="J99" s="45">
        <f>'线下门店-小计'!J31*(J15/('26年全渠道汇总'!J15-'线下门店-小计'!J15))</f>
        <v>0</v>
      </c>
      <c r="K99" s="45">
        <f>'线下门店-小计'!K31*(K15/('26年全渠道汇总'!K15-'线下门店-小计'!K15))</f>
        <v>0</v>
      </c>
      <c r="L99" s="45">
        <f>'线下门店-小计'!L31*(L15/('26年全渠道汇总'!L15-'线下门店-小计'!L15))</f>
        <v>0</v>
      </c>
      <c r="M99" s="45">
        <f>'线下门店-小计'!M31*(M15/('26年全渠道汇总'!M15-'线下门店-小计'!M15))</f>
        <v>0</v>
      </c>
      <c r="N99" s="45">
        <f>'线下门店-小计'!N31*(N15/('26年全渠道汇总'!N15-'线下门店-小计'!N15))</f>
        <v>0</v>
      </c>
      <c r="O99" s="6"/>
      <c r="P99" s="6"/>
      <c r="Q99" s="6"/>
      <c r="R99" s="6"/>
      <c r="S99" s="6"/>
      <c r="T99" s="6"/>
    </row>
    <row r="100" spans="1:2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>
      <c r="A101" s="6"/>
      <c r="B101" s="6" t="s">
        <v>121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ht="16.8" spans="1:20">
      <c r="A102" s="6"/>
      <c r="B102" s="17" t="s">
        <v>39</v>
      </c>
      <c r="C102" s="37">
        <f t="shared" ref="C102:N102" si="33">SUM(C103:C107)</f>
        <v>48197.900379216</v>
      </c>
      <c r="D102" s="37">
        <f t="shared" si="33"/>
        <v>170444.06450014</v>
      </c>
      <c r="E102" s="37">
        <f t="shared" si="33"/>
        <v>299937.716100543</v>
      </c>
      <c r="F102" s="37">
        <f t="shared" si="33"/>
        <v>168634.249572336</v>
      </c>
      <c r="G102" s="37">
        <f t="shared" si="33"/>
        <v>731199.327189374</v>
      </c>
      <c r="H102" s="37">
        <f t="shared" si="33"/>
        <v>423442.853754618</v>
      </c>
      <c r="I102" s="37">
        <f t="shared" si="33"/>
        <v>77985.1951319277</v>
      </c>
      <c r="J102" s="37">
        <f t="shared" si="33"/>
        <v>134851.945837055</v>
      </c>
      <c r="K102" s="37">
        <f t="shared" si="33"/>
        <v>107491.123812716</v>
      </c>
      <c r="L102" s="37">
        <f t="shared" si="33"/>
        <v>382744.542103199</v>
      </c>
      <c r="M102" s="37">
        <f t="shared" si="33"/>
        <v>151518.399567772</v>
      </c>
      <c r="N102" s="37">
        <f t="shared" si="33"/>
        <v>89678.8235569044</v>
      </c>
      <c r="O102" s="6"/>
      <c r="P102" s="6"/>
      <c r="Q102" s="6"/>
      <c r="R102" s="6"/>
      <c r="S102" s="6"/>
      <c r="T102" s="6"/>
    </row>
    <row r="103" ht="16.8" spans="1:20">
      <c r="A103" s="6"/>
      <c r="B103" s="4" t="s">
        <v>40</v>
      </c>
      <c r="C103" s="50">
        <f t="shared" ref="C103:N103" si="34">C95+C27</f>
        <v>0</v>
      </c>
      <c r="D103" s="50">
        <f t="shared" si="34"/>
        <v>0</v>
      </c>
      <c r="E103" s="50">
        <f t="shared" si="34"/>
        <v>8195.01956558861</v>
      </c>
      <c r="F103" s="50">
        <f t="shared" si="34"/>
        <v>6855.05079562343</v>
      </c>
      <c r="G103" s="50">
        <f t="shared" si="34"/>
        <v>14565.7236491907</v>
      </c>
      <c r="H103" s="50">
        <f t="shared" si="34"/>
        <v>12831.6016289278</v>
      </c>
      <c r="I103" s="50">
        <f t="shared" si="34"/>
        <v>8296.29735446039</v>
      </c>
      <c r="J103" s="50">
        <f t="shared" si="34"/>
        <v>11428.1310031402</v>
      </c>
      <c r="K103" s="50">
        <f t="shared" si="34"/>
        <v>9109.41727226404</v>
      </c>
      <c r="L103" s="50">
        <f t="shared" si="34"/>
        <v>15309.781684128</v>
      </c>
      <c r="M103" s="45">
        <f t="shared" si="34"/>
        <v>11655.2615052132</v>
      </c>
      <c r="N103" s="45">
        <f t="shared" si="34"/>
        <v>0</v>
      </c>
      <c r="O103" s="6"/>
      <c r="P103" s="6"/>
      <c r="Q103" s="6"/>
      <c r="R103" s="6"/>
      <c r="S103" s="6"/>
      <c r="T103" s="6"/>
    </row>
    <row r="104" ht="16.8" spans="1:20">
      <c r="A104" s="6"/>
      <c r="B104" s="4" t="s">
        <v>41</v>
      </c>
      <c r="C104" s="50">
        <f t="shared" ref="C104:N104" si="35">C96+C28</f>
        <v>0</v>
      </c>
      <c r="D104" s="50">
        <f t="shared" si="35"/>
        <v>0</v>
      </c>
      <c r="E104" s="50">
        <f t="shared" si="35"/>
        <v>0</v>
      </c>
      <c r="F104" s="50">
        <f t="shared" si="35"/>
        <v>8226.06095474812</v>
      </c>
      <c r="G104" s="50">
        <f t="shared" si="35"/>
        <v>87394.3418951443</v>
      </c>
      <c r="H104" s="50">
        <f t="shared" si="35"/>
        <v>41061.125212569</v>
      </c>
      <c r="I104" s="50">
        <f t="shared" si="35"/>
        <v>0</v>
      </c>
      <c r="J104" s="50">
        <f t="shared" si="35"/>
        <v>13713.7572037683</v>
      </c>
      <c r="K104" s="50">
        <f t="shared" si="35"/>
        <v>29150.1352712449</v>
      </c>
      <c r="L104" s="50">
        <f t="shared" si="35"/>
        <v>18371.7380209536</v>
      </c>
      <c r="M104" s="45">
        <f t="shared" si="35"/>
        <v>13986.3138062559</v>
      </c>
      <c r="N104" s="45">
        <f t="shared" si="35"/>
        <v>0</v>
      </c>
      <c r="O104" s="6"/>
      <c r="P104" s="6"/>
      <c r="Q104" s="6"/>
      <c r="R104" s="6"/>
      <c r="S104" s="6"/>
      <c r="T104" s="6"/>
    </row>
    <row r="105" ht="16.8" spans="1:20">
      <c r="A105" s="6"/>
      <c r="B105" s="4" t="s">
        <v>42</v>
      </c>
      <c r="C105" s="50">
        <f t="shared" ref="C105:N105" si="36">C97+C29</f>
        <v>4016.491698268</v>
      </c>
      <c r="D105" s="50">
        <f t="shared" si="36"/>
        <v>3277.77047115653</v>
      </c>
      <c r="E105" s="50">
        <f t="shared" si="36"/>
        <v>3278.00782623544</v>
      </c>
      <c r="F105" s="50">
        <f t="shared" si="36"/>
        <v>13710.1015912469</v>
      </c>
      <c r="G105" s="50">
        <f t="shared" si="36"/>
        <v>87394.3418951443</v>
      </c>
      <c r="H105" s="50">
        <f t="shared" si="36"/>
        <v>56459.0471672824</v>
      </c>
      <c r="I105" s="50">
        <f t="shared" si="36"/>
        <v>0</v>
      </c>
      <c r="J105" s="50">
        <f t="shared" si="36"/>
        <v>13713.7572037683</v>
      </c>
      <c r="K105" s="50">
        <f t="shared" si="36"/>
        <v>29150.1352712449</v>
      </c>
      <c r="L105" s="50">
        <f t="shared" si="36"/>
        <v>30619.5633682559</v>
      </c>
      <c r="M105" s="45">
        <f t="shared" si="36"/>
        <v>23310.5230104265</v>
      </c>
      <c r="N105" s="45">
        <f t="shared" si="36"/>
        <v>4076.31016167747</v>
      </c>
      <c r="O105" s="6"/>
      <c r="P105" s="6"/>
      <c r="Q105" s="6"/>
      <c r="R105" s="6"/>
      <c r="S105" s="6"/>
      <c r="T105" s="6"/>
    </row>
    <row r="106" ht="16.8" spans="1:20">
      <c r="A106" s="6"/>
      <c r="B106" s="4" t="s">
        <v>43</v>
      </c>
      <c r="C106" s="50">
        <f t="shared" ref="C106:N106" si="37">C98+C30</f>
        <v>4016.491698268</v>
      </c>
      <c r="D106" s="50">
        <f t="shared" si="37"/>
        <v>3277.77047115653</v>
      </c>
      <c r="E106" s="50">
        <f t="shared" si="37"/>
        <v>26224.0626098835</v>
      </c>
      <c r="F106" s="50">
        <f t="shared" si="37"/>
        <v>2742.02031824937</v>
      </c>
      <c r="G106" s="50">
        <f t="shared" si="37"/>
        <v>17478.8683790289</v>
      </c>
      <c r="H106" s="50">
        <f t="shared" si="37"/>
        <v>5132.64065157113</v>
      </c>
      <c r="I106" s="50">
        <f t="shared" si="37"/>
        <v>3318.51894178416</v>
      </c>
      <c r="J106" s="50">
        <f t="shared" si="37"/>
        <v>4571.2524012561</v>
      </c>
      <c r="K106" s="50">
        <f t="shared" si="37"/>
        <v>3643.76690890562</v>
      </c>
      <c r="L106" s="50">
        <f t="shared" si="37"/>
        <v>12247.8253473024</v>
      </c>
      <c r="M106" s="45">
        <f t="shared" si="37"/>
        <v>9324.2092041706</v>
      </c>
      <c r="N106" s="45">
        <f t="shared" si="37"/>
        <v>4076.31016167747</v>
      </c>
      <c r="O106" s="6"/>
      <c r="P106" s="6"/>
      <c r="Q106" s="6"/>
      <c r="R106" s="6"/>
      <c r="S106" s="6"/>
      <c r="T106" s="6"/>
    </row>
    <row r="107" ht="16.8" spans="1:20">
      <c r="A107" s="6"/>
      <c r="B107" s="4" t="s">
        <v>44</v>
      </c>
      <c r="C107" s="50">
        <f t="shared" ref="C107:N107" si="38">C99+C31</f>
        <v>40164.91698268</v>
      </c>
      <c r="D107" s="50">
        <f t="shared" si="38"/>
        <v>163888.523557827</v>
      </c>
      <c r="E107" s="50">
        <f t="shared" si="38"/>
        <v>262240.626098835</v>
      </c>
      <c r="F107" s="50">
        <f t="shared" si="38"/>
        <v>137101.015912469</v>
      </c>
      <c r="G107" s="50">
        <f t="shared" si="38"/>
        <v>524366.051370866</v>
      </c>
      <c r="H107" s="50">
        <f t="shared" si="38"/>
        <v>307958.439094268</v>
      </c>
      <c r="I107" s="50">
        <f t="shared" si="38"/>
        <v>66370.3788356831</v>
      </c>
      <c r="J107" s="50">
        <f t="shared" si="38"/>
        <v>91425.048025122</v>
      </c>
      <c r="K107" s="50">
        <f t="shared" si="38"/>
        <v>36437.6690890562</v>
      </c>
      <c r="L107" s="50">
        <f t="shared" si="38"/>
        <v>306195.633682559</v>
      </c>
      <c r="M107" s="45">
        <f t="shared" si="38"/>
        <v>93242.092041706</v>
      </c>
      <c r="N107" s="45">
        <f t="shared" si="38"/>
        <v>81526.2032335495</v>
      </c>
      <c r="O107" s="6"/>
      <c r="P107" s="6"/>
      <c r="Q107" s="6"/>
      <c r="R107" s="6"/>
      <c r="S107" s="6"/>
      <c r="T107" s="6"/>
    </row>
    <row r="108" spans="1:20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</sheetData>
  <pageMargins left="0.75" right="0.75" top="1" bottom="1" header="0.5" footer="0.5"/>
  <headerFooter/>
  <picture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01"/>
  <sheetViews>
    <sheetView workbookViewId="0">
      <selection activeCell="A1" sqref="A1"/>
    </sheetView>
  </sheetViews>
  <sheetFormatPr defaultColWidth="14" defaultRowHeight="14.4"/>
  <cols>
    <col min="1" max="1" width="7" customWidth="1"/>
    <col min="2" max="2" width="30" customWidth="1"/>
    <col min="3" max="15" width="19" customWidth="1"/>
    <col min="16" max="17" width="14" customWidth="1"/>
    <col min="18" max="18" width="11" customWidth="1"/>
    <col min="19" max="20" width="14" customWidth="1"/>
  </cols>
  <sheetData>
    <row r="1" ht="17" spans="1:18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</row>
    <row r="2" ht="16.8" spans="1:18">
      <c r="B2" s="4" t="s">
        <v>16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>
        <f>SUM(C2:N2)</f>
        <v>0</v>
      </c>
      <c r="P2" s="5"/>
      <c r="Q2" s="6"/>
    </row>
    <row r="3" ht="16.8" spans="1:18">
      <c r="A3" s="7"/>
      <c r="B3" s="8" t="s">
        <v>17</v>
      </c>
      <c r="C3" s="9">
        <f t="shared" ref="C3:N3" si="0">C6</f>
        <v>9406249</v>
      </c>
      <c r="D3" s="9">
        <f t="shared" si="0"/>
        <v>10532765</v>
      </c>
      <c r="E3" s="9">
        <f t="shared" si="0"/>
        <v>8303033</v>
      </c>
      <c r="F3" s="9">
        <f t="shared" si="0"/>
        <v>7400225</v>
      </c>
      <c r="G3" s="9">
        <f t="shared" si="0"/>
        <v>13777643</v>
      </c>
      <c r="H3" s="9">
        <f t="shared" si="0"/>
        <v>12638655</v>
      </c>
      <c r="I3" s="9">
        <f t="shared" si="0"/>
        <v>9634336</v>
      </c>
      <c r="J3" s="9">
        <f t="shared" si="0"/>
        <v>12434058</v>
      </c>
      <c r="K3" s="9">
        <f t="shared" si="0"/>
        <v>9510819</v>
      </c>
      <c r="L3" s="9">
        <f t="shared" si="0"/>
        <v>14012330</v>
      </c>
      <c r="M3" s="9">
        <f t="shared" si="0"/>
        <v>15878813</v>
      </c>
      <c r="N3" s="9">
        <f t="shared" si="0"/>
        <v>13244056</v>
      </c>
      <c r="O3" s="9">
        <f>SUM(C3:N3)</f>
        <v>136772982</v>
      </c>
      <c r="P3" s="9"/>
      <c r="Q3" s="10" t="s">
        <v>83</v>
      </c>
    </row>
    <row r="4" ht="16.8" spans="1:18">
      <c r="A4" s="7"/>
      <c r="B4" s="8" t="s">
        <v>84</v>
      </c>
      <c r="C4" s="9">
        <v>8749253</v>
      </c>
      <c r="D4" s="9">
        <v>9461973</v>
      </c>
      <c r="E4" s="9">
        <v>7458922</v>
      </c>
      <c r="F4" s="9">
        <v>6647896</v>
      </c>
      <c r="G4" s="9">
        <v>12336196</v>
      </c>
      <c r="H4" s="9">
        <v>11316371</v>
      </c>
      <c r="I4" s="9">
        <v>8626370</v>
      </c>
      <c r="J4" s="9">
        <v>11133178</v>
      </c>
      <c r="K4" s="9">
        <v>8515775</v>
      </c>
      <c r="L4" s="9">
        <v>12546330</v>
      </c>
      <c r="M4" s="9">
        <v>14217537</v>
      </c>
      <c r="N4" s="9">
        <v>11858433</v>
      </c>
      <c r="O4" s="9">
        <f>SUM(C4:N4)</f>
        <v>122868234</v>
      </c>
      <c r="P4" s="9"/>
      <c r="Q4" s="10" t="s">
        <v>83</v>
      </c>
    </row>
    <row r="5" ht="16.8" spans="1:18">
      <c r="A5" s="7"/>
      <c r="B5" s="8" t="s">
        <v>18</v>
      </c>
      <c r="C5" s="9">
        <f t="shared" ref="C5:N5" si="1">C3*$P$12</f>
        <v>1410937.35</v>
      </c>
      <c r="D5" s="9">
        <f t="shared" si="1"/>
        <v>1579914.75</v>
      </c>
      <c r="E5" s="9">
        <f t="shared" si="1"/>
        <v>1245454.95</v>
      </c>
      <c r="F5" s="9">
        <f t="shared" si="1"/>
        <v>1110033.75</v>
      </c>
      <c r="G5" s="9">
        <f t="shared" si="1"/>
        <v>2066646.45</v>
      </c>
      <c r="H5" s="9">
        <f t="shared" si="1"/>
        <v>1895798.25</v>
      </c>
      <c r="I5" s="9">
        <f t="shared" si="1"/>
        <v>1445150.4</v>
      </c>
      <c r="J5" s="9">
        <f t="shared" si="1"/>
        <v>1865108.7</v>
      </c>
      <c r="K5" s="9">
        <f t="shared" si="1"/>
        <v>1426622.85</v>
      </c>
      <c r="L5" s="9">
        <f t="shared" si="1"/>
        <v>2101849.5</v>
      </c>
      <c r="M5" s="9">
        <f t="shared" si="1"/>
        <v>2381821.95</v>
      </c>
      <c r="N5" s="9">
        <f t="shared" si="1"/>
        <v>1986608.4</v>
      </c>
      <c r="O5" s="9">
        <f>SUM(C5:N5)</f>
        <v>20515947.3</v>
      </c>
      <c r="P5" s="9"/>
      <c r="Q5" s="11" t="s">
        <v>83</v>
      </c>
      <c r="R5">
        <f>N6+2496</f>
        <v>13246552</v>
      </c>
    </row>
    <row r="6" ht="16.8" spans="1:18">
      <c r="A6" s="7"/>
      <c r="B6" s="12" t="s">
        <v>85</v>
      </c>
      <c r="C6" s="13">
        <v>9406249</v>
      </c>
      <c r="D6" s="13">
        <v>10532765</v>
      </c>
      <c r="E6" s="13">
        <v>8303033</v>
      </c>
      <c r="F6" s="13">
        <v>7400225</v>
      </c>
      <c r="G6" s="13">
        <v>13777643</v>
      </c>
      <c r="H6" s="13">
        <v>12638655</v>
      </c>
      <c r="I6" s="13">
        <v>9634336</v>
      </c>
      <c r="J6" s="13">
        <v>12434058</v>
      </c>
      <c r="K6" s="13">
        <v>9510819</v>
      </c>
      <c r="L6" s="13">
        <v>14012330</v>
      </c>
      <c r="M6" s="13">
        <v>15878813</v>
      </c>
      <c r="N6" s="13">
        <v>13244056</v>
      </c>
      <c r="O6" s="13">
        <f>SUM(C6:N6)</f>
        <v>136772982</v>
      </c>
      <c r="P6" s="13"/>
      <c r="Q6" s="11" t="s">
        <v>83</v>
      </c>
    </row>
    <row r="7" ht="16.8" spans="1:18">
      <c r="A7" s="7"/>
      <c r="B7" s="14" t="s">
        <v>20</v>
      </c>
      <c r="C7" s="15">
        <v>0.13</v>
      </c>
      <c r="D7" s="15">
        <v>0.13</v>
      </c>
      <c r="E7" s="15">
        <v>0.13</v>
      </c>
      <c r="F7" s="15">
        <v>0.13</v>
      </c>
      <c r="G7" s="15">
        <v>0.15</v>
      </c>
      <c r="H7" s="15">
        <v>0.15</v>
      </c>
      <c r="I7" s="15">
        <v>0.13</v>
      </c>
      <c r="J7" s="15">
        <v>0.13</v>
      </c>
      <c r="K7" s="15">
        <v>0.13</v>
      </c>
      <c r="L7" s="15">
        <v>0.13</v>
      </c>
      <c r="M7" s="15">
        <v>0.15</v>
      </c>
      <c r="N7" s="15">
        <v>0.13</v>
      </c>
      <c r="O7" s="15">
        <f>1-O8/O6</f>
        <v>0.191481238597255</v>
      </c>
      <c r="P7" s="15"/>
      <c r="Q7" s="6" t="s">
        <v>83</v>
      </c>
    </row>
    <row r="8" ht="16.8" spans="1:18">
      <c r="A8" s="7"/>
      <c r="B8" s="12" t="s">
        <v>86</v>
      </c>
      <c r="C8" s="13">
        <v>7605128.79092581</v>
      </c>
      <c r="D8" s="13">
        <v>8515938.11194619</v>
      </c>
      <c r="E8" s="13">
        <v>6713157.95704612</v>
      </c>
      <c r="F8" s="13">
        <v>5983220.75110163</v>
      </c>
      <c r="G8" s="13">
        <v>11139482.8534092</v>
      </c>
      <c r="H8" s="13">
        <v>10218589.6863966</v>
      </c>
      <c r="I8" s="13">
        <v>7789541.40965788</v>
      </c>
      <c r="J8" s="13">
        <v>10053169.1733699</v>
      </c>
      <c r="K8" s="13">
        <v>7689675.5978057</v>
      </c>
      <c r="L8" s="13">
        <v>11329231.6959665</v>
      </c>
      <c r="M8" s="13">
        <v>12838318.2193058</v>
      </c>
      <c r="N8" s="13">
        <v>10708067.7530686</v>
      </c>
      <c r="O8" s="13">
        <f>SUM(C8:N8)</f>
        <v>110583522</v>
      </c>
      <c r="P8" s="13"/>
      <c r="Q8" s="6" t="s">
        <v>83</v>
      </c>
    </row>
    <row r="9" ht="16.8" spans="1:18">
      <c r="B9" s="4"/>
      <c r="C9" s="16">
        <f t="shared" ref="C9:O9" si="2">C6/$O$6</f>
        <v>0.0687727127277228</v>
      </c>
      <c r="D9" s="16">
        <f t="shared" si="2"/>
        <v>0.0770091054971661</v>
      </c>
      <c r="E9" s="16">
        <f t="shared" si="2"/>
        <v>0.0607066752408747</v>
      </c>
      <c r="F9" s="16">
        <f t="shared" si="2"/>
        <v>0.05410589790314</v>
      </c>
      <c r="G9" s="16">
        <f t="shared" si="2"/>
        <v>0.100733659517638</v>
      </c>
      <c r="H9" s="16">
        <f t="shared" si="2"/>
        <v>0.0924060791480002</v>
      </c>
      <c r="I9" s="16">
        <f t="shared" si="2"/>
        <v>0.0704403447166195</v>
      </c>
      <c r="J9" s="16">
        <f t="shared" si="2"/>
        <v>0.0909101916049472</v>
      </c>
      <c r="K9" s="16">
        <f t="shared" si="2"/>
        <v>0.0695372643114559</v>
      </c>
      <c r="L9" s="16">
        <f t="shared" si="2"/>
        <v>0.102449546650961</v>
      </c>
      <c r="M9" s="16">
        <f t="shared" si="2"/>
        <v>0.116096123428822</v>
      </c>
      <c r="N9" s="16">
        <f t="shared" si="2"/>
        <v>0.0968323992526536</v>
      </c>
      <c r="O9" s="16">
        <f t="shared" si="2"/>
        <v>1</v>
      </c>
      <c r="P9" s="5"/>
      <c r="Q9" s="6"/>
    </row>
    <row r="10" ht="16.8" spans="1:18">
      <c r="A10" s="7"/>
      <c r="B10" s="12" t="s">
        <v>22</v>
      </c>
      <c r="C10" s="13">
        <v>11297690.08</v>
      </c>
      <c r="D10" s="13">
        <v>12218007.4</v>
      </c>
      <c r="E10" s="13">
        <v>9631518.28</v>
      </c>
      <c r="F10" s="13">
        <v>8584261</v>
      </c>
      <c r="G10" s="13">
        <v>15614662.0666667</v>
      </c>
      <c r="H10" s="13">
        <v>14323809</v>
      </c>
      <c r="I10" s="13">
        <v>11175829.76</v>
      </c>
      <c r="J10" s="13">
        <v>14423507.28</v>
      </c>
      <c r="K10" s="13">
        <v>11032550.04</v>
      </c>
      <c r="L10" s="13">
        <v>16254302.8</v>
      </c>
      <c r="M10" s="13">
        <v>17995988.0666667</v>
      </c>
      <c r="N10" s="13">
        <v>15363104.96</v>
      </c>
      <c r="O10" s="13">
        <f t="shared" ref="O10:O16" si="3">SUM(C10:N10)</f>
        <v>157915230.733333</v>
      </c>
      <c r="P10" s="13"/>
      <c r="Q10" s="6"/>
    </row>
    <row r="11" ht="16.8" spans="1:18">
      <c r="B11" s="17" t="s">
        <v>23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>
        <f t="shared" si="3"/>
        <v>0</v>
      </c>
      <c r="P11" s="18"/>
      <c r="Q11" s="6" t="s">
        <v>88</v>
      </c>
    </row>
    <row r="12" ht="16.8" spans="1:18">
      <c r="B12" s="17" t="s">
        <v>25</v>
      </c>
      <c r="C12" s="18">
        <f t="shared" ref="C12:N12" si="4">C3*$P$12</f>
        <v>1410937.35</v>
      </c>
      <c r="D12" s="18">
        <f t="shared" si="4"/>
        <v>1579914.75</v>
      </c>
      <c r="E12" s="18">
        <f t="shared" si="4"/>
        <v>1245454.95</v>
      </c>
      <c r="F12" s="18">
        <f t="shared" si="4"/>
        <v>1110033.75</v>
      </c>
      <c r="G12" s="18">
        <f t="shared" si="4"/>
        <v>2066646.45</v>
      </c>
      <c r="H12" s="18">
        <f t="shared" si="4"/>
        <v>1895798.25</v>
      </c>
      <c r="I12" s="18">
        <f t="shared" si="4"/>
        <v>1445150.4</v>
      </c>
      <c r="J12" s="18">
        <f t="shared" si="4"/>
        <v>1865108.7</v>
      </c>
      <c r="K12" s="18">
        <f t="shared" si="4"/>
        <v>1426622.85</v>
      </c>
      <c r="L12" s="18">
        <f t="shared" si="4"/>
        <v>2101849.5</v>
      </c>
      <c r="M12" s="18">
        <f t="shared" si="4"/>
        <v>2381821.95</v>
      </c>
      <c r="N12" s="18">
        <f t="shared" si="4"/>
        <v>1986608.4</v>
      </c>
      <c r="O12" s="18">
        <f t="shared" si="3"/>
        <v>20515947.3</v>
      </c>
      <c r="P12" s="19">
        <v>0.15</v>
      </c>
      <c r="Q12" s="6" t="s">
        <v>83</v>
      </c>
      <c r="R12" s="20">
        <f>O12/$O$10</f>
        <v>0.129917470308134</v>
      </c>
    </row>
    <row r="13" ht="16.8" spans="1:18">
      <c r="B13" s="17" t="s">
        <v>27</v>
      </c>
      <c r="C13" s="18">
        <f t="shared" ref="C13:N13" si="5">C3*0.1</f>
        <v>940624.9</v>
      </c>
      <c r="D13" s="18">
        <f t="shared" si="5"/>
        <v>1053276.5</v>
      </c>
      <c r="E13" s="18">
        <f t="shared" si="5"/>
        <v>830303.3</v>
      </c>
      <c r="F13" s="18">
        <f t="shared" si="5"/>
        <v>740022.5</v>
      </c>
      <c r="G13" s="18">
        <f t="shared" si="5"/>
        <v>1377764.3</v>
      </c>
      <c r="H13" s="18">
        <f t="shared" si="5"/>
        <v>1263865.5</v>
      </c>
      <c r="I13" s="18">
        <f t="shared" si="5"/>
        <v>963433.6</v>
      </c>
      <c r="J13" s="18">
        <f t="shared" si="5"/>
        <v>1243405.8</v>
      </c>
      <c r="K13" s="18">
        <f t="shared" si="5"/>
        <v>951081.9</v>
      </c>
      <c r="L13" s="18">
        <f t="shared" si="5"/>
        <v>1401233</v>
      </c>
      <c r="M13" s="18">
        <f t="shared" si="5"/>
        <v>1587881.3</v>
      </c>
      <c r="N13" s="18">
        <f t="shared" si="5"/>
        <v>1324405.6</v>
      </c>
      <c r="O13" s="18">
        <f t="shared" si="3"/>
        <v>13677298.2</v>
      </c>
      <c r="P13" s="18"/>
      <c r="Q13" s="6" t="s">
        <v>83</v>
      </c>
      <c r="R13" s="20">
        <f>O13/$O$10</f>
        <v>0.0866116468720895</v>
      </c>
    </row>
    <row r="14" ht="16.8" spans="1:18">
      <c r="B14" s="21" t="s">
        <v>28</v>
      </c>
      <c r="C14" s="22">
        <f t="shared" ref="C14:N14" si="6">SUM(C11:C13)</f>
        <v>2351562.25</v>
      </c>
      <c r="D14" s="22">
        <f t="shared" si="6"/>
        <v>2633191.25</v>
      </c>
      <c r="E14" s="22">
        <f t="shared" si="6"/>
        <v>2075758.25</v>
      </c>
      <c r="F14" s="22">
        <f t="shared" si="6"/>
        <v>1850056.25</v>
      </c>
      <c r="G14" s="22">
        <f t="shared" si="6"/>
        <v>3444410.75</v>
      </c>
      <c r="H14" s="22">
        <f t="shared" si="6"/>
        <v>3159663.75</v>
      </c>
      <c r="I14" s="22">
        <f t="shared" si="6"/>
        <v>2408584</v>
      </c>
      <c r="J14" s="22">
        <f t="shared" si="6"/>
        <v>3108514.5</v>
      </c>
      <c r="K14" s="22">
        <f t="shared" si="6"/>
        <v>2377704.75</v>
      </c>
      <c r="L14" s="22">
        <f t="shared" si="6"/>
        <v>3503082.5</v>
      </c>
      <c r="M14" s="22">
        <f t="shared" si="6"/>
        <v>3969703.25</v>
      </c>
      <c r="N14" s="22">
        <f t="shared" si="6"/>
        <v>3311014</v>
      </c>
      <c r="O14" s="22">
        <f t="shared" si="3"/>
        <v>34193245.5</v>
      </c>
      <c r="P14" s="22"/>
      <c r="Q14" s="6"/>
    </row>
    <row r="15" ht="16.8" spans="1:18">
      <c r="A15" s="7"/>
      <c r="B15" s="12" t="s">
        <v>29</v>
      </c>
      <c r="C15" s="13">
        <f t="shared" ref="C15:N15" si="7">C8</f>
        <v>7605128.79092581</v>
      </c>
      <c r="D15" s="13">
        <f t="shared" si="7"/>
        <v>8515938.11194619</v>
      </c>
      <c r="E15" s="13">
        <f t="shared" si="7"/>
        <v>6713157.95704612</v>
      </c>
      <c r="F15" s="13">
        <f t="shared" si="7"/>
        <v>5983220.75110163</v>
      </c>
      <c r="G15" s="13">
        <f t="shared" si="7"/>
        <v>11139482.8534092</v>
      </c>
      <c r="H15" s="13">
        <f t="shared" si="7"/>
        <v>10218589.6863966</v>
      </c>
      <c r="I15" s="13">
        <f t="shared" si="7"/>
        <v>7789541.40965788</v>
      </c>
      <c r="J15" s="13">
        <f t="shared" si="7"/>
        <v>10053169.1733699</v>
      </c>
      <c r="K15" s="13">
        <f t="shared" si="7"/>
        <v>7689675.5978057</v>
      </c>
      <c r="L15" s="13">
        <f t="shared" si="7"/>
        <v>11329231.6959665</v>
      </c>
      <c r="M15" s="13">
        <f t="shared" si="7"/>
        <v>12838318.2193058</v>
      </c>
      <c r="N15" s="13">
        <f t="shared" si="7"/>
        <v>10708067.7530686</v>
      </c>
      <c r="O15" s="13">
        <f t="shared" si="3"/>
        <v>110583522</v>
      </c>
      <c r="P15" s="13"/>
      <c r="Q15" s="6"/>
    </row>
    <row r="16" ht="16.8" spans="1:18">
      <c r="A16" s="7"/>
      <c r="B16" s="12" t="s">
        <v>30</v>
      </c>
      <c r="C16" s="13">
        <f t="shared" ref="C16:N16" si="8">+C8/1.13</f>
        <v>6730202.46984585</v>
      </c>
      <c r="D16" s="13">
        <f t="shared" si="8"/>
        <v>7536228.41765149</v>
      </c>
      <c r="E16" s="13">
        <f t="shared" si="8"/>
        <v>5940847.74959834</v>
      </c>
      <c r="F16" s="13">
        <f t="shared" si="8"/>
        <v>5294885.62044392</v>
      </c>
      <c r="G16" s="13">
        <f t="shared" si="8"/>
        <v>9857949.42779576</v>
      </c>
      <c r="H16" s="13">
        <f t="shared" si="8"/>
        <v>9042999.72247488</v>
      </c>
      <c r="I16" s="13">
        <f t="shared" si="8"/>
        <v>6893399.47757335</v>
      </c>
      <c r="J16" s="13">
        <f t="shared" si="8"/>
        <v>8896609.88793796</v>
      </c>
      <c r="K16" s="13">
        <f t="shared" si="8"/>
        <v>6805022.6529254</v>
      </c>
      <c r="L16" s="13">
        <f t="shared" si="8"/>
        <v>10025868.7574925</v>
      </c>
      <c r="M16" s="13">
        <f t="shared" si="8"/>
        <v>11361343.5569078</v>
      </c>
      <c r="N16" s="13">
        <f t="shared" si="8"/>
        <v>9476166.15315805</v>
      </c>
      <c r="O16" s="13">
        <f t="shared" si="3"/>
        <v>97861523.8938053</v>
      </c>
      <c r="P16" s="13"/>
      <c r="Q16" s="6"/>
    </row>
    <row r="17" spans="1:17">
      <c r="Q17" s="6"/>
    </row>
    <row r="18" ht="16.8" spans="1:17">
      <c r="B18" s="17" t="s">
        <v>31</v>
      </c>
      <c r="C18" s="18">
        <f t="shared" ref="C18:N18" si="9">C16*(1-C23)</f>
        <v>3297799.21022447</v>
      </c>
      <c r="D18" s="18">
        <f t="shared" si="9"/>
        <v>3617389.64047272</v>
      </c>
      <c r="E18" s="18">
        <f t="shared" si="9"/>
        <v>2792198.44231122</v>
      </c>
      <c r="F18" s="18">
        <f t="shared" si="9"/>
        <v>2435647.3854042</v>
      </c>
      <c r="G18" s="18">
        <f t="shared" si="9"/>
        <v>4436077.24250809</v>
      </c>
      <c r="H18" s="18">
        <f t="shared" si="9"/>
        <v>3978919.87788895</v>
      </c>
      <c r="I18" s="18">
        <f t="shared" si="9"/>
        <v>2964161.77535654</v>
      </c>
      <c r="J18" s="18">
        <f t="shared" si="9"/>
        <v>3647610.05405457</v>
      </c>
      <c r="K18" s="18">
        <f t="shared" si="9"/>
        <v>2722009.06117016</v>
      </c>
      <c r="L18" s="18">
        <f t="shared" si="9"/>
        <v>3910088.81542208</v>
      </c>
      <c r="M18" s="18">
        <f t="shared" si="9"/>
        <v>4317310.55162496</v>
      </c>
      <c r="N18" s="18">
        <f t="shared" si="9"/>
        <v>3506181.47666848</v>
      </c>
      <c r="O18" s="18">
        <f>SUM(C18:N18)</f>
        <v>41625393.5331064</v>
      </c>
      <c r="P18" s="23">
        <f>O18/O16</f>
        <v>0.425349942213002</v>
      </c>
      <c r="Q18" s="6"/>
    </row>
    <row r="19" ht="16.8" spans="1:17">
      <c r="B19" s="21" t="s">
        <v>32</v>
      </c>
      <c r="C19" s="22">
        <f t="shared" ref="C19:N19" si="10">C16-C18</f>
        <v>3432403.25962139</v>
      </c>
      <c r="D19" s="22">
        <f t="shared" si="10"/>
        <v>3918838.77717878</v>
      </c>
      <c r="E19" s="22">
        <f t="shared" si="10"/>
        <v>3148649.30728712</v>
      </c>
      <c r="F19" s="22">
        <f t="shared" si="10"/>
        <v>2859238.23503972</v>
      </c>
      <c r="G19" s="22">
        <f t="shared" si="10"/>
        <v>5421872.18528767</v>
      </c>
      <c r="H19" s="22">
        <f t="shared" si="10"/>
        <v>5064079.84458593</v>
      </c>
      <c r="I19" s="22">
        <f t="shared" si="10"/>
        <v>3929237.70221681</v>
      </c>
      <c r="J19" s="22">
        <f t="shared" si="10"/>
        <v>5248999.8338834</v>
      </c>
      <c r="K19" s="22">
        <f t="shared" si="10"/>
        <v>4083013.59175524</v>
      </c>
      <c r="L19" s="22">
        <f t="shared" si="10"/>
        <v>6115779.94207043</v>
      </c>
      <c r="M19" s="22">
        <f t="shared" si="10"/>
        <v>7044033.00528284</v>
      </c>
      <c r="N19" s="22">
        <f t="shared" si="10"/>
        <v>5969984.67648957</v>
      </c>
      <c r="O19" s="22">
        <f>SUM(C19:N19)</f>
        <v>56236130.3606989</v>
      </c>
      <c r="P19" s="24">
        <f>O19/$O$16</f>
        <v>0.574650057786998</v>
      </c>
      <c r="Q19" s="6"/>
    </row>
    <row r="20" ht="16.8" spans="1:17">
      <c r="A20" s="5"/>
      <c r="B20" s="4" t="s">
        <v>33</v>
      </c>
      <c r="C20" s="25">
        <f t="shared" ref="C20:N20" si="11">C16*2.5%</f>
        <v>168255.061746146</v>
      </c>
      <c r="D20" s="25">
        <f t="shared" si="11"/>
        <v>188405.710441287</v>
      </c>
      <c r="E20" s="25">
        <f t="shared" si="11"/>
        <v>148521.193739958</v>
      </c>
      <c r="F20" s="25">
        <f t="shared" si="11"/>
        <v>132372.140511098</v>
      </c>
      <c r="G20" s="25">
        <f t="shared" si="11"/>
        <v>246448.735694894</v>
      </c>
      <c r="H20" s="25">
        <f t="shared" si="11"/>
        <v>226074.993061872</v>
      </c>
      <c r="I20" s="25">
        <f t="shared" si="11"/>
        <v>172334.986939334</v>
      </c>
      <c r="J20" s="25">
        <f t="shared" si="11"/>
        <v>222415.247198449</v>
      </c>
      <c r="K20" s="25">
        <f t="shared" si="11"/>
        <v>170125.566323135</v>
      </c>
      <c r="L20" s="25">
        <f t="shared" si="11"/>
        <v>250646.718937313</v>
      </c>
      <c r="M20" s="25">
        <f t="shared" si="11"/>
        <v>284033.588922695</v>
      </c>
      <c r="N20" s="25">
        <f t="shared" si="11"/>
        <v>236904.153828951</v>
      </c>
      <c r="O20" s="25">
        <f>SUM(C20:N20)</f>
        <v>2446538.09734513</v>
      </c>
      <c r="P20" s="26">
        <v>0.025</v>
      </c>
      <c r="Q20" s="6"/>
    </row>
    <row r="21" ht="16.8" spans="1:17">
      <c r="B21" s="21" t="s">
        <v>35</v>
      </c>
      <c r="C21" s="22">
        <f t="shared" ref="C21:N21" si="12">SUM(C18,C20)</f>
        <v>3466054.27197061</v>
      </c>
      <c r="D21" s="22">
        <f t="shared" si="12"/>
        <v>3805795.350914</v>
      </c>
      <c r="E21" s="22">
        <f t="shared" si="12"/>
        <v>2940719.63605118</v>
      </c>
      <c r="F21" s="22">
        <f t="shared" si="12"/>
        <v>2568019.5259153</v>
      </c>
      <c r="G21" s="22">
        <f t="shared" si="12"/>
        <v>4682525.97820298</v>
      </c>
      <c r="H21" s="22">
        <f t="shared" si="12"/>
        <v>4204994.87095082</v>
      </c>
      <c r="I21" s="22">
        <f t="shared" si="12"/>
        <v>3136496.76229587</v>
      </c>
      <c r="J21" s="22">
        <f t="shared" si="12"/>
        <v>3870025.30125301</v>
      </c>
      <c r="K21" s="22">
        <f t="shared" si="12"/>
        <v>2892134.62749329</v>
      </c>
      <c r="L21" s="22">
        <f t="shared" si="12"/>
        <v>4160735.53435939</v>
      </c>
      <c r="M21" s="22">
        <f t="shared" si="12"/>
        <v>4601344.14054766</v>
      </c>
      <c r="N21" s="22">
        <f t="shared" si="12"/>
        <v>3743085.63049743</v>
      </c>
      <c r="O21" s="22">
        <f>SUM(C21:N21)</f>
        <v>44071931.6304516</v>
      </c>
      <c r="P21" s="24">
        <f>O21/$O$16</f>
        <v>0.450349942213002</v>
      </c>
      <c r="Q21" s="6"/>
    </row>
    <row r="22" ht="16.8" spans="1:17">
      <c r="A22" s="7"/>
      <c r="B22" s="12" t="s">
        <v>36</v>
      </c>
      <c r="C22" s="13">
        <f t="shared" ref="C22:N22" si="13">C16-C21</f>
        <v>3264148.19787524</v>
      </c>
      <c r="D22" s="13">
        <f t="shared" si="13"/>
        <v>3730433.06673749</v>
      </c>
      <c r="E22" s="13">
        <f t="shared" si="13"/>
        <v>3000128.11354716</v>
      </c>
      <c r="F22" s="13">
        <f t="shared" si="13"/>
        <v>2726866.09452862</v>
      </c>
      <c r="G22" s="13">
        <f t="shared" si="13"/>
        <v>5175423.44959277</v>
      </c>
      <c r="H22" s="13">
        <f t="shared" si="13"/>
        <v>4838004.85152406</v>
      </c>
      <c r="I22" s="13">
        <f t="shared" si="13"/>
        <v>3756902.71527747</v>
      </c>
      <c r="J22" s="13">
        <f t="shared" si="13"/>
        <v>5026584.58668495</v>
      </c>
      <c r="K22" s="13">
        <f t="shared" si="13"/>
        <v>3912888.0254321</v>
      </c>
      <c r="L22" s="13">
        <f t="shared" si="13"/>
        <v>5865133.22313312</v>
      </c>
      <c r="M22" s="13">
        <f t="shared" si="13"/>
        <v>6759999.41636014</v>
      </c>
      <c r="N22" s="13">
        <f t="shared" si="13"/>
        <v>5733080.52266062</v>
      </c>
      <c r="O22" s="13">
        <f>SUM(C22:N22)</f>
        <v>53789592.2633538</v>
      </c>
      <c r="P22" s="27">
        <f>O22/$O$16</f>
        <v>0.549650057786998</v>
      </c>
      <c r="Q22" s="6"/>
    </row>
    <row r="23" ht="16.8" spans="1:17">
      <c r="B23" s="14" t="s">
        <v>37</v>
      </c>
      <c r="C23" s="28">
        <v>0.51</v>
      </c>
      <c r="D23" s="28">
        <v>0.52</v>
      </c>
      <c r="E23" s="28">
        <v>0.53</v>
      </c>
      <c r="F23" s="28">
        <v>0.54</v>
      </c>
      <c r="G23" s="28">
        <v>0.55</v>
      </c>
      <c r="H23" s="28">
        <v>0.56</v>
      </c>
      <c r="I23" s="28">
        <v>0.57</v>
      </c>
      <c r="J23" s="28">
        <v>0.59</v>
      </c>
      <c r="K23" s="28">
        <v>0.6</v>
      </c>
      <c r="L23" s="28">
        <v>0.61</v>
      </c>
      <c r="M23" s="28">
        <v>0.62</v>
      </c>
      <c r="N23" s="28">
        <v>0.63</v>
      </c>
      <c r="O23" s="28">
        <f>O19/$O$16</f>
        <v>0.574650057786998</v>
      </c>
      <c r="P23" s="29"/>
      <c r="Q23" s="6"/>
    </row>
    <row r="24" ht="16.8" spans="1:17">
      <c r="B24" s="14" t="s">
        <v>38</v>
      </c>
      <c r="C24" s="28">
        <f t="shared" ref="C24:O24" si="14">IFERROR(1-C21/C16,0)</f>
        <v>0.485</v>
      </c>
      <c r="D24" s="28">
        <f t="shared" si="14"/>
        <v>0.495</v>
      </c>
      <c r="E24" s="28">
        <f t="shared" si="14"/>
        <v>0.505</v>
      </c>
      <c r="F24" s="28">
        <f t="shared" si="14"/>
        <v>0.515</v>
      </c>
      <c r="G24" s="28">
        <f t="shared" si="14"/>
        <v>0.525</v>
      </c>
      <c r="H24" s="28">
        <f t="shared" si="14"/>
        <v>0.535</v>
      </c>
      <c r="I24" s="28">
        <f t="shared" si="14"/>
        <v>0.545</v>
      </c>
      <c r="J24" s="28">
        <f t="shared" si="14"/>
        <v>0.565</v>
      </c>
      <c r="K24" s="28">
        <f t="shared" si="14"/>
        <v>0.575</v>
      </c>
      <c r="L24" s="28">
        <f t="shared" si="14"/>
        <v>0.585</v>
      </c>
      <c r="M24" s="28">
        <f t="shared" si="14"/>
        <v>0.595</v>
      </c>
      <c r="N24" s="28">
        <f t="shared" si="14"/>
        <v>0.605</v>
      </c>
      <c r="O24" s="28">
        <f t="shared" si="14"/>
        <v>0.549650057786998</v>
      </c>
      <c r="P24" s="29"/>
      <c r="Q24" s="6"/>
    </row>
    <row r="25" ht="16.8" spans="1:17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29"/>
      <c r="Q25" s="6"/>
    </row>
    <row r="26" ht="16.8" spans="1:17">
      <c r="B26" s="17" t="s">
        <v>39</v>
      </c>
      <c r="C26" s="18">
        <f t="shared" ref="C26:N26" si="15">SUM(C27:C31)</f>
        <v>89059.4731705356</v>
      </c>
      <c r="D26" s="18">
        <f t="shared" si="15"/>
        <v>314184.158976949</v>
      </c>
      <c r="E26" s="18">
        <f t="shared" si="15"/>
        <v>553604.278584889</v>
      </c>
      <c r="F26" s="18">
        <f t="shared" si="15"/>
        <v>310900.910806752</v>
      </c>
      <c r="G26" s="18">
        <f t="shared" si="15"/>
        <v>1351800.84900156</v>
      </c>
      <c r="H26" s="18">
        <f t="shared" si="15"/>
        <v>782330.773691626</v>
      </c>
      <c r="I26" s="18">
        <f t="shared" si="15"/>
        <v>143687.436352005</v>
      </c>
      <c r="J26" s="18">
        <f t="shared" si="15"/>
        <v>248749.05188574</v>
      </c>
      <c r="K26" s="18">
        <f t="shared" si="15"/>
        <v>198418.790316775</v>
      </c>
      <c r="L26" s="18">
        <f t="shared" si="15"/>
        <v>708400.447920404</v>
      </c>
      <c r="M26" s="18">
        <f t="shared" si="15"/>
        <v>279068.615443914</v>
      </c>
      <c r="N26" s="18">
        <f t="shared" si="15"/>
        <v>165227.728318873</v>
      </c>
      <c r="O26" s="18">
        <f t="shared" ref="O26:O31" si="16">SUM(C26:N26)</f>
        <v>5145432.51447002</v>
      </c>
      <c r="P26" s="23">
        <f t="shared" ref="P26:P31" si="17">O26/$O$16</f>
        <v>0.0525787082577377</v>
      </c>
      <c r="Q26" s="6"/>
    </row>
    <row r="27" ht="16.8" spans="1:17">
      <c r="A27" s="5"/>
      <c r="B27" s="4" t="s">
        <v>40</v>
      </c>
      <c r="C27" s="30">
        <v>0</v>
      </c>
      <c r="D27" s="30">
        <v>0</v>
      </c>
      <c r="E27" s="30">
        <v>15125.7999613358</v>
      </c>
      <c r="F27" s="30">
        <v>12638.2484067786</v>
      </c>
      <c r="G27" s="30">
        <v>26928.3037649713</v>
      </c>
      <c r="H27" s="30">
        <v>23706.9931421705</v>
      </c>
      <c r="I27" s="30">
        <v>15285.8974842558</v>
      </c>
      <c r="J27" s="30">
        <v>21080.4281259102</v>
      </c>
      <c r="K27" s="30">
        <v>16815.1517217606</v>
      </c>
      <c r="L27" s="30">
        <v>28336.0179168161</v>
      </c>
      <c r="M27" s="30">
        <v>21466.8165726087</v>
      </c>
      <c r="N27" s="30">
        <v>0</v>
      </c>
      <c r="O27" s="5">
        <f t="shared" si="16"/>
        <v>181383.657096607</v>
      </c>
      <c r="P27" s="29">
        <f t="shared" si="17"/>
        <v>0.00185347264051842</v>
      </c>
      <c r="Q27" s="4"/>
    </row>
    <row r="28" ht="16.8" spans="1:17">
      <c r="A28" s="5"/>
      <c r="B28" s="4" t="s">
        <v>41</v>
      </c>
      <c r="C28" s="30">
        <v>0</v>
      </c>
      <c r="D28" s="30">
        <v>0</v>
      </c>
      <c r="E28" s="30">
        <v>0</v>
      </c>
      <c r="F28" s="30">
        <v>15165.8980881343</v>
      </c>
      <c r="G28" s="30">
        <v>161569.822589828</v>
      </c>
      <c r="H28" s="30">
        <v>75862.3780549455</v>
      </c>
      <c r="I28" s="30">
        <v>0</v>
      </c>
      <c r="J28" s="30">
        <v>25296.5137510922</v>
      </c>
      <c r="K28" s="30">
        <v>53808.4855096338</v>
      </c>
      <c r="L28" s="30">
        <v>34003.2215001794</v>
      </c>
      <c r="M28" s="30">
        <v>25760.1798871305</v>
      </c>
      <c r="N28" s="30">
        <v>0</v>
      </c>
      <c r="O28" s="5">
        <f t="shared" si="16"/>
        <v>391466.499380943</v>
      </c>
      <c r="P28" s="29">
        <f t="shared" si="17"/>
        <v>0.00400020849670954</v>
      </c>
      <c r="Q28" s="4"/>
    </row>
    <row r="29" ht="16.8" spans="1:17">
      <c r="A29" s="5"/>
      <c r="B29" s="4" t="s">
        <v>42</v>
      </c>
      <c r="C29" s="30">
        <v>7421.6227642113</v>
      </c>
      <c r="D29" s="30">
        <v>6042.00305724902</v>
      </c>
      <c r="E29" s="30">
        <v>6050.31998453431</v>
      </c>
      <c r="F29" s="30">
        <v>25276.4968135571</v>
      </c>
      <c r="G29" s="30">
        <v>161569.822589828</v>
      </c>
      <c r="H29" s="30">
        <v>104310.76982555</v>
      </c>
      <c r="I29" s="30">
        <v>0</v>
      </c>
      <c r="J29" s="30">
        <v>25296.5137510922</v>
      </c>
      <c r="K29" s="30">
        <v>53808.4855096338</v>
      </c>
      <c r="L29" s="30">
        <v>56672.0358336323</v>
      </c>
      <c r="M29" s="30">
        <v>42933.6331452175</v>
      </c>
      <c r="N29" s="30">
        <v>7510.35128722151</v>
      </c>
      <c r="O29" s="5">
        <f t="shared" si="16"/>
        <v>496892.054561727</v>
      </c>
      <c r="P29" s="29">
        <f t="shared" si="17"/>
        <v>0.00507750170640026</v>
      </c>
      <c r="Q29" s="6"/>
    </row>
    <row r="30" ht="16.8" spans="1:17">
      <c r="A30" s="5"/>
      <c r="B30" s="4" t="s">
        <v>43</v>
      </c>
      <c r="C30" s="30">
        <v>7421.6227642113</v>
      </c>
      <c r="D30" s="30">
        <v>6042.00305724902</v>
      </c>
      <c r="E30" s="30">
        <v>48402.5598762744</v>
      </c>
      <c r="F30" s="30">
        <v>5055.29936271142</v>
      </c>
      <c r="G30" s="30">
        <v>32313.9645179655</v>
      </c>
      <c r="H30" s="30">
        <v>9482.79725686819</v>
      </c>
      <c r="I30" s="30">
        <v>6114.35899370232</v>
      </c>
      <c r="J30" s="30">
        <v>8432.17125036407</v>
      </c>
      <c r="K30" s="30">
        <v>6726.06068870423</v>
      </c>
      <c r="L30" s="30">
        <v>22668.8143334529</v>
      </c>
      <c r="M30" s="30">
        <v>17173.453258087</v>
      </c>
      <c r="N30" s="30">
        <v>7510.35128722151</v>
      </c>
      <c r="O30" s="5">
        <f t="shared" si="16"/>
        <v>177343.456646812</v>
      </c>
      <c r="P30" s="29">
        <f t="shared" si="17"/>
        <v>0.00181218776890555</v>
      </c>
      <c r="Q30" s="6"/>
    </row>
    <row r="31" ht="16.8" collapsed="1" spans="1:17">
      <c r="A31" s="5"/>
      <c r="B31" s="4" t="s">
        <v>44</v>
      </c>
      <c r="C31" s="30">
        <v>74216.227642113</v>
      </c>
      <c r="D31" s="30">
        <v>302100.152862451</v>
      </c>
      <c r="E31" s="30">
        <v>484025.598762744</v>
      </c>
      <c r="F31" s="30">
        <v>252764.968135571</v>
      </c>
      <c r="G31" s="30">
        <v>969418.935538966</v>
      </c>
      <c r="H31" s="30">
        <v>568967.835412091</v>
      </c>
      <c r="I31" s="30">
        <v>122287.179874046</v>
      </c>
      <c r="J31" s="30">
        <v>168643.425007281</v>
      </c>
      <c r="K31" s="30">
        <v>67260.6068870423</v>
      </c>
      <c r="L31" s="30">
        <v>566720.358336323</v>
      </c>
      <c r="M31" s="30">
        <v>171734.53258087</v>
      </c>
      <c r="N31" s="30">
        <v>150207.02574443</v>
      </c>
      <c r="O31" s="5">
        <f t="shared" si="16"/>
        <v>3898346.84678393</v>
      </c>
      <c r="P31" s="29">
        <f t="shared" si="17"/>
        <v>0.039835337645204</v>
      </c>
      <c r="Q31" s="6"/>
    </row>
    <row r="32" ht="16.8" hidden="1" outlineLevel="1" spans="1:17">
      <c r="A32" s="5"/>
      <c r="B32" s="4" t="s">
        <v>45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29"/>
      <c r="Q32" s="6"/>
    </row>
    <row r="33" ht="16.8" hidden="1" outlineLevel="1" spans="1:17">
      <c r="A33" s="5"/>
      <c r="B33" s="4" t="s">
        <v>46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29"/>
      <c r="Q33" s="6"/>
    </row>
    <row r="34" ht="16.8" hidden="1" outlineLevel="1" spans="1:17">
      <c r="A34" s="5"/>
      <c r="B34" s="4" t="s">
        <v>47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29"/>
      <c r="Q34" s="6"/>
    </row>
    <row r="35" ht="16.8" hidden="1" outlineLevel="1" spans="1:17">
      <c r="A35" s="5"/>
      <c r="B35" s="4" t="s">
        <v>48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29"/>
      <c r="Q35" s="6"/>
    </row>
    <row r="36" ht="16.8" hidden="1" outlineLevel="1" spans="1:17">
      <c r="A36" s="5"/>
      <c r="B36" s="4" t="s">
        <v>49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5"/>
      <c r="P36" s="29"/>
      <c r="Q36" s="6"/>
    </row>
    <row r="37" ht="16.8" spans="1:17">
      <c r="B37" s="17" t="s">
        <v>50</v>
      </c>
      <c r="C37" s="18">
        <f t="shared" ref="C37:N37" si="18">SUM(C38:C40)</f>
        <v>2055052.76465434</v>
      </c>
      <c r="D37" s="18">
        <f t="shared" si="18"/>
        <v>1712543.96237172</v>
      </c>
      <c r="E37" s="18">
        <f t="shared" si="18"/>
        <v>1598374.37207155</v>
      </c>
      <c r="F37" s="18">
        <f t="shared" si="18"/>
        <v>1484204.74403269</v>
      </c>
      <c r="G37" s="18">
        <f t="shared" si="18"/>
        <v>2466063.3107694</v>
      </c>
      <c r="H37" s="18">
        <f t="shared" si="18"/>
        <v>2534565.08613904</v>
      </c>
      <c r="I37" s="18">
        <f t="shared" si="18"/>
        <v>1415703.08210428</v>
      </c>
      <c r="J37" s="18">
        <f t="shared" si="18"/>
        <v>1712543.96357279</v>
      </c>
      <c r="K37" s="18">
        <f t="shared" si="18"/>
        <v>1370035.17260062</v>
      </c>
      <c r="L37" s="18">
        <f t="shared" si="18"/>
        <v>2466063.27788911</v>
      </c>
      <c r="M37" s="18">
        <f t="shared" si="18"/>
        <v>2534565.05668512</v>
      </c>
      <c r="N37" s="18">
        <f t="shared" si="18"/>
        <v>1484204.78370965</v>
      </c>
      <c r="O37" s="18">
        <f>SUM(C37:N37)</f>
        <v>22833919.5766003</v>
      </c>
      <c r="P37" s="23">
        <f>O37/$O$16</f>
        <v>0.233328878072434</v>
      </c>
      <c r="Q37" s="6"/>
    </row>
    <row r="38" ht="16.8" spans="1:17">
      <c r="A38" s="5"/>
      <c r="B38" s="4" t="s">
        <v>51</v>
      </c>
      <c r="C38" s="31">
        <v>1644042.21172347</v>
      </c>
      <c r="D38" s="31">
        <v>1370035.16989738</v>
      </c>
      <c r="E38" s="31">
        <v>1278699.49765724</v>
      </c>
      <c r="F38" s="31">
        <v>1187363.79522615</v>
      </c>
      <c r="G38" s="31">
        <v>1972850.64861552</v>
      </c>
      <c r="H38" s="31">
        <v>2027652.06891123</v>
      </c>
      <c r="I38" s="31">
        <v>1132562.46568343</v>
      </c>
      <c r="J38" s="31">
        <v>1370035.17085823</v>
      </c>
      <c r="K38" s="31">
        <v>1096028.1380805</v>
      </c>
      <c r="L38" s="31">
        <v>1972850.62231129</v>
      </c>
      <c r="M38" s="31">
        <v>2027652.0453481</v>
      </c>
      <c r="N38" s="31">
        <v>1187363.82696772</v>
      </c>
      <c r="O38" s="5">
        <f>SUM(C38:N38)</f>
        <v>18267135.6612802</v>
      </c>
      <c r="P38" s="29">
        <f>O38/$O$16</f>
        <v>0.186663102457947</v>
      </c>
      <c r="Q38" s="6" t="s">
        <v>91</v>
      </c>
    </row>
    <row r="39" ht="16.8" spans="1:17">
      <c r="A39" s="5"/>
      <c r="B39" s="4" t="s">
        <v>53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5">
        <f>SUM(C39:N39)</f>
        <v>0</v>
      </c>
      <c r="P39" s="29">
        <f>O39/$O$16</f>
        <v>0</v>
      </c>
      <c r="Q39" s="6" t="s">
        <v>91</v>
      </c>
    </row>
    <row r="40" ht="16.8" collapsed="1" spans="1:17">
      <c r="A40" s="5"/>
      <c r="B40" s="4" t="s">
        <v>55</v>
      </c>
      <c r="C40" s="31">
        <v>411010.552930868</v>
      </c>
      <c r="D40" s="31">
        <v>342508.792474344</v>
      </c>
      <c r="E40" s="31">
        <v>319674.874414309</v>
      </c>
      <c r="F40" s="31">
        <v>296840.948806538</v>
      </c>
      <c r="G40" s="31">
        <v>493212.662153879</v>
      </c>
      <c r="H40" s="31">
        <v>506913.017227807</v>
      </c>
      <c r="I40" s="31">
        <v>283140.616420857</v>
      </c>
      <c r="J40" s="31">
        <v>342508.792714558</v>
      </c>
      <c r="K40" s="31">
        <v>274007.034520124</v>
      </c>
      <c r="L40" s="31">
        <v>493212.655577822</v>
      </c>
      <c r="M40" s="31">
        <v>506913.011337025</v>
      </c>
      <c r="N40" s="31">
        <v>296840.956741931</v>
      </c>
      <c r="O40" s="5">
        <f>SUM(C40:N40)</f>
        <v>4566783.91532006</v>
      </c>
      <c r="P40" s="29">
        <f>O40/$O$16</f>
        <v>0.0466657756144868</v>
      </c>
      <c r="Q40" s="6" t="s">
        <v>91</v>
      </c>
    </row>
    <row r="41" ht="16.8" hidden="1" outlineLevel="1" spans="1:17">
      <c r="A41" s="5"/>
      <c r="B41" s="4" t="s">
        <v>57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29">
        <f>O38/$O$16</f>
        <v>0.186663102457947</v>
      </c>
      <c r="Q41" s="6" t="s">
        <v>91</v>
      </c>
    </row>
    <row r="42" ht="16.8" hidden="1" outlineLevel="1" spans="1:17">
      <c r="A42" s="5"/>
      <c r="B42" s="4" t="s">
        <v>58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29">
        <f>O39/$O$16</f>
        <v>0</v>
      </c>
      <c r="Q42" s="6" t="s">
        <v>91</v>
      </c>
    </row>
    <row r="43" ht="16.8" hidden="1" outlineLevel="1" spans="1:17">
      <c r="A43" s="5"/>
      <c r="B43" s="4" t="s">
        <v>59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29">
        <f>O40/$O$16</f>
        <v>0.0466657756144868</v>
      </c>
      <c r="Q43" s="6" t="s">
        <v>91</v>
      </c>
    </row>
    <row r="44" ht="16.8" spans="1:17">
      <c r="B44" s="17" t="s">
        <v>60</v>
      </c>
      <c r="C44" s="18">
        <f t="shared" ref="C44:N44" si="19">SUM(C45:C46)</f>
        <v>134604.049396917</v>
      </c>
      <c r="D44" s="18">
        <f t="shared" si="19"/>
        <v>150724.56835303</v>
      </c>
      <c r="E44" s="18">
        <f t="shared" si="19"/>
        <v>118816.954991967</v>
      </c>
      <c r="F44" s="18">
        <f t="shared" si="19"/>
        <v>105897.712408878</v>
      </c>
      <c r="G44" s="18">
        <f t="shared" si="19"/>
        <v>197158.988555915</v>
      </c>
      <c r="H44" s="18">
        <f t="shared" si="19"/>
        <v>180859.994449498</v>
      </c>
      <c r="I44" s="18">
        <f t="shared" si="19"/>
        <v>137867.989551467</v>
      </c>
      <c r="J44" s="18">
        <f t="shared" si="19"/>
        <v>177932.197758759</v>
      </c>
      <c r="K44" s="18">
        <f t="shared" si="19"/>
        <v>136100.453058508</v>
      </c>
      <c r="L44" s="18">
        <f t="shared" si="19"/>
        <v>200517.37514985</v>
      </c>
      <c r="M44" s="18">
        <f t="shared" si="19"/>
        <v>227226.871138156</v>
      </c>
      <c r="N44" s="18">
        <f t="shared" si="19"/>
        <v>189523.323063161</v>
      </c>
      <c r="O44" s="18">
        <f>SUM(C44:N44)</f>
        <v>1957230.47787611</v>
      </c>
      <c r="P44" s="23">
        <f>O44/$O$16</f>
        <v>0.02</v>
      </c>
      <c r="Q44" s="6"/>
    </row>
    <row r="45" ht="16.8" spans="1:17">
      <c r="A45" s="5"/>
      <c r="B45" s="4" t="s">
        <v>61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5"/>
      <c r="P45" s="29">
        <v>0.01</v>
      </c>
      <c r="Q45" s="6" t="s">
        <v>92</v>
      </c>
    </row>
    <row r="46" ht="16.8" spans="1:17">
      <c r="A46" s="5"/>
      <c r="B46" s="4" t="s">
        <v>63</v>
      </c>
      <c r="C46" s="30">
        <f t="shared" ref="C46:N46" si="20">C16*$P$46</f>
        <v>134604.049396917</v>
      </c>
      <c r="D46" s="30">
        <f t="shared" si="20"/>
        <v>150724.56835303</v>
      </c>
      <c r="E46" s="30">
        <f t="shared" si="20"/>
        <v>118816.954991967</v>
      </c>
      <c r="F46" s="30">
        <f t="shared" si="20"/>
        <v>105897.712408878</v>
      </c>
      <c r="G46" s="30">
        <f t="shared" si="20"/>
        <v>197158.988555915</v>
      </c>
      <c r="H46" s="30">
        <f t="shared" si="20"/>
        <v>180859.994449498</v>
      </c>
      <c r="I46" s="30">
        <f t="shared" si="20"/>
        <v>137867.989551467</v>
      </c>
      <c r="J46" s="30">
        <f t="shared" si="20"/>
        <v>177932.197758759</v>
      </c>
      <c r="K46" s="30">
        <f t="shared" si="20"/>
        <v>136100.453058508</v>
      </c>
      <c r="L46" s="30">
        <f t="shared" si="20"/>
        <v>200517.37514985</v>
      </c>
      <c r="M46" s="30">
        <f t="shared" si="20"/>
        <v>227226.871138156</v>
      </c>
      <c r="N46" s="30">
        <f t="shared" si="20"/>
        <v>189523.323063161</v>
      </c>
      <c r="O46" s="5">
        <f t="shared" ref="O46:O60" si="21">SUM(C46:N46)</f>
        <v>1957230.47787611</v>
      </c>
      <c r="P46" s="29">
        <v>0.02</v>
      </c>
      <c r="Q46" s="4" t="s">
        <v>83</v>
      </c>
    </row>
    <row r="47" ht="16.8" spans="1:17">
      <c r="B47" s="17" t="s">
        <v>65</v>
      </c>
      <c r="C47" s="18">
        <f t="shared" ref="C47:N47" si="22">SUM(C48:C51)</f>
        <v>0</v>
      </c>
      <c r="D47" s="18">
        <f t="shared" si="22"/>
        <v>0</v>
      </c>
      <c r="E47" s="18">
        <f t="shared" si="22"/>
        <v>0</v>
      </c>
      <c r="F47" s="18">
        <f t="shared" si="22"/>
        <v>0</v>
      </c>
      <c r="G47" s="18">
        <f t="shared" si="22"/>
        <v>0</v>
      </c>
      <c r="H47" s="18">
        <f t="shared" si="22"/>
        <v>0</v>
      </c>
      <c r="I47" s="18">
        <f t="shared" si="22"/>
        <v>0</v>
      </c>
      <c r="J47" s="18">
        <f t="shared" si="22"/>
        <v>0</v>
      </c>
      <c r="K47" s="18">
        <f t="shared" si="22"/>
        <v>0</v>
      </c>
      <c r="L47" s="18">
        <f t="shared" si="22"/>
        <v>0</v>
      </c>
      <c r="M47" s="18">
        <f t="shared" si="22"/>
        <v>0</v>
      </c>
      <c r="N47" s="18">
        <f t="shared" si="22"/>
        <v>0</v>
      </c>
      <c r="O47" s="18">
        <f t="shared" si="21"/>
        <v>0</v>
      </c>
      <c r="P47" s="23">
        <f t="shared" ref="P47:P52" si="23">O47/$O$16</f>
        <v>0</v>
      </c>
      <c r="Q47" s="6"/>
    </row>
    <row r="48" ht="16.8" spans="1:17">
      <c r="A48" s="5"/>
      <c r="B48" s="4" t="s">
        <v>66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5">
        <f t="shared" si="21"/>
        <v>0</v>
      </c>
      <c r="P48" s="29">
        <f t="shared" si="23"/>
        <v>0</v>
      </c>
      <c r="Q48" s="4" t="s">
        <v>95</v>
      </c>
    </row>
    <row r="49" ht="16.8" spans="1:18">
      <c r="A49" s="5"/>
      <c r="B49" s="4" t="s">
        <v>67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5">
        <f t="shared" si="21"/>
        <v>0</v>
      </c>
      <c r="P49" s="29">
        <f t="shared" si="23"/>
        <v>0</v>
      </c>
      <c r="Q49" s="4" t="s">
        <v>95</v>
      </c>
    </row>
    <row r="50" ht="16.8" spans="1:18">
      <c r="A50" s="5"/>
      <c r="B50" s="4" t="s">
        <v>68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5">
        <f t="shared" si="21"/>
        <v>0</v>
      </c>
      <c r="P50" s="29">
        <f t="shared" si="23"/>
        <v>0</v>
      </c>
      <c r="Q50" s="4" t="s">
        <v>95</v>
      </c>
    </row>
    <row r="51" ht="16.8" spans="1:18">
      <c r="B51" s="4" t="s">
        <v>69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5">
        <f t="shared" si="21"/>
        <v>0</v>
      </c>
      <c r="P51" s="29">
        <f t="shared" si="23"/>
        <v>0</v>
      </c>
      <c r="Q51" s="4" t="s">
        <v>95</v>
      </c>
    </row>
    <row r="52" ht="16.8" spans="1:18">
      <c r="B52" s="21" t="s">
        <v>70</v>
      </c>
      <c r="C52" s="22">
        <f t="shared" ref="C52:N52" si="24">SUM(C26,C37,C44,C47)</f>
        <v>2278716.28722179</v>
      </c>
      <c r="D52" s="22">
        <f t="shared" si="24"/>
        <v>2177452.6897017</v>
      </c>
      <c r="E52" s="22">
        <f t="shared" si="24"/>
        <v>2270795.6056484</v>
      </c>
      <c r="F52" s="22">
        <f t="shared" si="24"/>
        <v>1901003.36724832</v>
      </c>
      <c r="G52" s="22">
        <f t="shared" si="24"/>
        <v>4015023.14832687</v>
      </c>
      <c r="H52" s="22">
        <f t="shared" si="24"/>
        <v>3497755.85428016</v>
      </c>
      <c r="I52" s="22">
        <f t="shared" si="24"/>
        <v>1697258.50800775</v>
      </c>
      <c r="J52" s="22">
        <f t="shared" si="24"/>
        <v>2139225.21321729</v>
      </c>
      <c r="K52" s="22">
        <f t="shared" si="24"/>
        <v>1704554.41597591</v>
      </c>
      <c r="L52" s="22">
        <f t="shared" si="24"/>
        <v>3374981.10095936</v>
      </c>
      <c r="M52" s="22">
        <f t="shared" si="24"/>
        <v>3040860.54326719</v>
      </c>
      <c r="N52" s="22">
        <f t="shared" si="24"/>
        <v>1838955.83509169</v>
      </c>
      <c r="O52" s="22">
        <f t="shared" si="21"/>
        <v>29936582.5689464</v>
      </c>
      <c r="P52" s="24">
        <f t="shared" si="23"/>
        <v>0.305907586330172</v>
      </c>
      <c r="Q52" s="6"/>
    </row>
    <row r="53" ht="16.8" spans="1:18">
      <c r="A53" s="5"/>
      <c r="B53" s="4" t="s">
        <v>71</v>
      </c>
      <c r="C53" s="30">
        <v>900178.0293</v>
      </c>
      <c r="D53" s="30">
        <v>1007985.6105</v>
      </c>
      <c r="E53" s="30">
        <v>794600.2581</v>
      </c>
      <c r="F53" s="30">
        <v>708201.5325</v>
      </c>
      <c r="G53" s="30">
        <v>1288209.6205</v>
      </c>
      <c r="H53" s="30">
        <v>1181714.2425</v>
      </c>
      <c r="I53" s="30">
        <v>922005.9552</v>
      </c>
      <c r="J53" s="30">
        <v>1189939.3506</v>
      </c>
      <c r="K53" s="30">
        <v>910185.3783</v>
      </c>
      <c r="L53" s="30">
        <v>1340979.981</v>
      </c>
      <c r="M53" s="30">
        <v>1484669.0155</v>
      </c>
      <c r="N53" s="30">
        <v>1267456.1592</v>
      </c>
      <c r="O53" s="5">
        <f t="shared" si="21"/>
        <v>12996125.1332</v>
      </c>
      <c r="P53" s="29">
        <v>0.053</v>
      </c>
      <c r="Q53" s="6"/>
    </row>
    <row r="54" ht="16.8" spans="1:18">
      <c r="A54" s="5"/>
      <c r="B54" s="4" t="s">
        <v>73</v>
      </c>
      <c r="C54" s="30">
        <f t="shared" ref="C54:N54" si="25">C16*$P$54</f>
        <v>94222.8345778419</v>
      </c>
      <c r="D54" s="30">
        <f t="shared" si="25"/>
        <v>105507.197847121</v>
      </c>
      <c r="E54" s="30">
        <f t="shared" si="25"/>
        <v>83171.8684943767</v>
      </c>
      <c r="F54" s="30">
        <f t="shared" si="25"/>
        <v>74128.3986862149</v>
      </c>
      <c r="G54" s="30">
        <f t="shared" si="25"/>
        <v>138011.291989141</v>
      </c>
      <c r="H54" s="30">
        <f t="shared" si="25"/>
        <v>126601.996114648</v>
      </c>
      <c r="I54" s="30">
        <f t="shared" si="25"/>
        <v>96507.5926860269</v>
      </c>
      <c r="J54" s="30">
        <f t="shared" si="25"/>
        <v>124552.538431132</v>
      </c>
      <c r="K54" s="30">
        <f t="shared" si="25"/>
        <v>95270.3171409556</v>
      </c>
      <c r="L54" s="30">
        <f t="shared" si="25"/>
        <v>140362.162604895</v>
      </c>
      <c r="M54" s="30">
        <f t="shared" si="25"/>
        <v>159058.809796709</v>
      </c>
      <c r="N54" s="30">
        <f t="shared" si="25"/>
        <v>132666.326144213</v>
      </c>
      <c r="O54" s="5">
        <f t="shared" si="21"/>
        <v>1370061.33451327</v>
      </c>
      <c r="P54" s="29">
        <v>0.014</v>
      </c>
      <c r="Q54" s="6"/>
    </row>
    <row r="55" ht="16.8" spans="1:18">
      <c r="A55" s="5"/>
      <c r="B55" s="4" t="s">
        <v>75</v>
      </c>
      <c r="C55" s="30">
        <v>493123.688004847</v>
      </c>
      <c r="D55" s="30">
        <v>322459.142275067</v>
      </c>
      <c r="E55" s="30">
        <v>251515.619897687</v>
      </c>
      <c r="F55" s="30">
        <v>387068.263223837</v>
      </c>
      <c r="G55" s="30">
        <v>332413.134985326</v>
      </c>
      <c r="H55" s="30">
        <v>232878.342054769</v>
      </c>
      <c r="I55" s="30">
        <v>324464.036453058</v>
      </c>
      <c r="J55" s="30">
        <v>251022.506011283</v>
      </c>
      <c r="K55" s="30">
        <v>345893.1370234</v>
      </c>
      <c r="L55" s="30">
        <v>273022.666534313</v>
      </c>
      <c r="M55" s="30">
        <v>239135.964274375</v>
      </c>
      <c r="N55" s="30">
        <v>233319.414106497</v>
      </c>
      <c r="O55" s="5">
        <f t="shared" si="21"/>
        <v>3686315.91484446</v>
      </c>
      <c r="P55" s="29">
        <v>0.03</v>
      </c>
      <c r="Q55" s="6"/>
    </row>
    <row r="56" ht="16.8" spans="1:18">
      <c r="A56" s="5"/>
      <c r="B56" s="4" t="s">
        <v>77</v>
      </c>
      <c r="C56" s="30">
        <f t="shared" ref="C56:N56" si="26">C16*$P$56</f>
        <v>6730.20246984585</v>
      </c>
      <c r="D56" s="30">
        <f t="shared" si="26"/>
        <v>7536.22841765149</v>
      </c>
      <c r="E56" s="30">
        <f t="shared" si="26"/>
        <v>5940.84774959834</v>
      </c>
      <c r="F56" s="30">
        <f t="shared" si="26"/>
        <v>5294.88562044392</v>
      </c>
      <c r="G56" s="30">
        <f t="shared" si="26"/>
        <v>9857.94942779576</v>
      </c>
      <c r="H56" s="30">
        <f t="shared" si="26"/>
        <v>9042.99972247488</v>
      </c>
      <c r="I56" s="30">
        <f t="shared" si="26"/>
        <v>6893.39947757335</v>
      </c>
      <c r="J56" s="30">
        <f t="shared" si="26"/>
        <v>8896.60988793796</v>
      </c>
      <c r="K56" s="30">
        <f t="shared" si="26"/>
        <v>6805.0226529254</v>
      </c>
      <c r="L56" s="30">
        <f t="shared" si="26"/>
        <v>10025.8687574925</v>
      </c>
      <c r="M56" s="30">
        <f t="shared" si="26"/>
        <v>11361.3435569078</v>
      </c>
      <c r="N56" s="30">
        <f t="shared" si="26"/>
        <v>9476.16615315805</v>
      </c>
      <c r="O56" s="5">
        <f t="shared" si="21"/>
        <v>97861.5238938053</v>
      </c>
      <c r="P56" s="29">
        <v>0.001</v>
      </c>
      <c r="Q56" s="6"/>
    </row>
    <row r="57" ht="16.8" spans="1:18">
      <c r="A57" s="5"/>
      <c r="B57" s="4" t="s">
        <v>79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5">
        <f t="shared" si="21"/>
        <v>0</v>
      </c>
      <c r="P57" s="29">
        <f>O57/$O$16</f>
        <v>0</v>
      </c>
      <c r="Q57" s="4"/>
    </row>
    <row r="58" ht="16.8" spans="1:18">
      <c r="B58" s="21" t="s">
        <v>80</v>
      </c>
      <c r="C58" s="22">
        <f t="shared" ref="C58:N58" si="27">SUM(C53:C57)</f>
        <v>1494254.75435253</v>
      </c>
      <c r="D58" s="22">
        <f t="shared" si="27"/>
        <v>1443488.17903984</v>
      </c>
      <c r="E58" s="22">
        <f t="shared" si="27"/>
        <v>1135228.59424166</v>
      </c>
      <c r="F58" s="22">
        <f t="shared" si="27"/>
        <v>1174693.0800305</v>
      </c>
      <c r="G58" s="22">
        <f t="shared" si="27"/>
        <v>1768491.99690226</v>
      </c>
      <c r="H58" s="22">
        <f t="shared" si="27"/>
        <v>1550237.58039189</v>
      </c>
      <c r="I58" s="22">
        <f t="shared" si="27"/>
        <v>1349870.98381666</v>
      </c>
      <c r="J58" s="22">
        <f t="shared" si="27"/>
        <v>1574411.00493035</v>
      </c>
      <c r="K58" s="22">
        <f t="shared" si="27"/>
        <v>1358153.85511728</v>
      </c>
      <c r="L58" s="22">
        <f t="shared" si="27"/>
        <v>1764390.6788967</v>
      </c>
      <c r="M58" s="22">
        <f t="shared" si="27"/>
        <v>1894225.13312799</v>
      </c>
      <c r="N58" s="22">
        <f t="shared" si="27"/>
        <v>1642918.06560387</v>
      </c>
      <c r="O58" s="22">
        <f t="shared" si="21"/>
        <v>18150363.9064515</v>
      </c>
      <c r="P58" s="24">
        <f>O58/$O$16</f>
        <v>0.185469867873174</v>
      </c>
      <c r="Q58" s="6"/>
    </row>
    <row r="59" ht="16.8" spans="1:18">
      <c r="A59" s="7"/>
      <c r="B59" s="12" t="s">
        <v>81</v>
      </c>
      <c r="C59" s="13">
        <f t="shared" ref="C59:N59" si="28">SUM(C52,C58)</f>
        <v>3772971.04157433</v>
      </c>
      <c r="D59" s="13">
        <f t="shared" si="28"/>
        <v>3620940.86874154</v>
      </c>
      <c r="E59" s="13">
        <f t="shared" si="28"/>
        <v>3406024.19989007</v>
      </c>
      <c r="F59" s="13">
        <f t="shared" si="28"/>
        <v>3075696.44727881</v>
      </c>
      <c r="G59" s="13">
        <f t="shared" si="28"/>
        <v>5783515.14522913</v>
      </c>
      <c r="H59" s="13">
        <f t="shared" si="28"/>
        <v>5047993.43467205</v>
      </c>
      <c r="I59" s="13">
        <f t="shared" si="28"/>
        <v>3047129.49182441</v>
      </c>
      <c r="J59" s="13">
        <f t="shared" si="28"/>
        <v>3713636.21814764</v>
      </c>
      <c r="K59" s="13">
        <f t="shared" si="28"/>
        <v>3062708.27109319</v>
      </c>
      <c r="L59" s="13">
        <f t="shared" si="28"/>
        <v>5139371.77985607</v>
      </c>
      <c r="M59" s="13">
        <f t="shared" si="28"/>
        <v>4935085.67639519</v>
      </c>
      <c r="N59" s="13">
        <f t="shared" si="28"/>
        <v>3481873.90069556</v>
      </c>
      <c r="O59" s="13">
        <f t="shared" si="21"/>
        <v>48086946.475398</v>
      </c>
      <c r="P59" s="27">
        <f>O59/$O$16</f>
        <v>0.491377454203346</v>
      </c>
      <c r="Q59" s="32"/>
      <c r="R59" s="33"/>
    </row>
    <row r="60" ht="16.8" spans="1:18">
      <c r="A60" s="7"/>
      <c r="B60" s="12" t="s">
        <v>82</v>
      </c>
      <c r="C60" s="13">
        <f t="shared" ref="C60:N60" si="29">C22-C59</f>
        <v>-508822.843699089</v>
      </c>
      <c r="D60" s="13">
        <f t="shared" si="29"/>
        <v>109492.197995951</v>
      </c>
      <c r="E60" s="13">
        <f t="shared" si="29"/>
        <v>-405896.086342904</v>
      </c>
      <c r="F60" s="13">
        <f t="shared" si="29"/>
        <v>-348830.352750193</v>
      </c>
      <c r="G60" s="13">
        <f t="shared" si="29"/>
        <v>-608091.695636358</v>
      </c>
      <c r="H60" s="13">
        <f t="shared" si="29"/>
        <v>-209988.583147989</v>
      </c>
      <c r="I60" s="13">
        <f t="shared" si="29"/>
        <v>709773.223453062</v>
      </c>
      <c r="J60" s="13">
        <f t="shared" si="29"/>
        <v>1312948.36853731</v>
      </c>
      <c r="K60" s="13">
        <f t="shared" si="29"/>
        <v>850179.754338917</v>
      </c>
      <c r="L60" s="13">
        <f t="shared" si="29"/>
        <v>725761.443277052</v>
      </c>
      <c r="M60" s="13">
        <f t="shared" si="29"/>
        <v>1824913.73996496</v>
      </c>
      <c r="N60" s="13">
        <f t="shared" si="29"/>
        <v>2251206.62196507</v>
      </c>
      <c r="O60" s="13">
        <f t="shared" si="21"/>
        <v>5702645.78795578</v>
      </c>
      <c r="P60" s="27">
        <f>O60/$O$16</f>
        <v>0.0582726035836517</v>
      </c>
      <c r="Q60" s="32"/>
      <c r="R60" s="34"/>
    </row>
    <row r="61" spans="1:18">
      <c r="Q61" s="6"/>
    </row>
    <row r="62" spans="1:18"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Q62" s="6"/>
    </row>
    <row r="63" spans="1:18">
      <c r="Q63" s="6"/>
    </row>
    <row r="64" spans="1:18">
      <c r="Q64" s="6"/>
    </row>
    <row r="65" spans="17:17">
      <c r="Q65" s="6"/>
    </row>
    <row r="66" spans="17:17">
      <c r="Q66" s="6"/>
    </row>
    <row r="67" spans="17:17">
      <c r="Q67" s="6"/>
    </row>
    <row r="68" spans="17:17">
      <c r="Q68" s="6"/>
    </row>
    <row r="69" spans="17:17">
      <c r="Q69" s="6"/>
    </row>
    <row r="70" spans="17:17">
      <c r="Q70" s="6"/>
    </row>
    <row r="71" spans="17:17">
      <c r="Q71" s="6"/>
    </row>
    <row r="72" spans="17:17">
      <c r="Q72" s="6"/>
    </row>
    <row r="73" spans="17:17">
      <c r="Q73" s="6"/>
    </row>
    <row r="74" spans="17:17">
      <c r="Q74" s="6"/>
    </row>
    <row r="75" spans="17:17">
      <c r="Q75" s="6"/>
    </row>
    <row r="76" spans="17:17">
      <c r="Q76" s="6"/>
    </row>
    <row r="77" spans="17:17">
      <c r="Q77" s="6"/>
    </row>
    <row r="78" spans="17:17">
      <c r="Q78" s="6"/>
    </row>
    <row r="79" spans="17:17">
      <c r="Q79" s="6"/>
    </row>
    <row r="80" spans="17:17">
      <c r="Q80" s="6"/>
    </row>
    <row r="81" spans="17:17">
      <c r="Q81" s="6"/>
    </row>
    <row r="82" spans="17:17">
      <c r="Q82" s="6"/>
    </row>
    <row r="83" spans="17:17">
      <c r="Q83" s="6"/>
    </row>
    <row r="84" spans="17:17">
      <c r="Q84" s="6"/>
    </row>
    <row r="85" spans="17:17">
      <c r="Q85" s="6"/>
    </row>
    <row r="86" spans="17:17">
      <c r="Q86" s="6"/>
    </row>
    <row r="87" spans="17:17">
      <c r="Q87" s="6"/>
    </row>
    <row r="88" spans="17:17">
      <c r="Q88" s="6"/>
    </row>
    <row r="89" spans="17:17">
      <c r="Q89" s="6"/>
    </row>
    <row r="90" spans="17:17">
      <c r="Q90" s="6"/>
    </row>
    <row r="91" spans="17:17">
      <c r="Q91" s="6"/>
    </row>
    <row r="92" spans="17:17">
      <c r="Q92" s="6"/>
    </row>
    <row r="93" spans="17:17">
      <c r="Q93" s="6"/>
    </row>
    <row r="94" spans="17:17">
      <c r="Q94" s="6"/>
    </row>
    <row r="95" spans="17:17">
      <c r="Q95" s="6"/>
    </row>
    <row r="96" spans="17:17">
      <c r="Q96" s="6"/>
    </row>
    <row r="97" spans="17:17">
      <c r="Q97" s="6"/>
    </row>
    <row r="98" spans="17:17">
      <c r="Q98" s="6"/>
    </row>
    <row r="99" spans="17:17">
      <c r="Q99" s="6"/>
    </row>
    <row r="100" spans="17:17">
      <c r="Q100" s="6"/>
    </row>
    <row r="101" spans="17:17">
      <c r="Q101" s="6"/>
    </row>
    <row r="102" spans="17:17">
      <c r="Q102" s="6"/>
    </row>
    <row r="103" spans="17:17">
      <c r="Q103" s="6"/>
    </row>
    <row r="104" spans="17:17">
      <c r="Q104" s="6"/>
    </row>
    <row r="105" spans="17:17">
      <c r="Q105" s="6"/>
    </row>
    <row r="106" spans="17:17">
      <c r="Q106" s="6"/>
    </row>
    <row r="107" spans="17:17">
      <c r="Q107" s="6"/>
    </row>
    <row r="108" spans="17:17">
      <c r="Q108" s="6"/>
    </row>
    <row r="109" spans="17:17">
      <c r="Q109" s="6"/>
    </row>
    <row r="110" spans="17:17">
      <c r="Q110" s="6"/>
    </row>
    <row r="111" spans="17:17">
      <c r="Q111" s="6"/>
    </row>
    <row r="112" spans="17:17">
      <c r="Q112" s="6"/>
    </row>
    <row r="113" spans="17:17">
      <c r="Q113" s="6"/>
    </row>
    <row r="114" spans="17:17">
      <c r="Q114" s="6"/>
    </row>
    <row r="115" spans="17:17">
      <c r="Q115" s="6"/>
    </row>
    <row r="116" spans="17:17">
      <c r="Q116" s="6"/>
    </row>
    <row r="117" spans="17:17">
      <c r="Q117" s="6"/>
    </row>
    <row r="118" spans="17:17">
      <c r="Q118" s="6"/>
    </row>
    <row r="119" spans="17:17">
      <c r="Q119" s="6"/>
    </row>
    <row r="120" spans="17:17">
      <c r="Q120" s="6"/>
    </row>
    <row r="121" spans="17:17">
      <c r="Q121" s="6"/>
    </row>
    <row r="122" spans="17:17">
      <c r="Q122" s="6"/>
    </row>
    <row r="123" spans="17:17">
      <c r="Q123" s="6"/>
    </row>
    <row r="124" spans="17:17">
      <c r="Q124" s="6"/>
    </row>
    <row r="125" spans="17:17">
      <c r="Q125" s="6"/>
    </row>
    <row r="126" spans="17:17">
      <c r="Q126" s="6"/>
    </row>
    <row r="127" spans="17:17">
      <c r="Q127" s="6"/>
    </row>
    <row r="128" spans="17:17">
      <c r="Q128" s="6"/>
    </row>
    <row r="129" spans="17:17">
      <c r="Q129" s="6"/>
    </row>
    <row r="130" spans="17:17">
      <c r="Q130" s="6"/>
    </row>
    <row r="131" spans="17:17">
      <c r="Q131" s="6"/>
    </row>
    <row r="132" spans="17:17">
      <c r="Q132" s="6"/>
    </row>
    <row r="133" spans="17:17">
      <c r="Q133" s="6"/>
    </row>
    <row r="134" spans="17:17">
      <c r="Q134" s="6"/>
    </row>
    <row r="135" spans="17:17">
      <c r="Q135" s="6"/>
    </row>
    <row r="136" spans="17:17">
      <c r="Q136" s="6"/>
    </row>
    <row r="137" spans="17:17">
      <c r="Q137" s="6"/>
    </row>
    <row r="138" spans="17:17">
      <c r="Q138" s="6"/>
    </row>
    <row r="139" spans="17:17">
      <c r="Q139" s="6"/>
    </row>
    <row r="140" spans="17:17">
      <c r="Q140" s="6"/>
    </row>
    <row r="141" spans="17:17">
      <c r="Q141" s="6"/>
    </row>
    <row r="142" spans="17:17">
      <c r="Q142" s="6"/>
    </row>
    <row r="143" spans="17:17">
      <c r="Q143" s="6"/>
    </row>
    <row r="144" spans="17:17">
      <c r="Q144" s="6"/>
    </row>
    <row r="145" spans="17:17">
      <c r="Q145" s="6"/>
    </row>
    <row r="146" spans="17:17">
      <c r="Q146" s="6"/>
    </row>
    <row r="147" spans="17:17">
      <c r="Q147" s="6"/>
    </row>
    <row r="148" spans="17:17">
      <c r="Q148" s="6"/>
    </row>
    <row r="149" spans="17:17">
      <c r="Q149" s="6"/>
    </row>
    <row r="150" spans="17:17">
      <c r="Q150" s="6"/>
    </row>
    <row r="151" spans="17:17">
      <c r="Q151" s="6"/>
    </row>
    <row r="152" spans="17:17">
      <c r="Q152" s="6"/>
    </row>
    <row r="153" spans="17:17">
      <c r="Q153" s="6"/>
    </row>
    <row r="154" spans="17:17">
      <c r="Q154" s="6"/>
    </row>
    <row r="155" spans="17:17">
      <c r="Q155" s="6"/>
    </row>
    <row r="156" spans="17:17">
      <c r="Q156" s="6"/>
    </row>
    <row r="157" spans="17:17">
      <c r="Q157" s="6"/>
    </row>
    <row r="158" spans="17:17">
      <c r="Q158" s="6"/>
    </row>
    <row r="159" spans="17:17">
      <c r="Q159" s="6"/>
    </row>
    <row r="160" spans="17:17">
      <c r="Q160" s="6"/>
    </row>
    <row r="161" spans="17:17">
      <c r="Q161" s="6"/>
    </row>
    <row r="162" spans="17:17">
      <c r="Q162" s="6"/>
    </row>
    <row r="163" spans="17:17">
      <c r="Q163" s="6"/>
    </row>
    <row r="164" spans="17:17">
      <c r="Q164" s="6"/>
    </row>
    <row r="165" spans="17:17">
      <c r="Q165" s="6"/>
    </row>
    <row r="166" spans="17:17">
      <c r="Q166" s="6"/>
    </row>
    <row r="167" spans="17:17">
      <c r="Q167" s="6"/>
    </row>
    <row r="168" spans="17:17">
      <c r="Q168" s="6"/>
    </row>
    <row r="169" spans="17:17">
      <c r="Q169" s="6"/>
    </row>
    <row r="170" spans="17:17">
      <c r="Q170" s="6"/>
    </row>
    <row r="171" spans="17:17">
      <c r="Q171" s="6"/>
    </row>
    <row r="172" spans="17:17">
      <c r="Q172" s="6"/>
    </row>
    <row r="173" spans="17:17">
      <c r="Q173" s="6"/>
    </row>
    <row r="174" spans="17:17">
      <c r="Q174" s="6"/>
    </row>
    <row r="175" spans="17:17">
      <c r="Q175" s="6"/>
    </row>
    <row r="176" spans="17:17">
      <c r="Q176" s="6"/>
    </row>
    <row r="177" spans="17:17">
      <c r="Q177" s="6"/>
    </row>
    <row r="178" spans="17:17">
      <c r="Q178" s="6"/>
    </row>
    <row r="179" spans="17:17">
      <c r="Q179" s="6"/>
    </row>
    <row r="180" spans="17:17">
      <c r="Q180" s="6"/>
    </row>
    <row r="181" spans="17:17">
      <c r="Q181" s="6"/>
    </row>
    <row r="182" spans="17:17">
      <c r="Q182" s="6"/>
    </row>
    <row r="183" spans="17:17">
      <c r="Q183" s="6"/>
    </row>
    <row r="184" spans="17:17">
      <c r="Q184" s="6"/>
    </row>
    <row r="185" spans="17:17">
      <c r="Q185" s="6"/>
    </row>
    <row r="186" spans="17:17">
      <c r="Q186" s="6"/>
    </row>
    <row r="187" spans="17:17">
      <c r="Q187" s="6"/>
    </row>
    <row r="188" spans="17:17">
      <c r="Q188" s="6"/>
    </row>
    <row r="189" spans="17:17">
      <c r="Q189" s="6"/>
    </row>
    <row r="190" spans="17:17">
      <c r="Q190" s="6"/>
    </row>
    <row r="191" spans="17:17">
      <c r="Q191" s="6"/>
    </row>
    <row r="192" spans="17:17">
      <c r="Q192" s="6"/>
    </row>
    <row r="193" spans="17:17">
      <c r="Q193" s="6"/>
    </row>
    <row r="194" spans="17:17">
      <c r="Q194" s="6"/>
    </row>
    <row r="195" spans="17:17">
      <c r="Q195" s="6"/>
    </row>
    <row r="196" spans="17:17">
      <c r="Q196" s="6"/>
    </row>
    <row r="197" spans="17:17">
      <c r="Q197" s="6"/>
    </row>
    <row r="198" spans="17:17">
      <c r="Q198" s="6"/>
    </row>
    <row r="199" spans="17:17">
      <c r="Q199" s="6"/>
    </row>
    <row r="200" spans="17:17">
      <c r="Q200" s="6"/>
    </row>
    <row r="201" spans="17:17">
      <c r="Q201" s="6"/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Y26年渠道汇总</vt:lpstr>
      <vt:lpstr>26年全渠道汇总</vt:lpstr>
      <vt:lpstr>26年全渠道汇总（副本计算）</vt:lpstr>
      <vt:lpstr>26年全渠道汇总（仅电商）</vt:lpstr>
      <vt:lpstr>淘系-小计</vt:lpstr>
      <vt:lpstr>淘系</vt:lpstr>
      <vt:lpstr>淘系达播</vt:lpstr>
      <vt:lpstr>抖快-小计</vt:lpstr>
      <vt:lpstr>抖音</vt:lpstr>
      <vt:lpstr>抖音达播</vt:lpstr>
      <vt:lpstr>快手</vt:lpstr>
      <vt:lpstr>京东-小计</vt:lpstr>
      <vt:lpstr>京东POP财经口径</vt:lpstr>
      <vt:lpstr>京东自营财经口径</vt:lpstr>
      <vt:lpstr>小店-小计</vt:lpstr>
      <vt:lpstr>PDD</vt:lpstr>
      <vt:lpstr>得物</vt:lpstr>
      <vt:lpstr>视频号+官网+小程序</vt:lpstr>
      <vt:lpstr>唯品会</vt:lpstr>
      <vt:lpstr>线下门店-小计</vt:lpstr>
      <vt:lpstr>线下门店-直营</vt:lpstr>
      <vt:lpstr>线下门店-经销</vt:lpstr>
      <vt:lpstr>线下渠道</vt:lpstr>
      <vt:lpstr>京东自营业务口径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</cp:lastModifiedBy>
  <dcterms:created xsi:type="dcterms:W3CDTF">2026-06-01T19:36:07Z</dcterms:created>
  <dcterms:modified xsi:type="dcterms:W3CDTF">2026-06-01T19:36:54Z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DE2019EBF9C0DCFAD66E1D6A4897C642_42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