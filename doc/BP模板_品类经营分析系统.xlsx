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全渠道汇总BP" sheetId="2" state="visible" r:id="rId2"/>
    <sheet xmlns:r="http://schemas.openxmlformats.org/officeDocument/2006/relationships" name="淘系" sheetId="3" state="visible" r:id="rId3"/>
    <sheet xmlns:r="http://schemas.openxmlformats.org/officeDocument/2006/relationships" name="淘系达播" sheetId="4" state="visible" r:id="rId4"/>
    <sheet xmlns:r="http://schemas.openxmlformats.org/officeDocument/2006/relationships" name="抖音自播" sheetId="5" state="visible" r:id="rId5"/>
    <sheet xmlns:r="http://schemas.openxmlformats.org/officeDocument/2006/relationships" name="抖音达播" sheetId="6" state="visible" r:id="rId6"/>
    <sheet xmlns:r="http://schemas.openxmlformats.org/officeDocument/2006/relationships" name="快手" sheetId="7" state="visible" r:id="rId7"/>
    <sheet xmlns:r="http://schemas.openxmlformats.org/officeDocument/2006/relationships" name="京东自营-财务" sheetId="8" state="visible" r:id="rId8"/>
    <sheet xmlns:r="http://schemas.openxmlformats.org/officeDocument/2006/relationships" name="京东自营-业务" sheetId="9" state="visible" r:id="rId9"/>
    <sheet xmlns:r="http://schemas.openxmlformats.org/officeDocument/2006/relationships" name="京东POP" sheetId="10" state="visible" r:id="rId10"/>
    <sheet xmlns:r="http://schemas.openxmlformats.org/officeDocument/2006/relationships" name="拼多多" sheetId="11" state="visible" r:id="rId11"/>
    <sheet xmlns:r="http://schemas.openxmlformats.org/officeDocument/2006/relationships" name="得物" sheetId="12" state="visible" r:id="rId12"/>
    <sheet xmlns:r="http://schemas.openxmlformats.org/officeDocument/2006/relationships" name="视频号官网" sheetId="13" state="visible" r:id="rId13"/>
    <sheet xmlns:r="http://schemas.openxmlformats.org/officeDocument/2006/relationships" name="线下直营" sheetId="14" state="visible" r:id="rId14"/>
    <sheet xmlns:r="http://schemas.openxmlformats.org/officeDocument/2006/relationships" name="线下经销" sheetId="15" state="visible" r:id="rId15"/>
    <sheet xmlns:r="http://schemas.openxmlformats.org/officeDocument/2006/relationships" name="渠道GMV汇总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;(0.0%);&quot;-&quot;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1F4E79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i val="1"/>
      <color rgb="00888888"/>
      <sz val="9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0000FF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5FB"/>
      </patternFill>
    </fill>
    <fill>
      <patternFill patternType="solid">
        <fgColor rgb="00FEF9E7"/>
      </patternFill>
    </fill>
    <fill>
      <patternFill patternType="solid">
        <fgColor rgb="00FFFFFF"/>
      </patternFill>
    </fill>
    <fill>
      <patternFill patternType="solid">
        <fgColor rgb="00D5E8D4"/>
      </patternFill>
    </fill>
    <fill>
      <patternFill patternType="solid">
        <fgColor rgb="00E65100"/>
      </patternFill>
    </fill>
    <fill>
      <patternFill patternType="solid">
        <fgColor rgb="006A1B9A"/>
      </patternFill>
    </fill>
    <fill>
      <patternFill patternType="solid">
        <fgColor rgb="00FFF3E0"/>
      </patternFill>
    </fill>
    <fill>
      <patternFill patternType="solid">
        <fgColor rgb="00F3E5F5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medium">
        <color rgb="00666666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164" fontId="7" fillId="4" borderId="1" applyAlignment="1" pivotButton="0" quotePrefix="0" xfId="0">
      <alignment horizontal="center" vertical="center" wrapText="1"/>
    </xf>
    <xf numFmtId="164" fontId="8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165" fontId="10" fillId="5" borderId="1" applyAlignment="1" pivotButton="0" quotePrefix="0" xfId="0">
      <alignment horizontal="center" vertical="center" wrapText="1"/>
    </xf>
    <xf numFmtId="165" fontId="8" fillId="5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center" vertical="center" wrapText="1"/>
    </xf>
    <xf numFmtId="164" fontId="8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164" fontId="8" fillId="7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11" fillId="8" borderId="0" applyAlignment="1" pivotButton="0" quotePrefix="0" xfId="0">
      <alignment horizontal="left" vertical="center" wrapText="1"/>
    </xf>
    <xf numFmtId="0" fontId="11" fillId="9" borderId="0" applyAlignment="1" pivotButton="0" quotePrefix="0" xfId="0">
      <alignment horizontal="left" vertical="center" wrapText="1"/>
    </xf>
    <xf numFmtId="164" fontId="2" fillId="7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left" vertical="center" wrapText="1"/>
    </xf>
    <xf numFmtId="164" fontId="7" fillId="10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/>
    </xf>
    <xf numFmtId="164" fontId="7" fillId="11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 wrapText="1"/>
    </xf>
    <xf numFmtId="164" fontId="1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55" customWidth="1" min="3" max="3"/>
  </cols>
  <sheetData>
    <row r="2" ht="20" customHeight="1">
      <c r="B2" s="1" t="inlineStr">
        <is>
          <t xml:space="preserve">  品类经营分析系统 — 年度 BP 模板 使用说明</t>
        </is>
      </c>
    </row>
    <row r="4" ht="20" customHeight="1">
      <c r="B4" s="1" t="inlineStr">
        <is>
          <t xml:space="preserve">  Sheets 结构</t>
        </is>
      </c>
    </row>
    <row r="5" ht="18" customHeight="1">
      <c r="B5" s="2" t="inlineStr">
        <is>
          <t>全渠道汇总BP</t>
        </is>
      </c>
      <c r="C5" s="3" t="inlineStr">
        <is>
          <t>汇总层：直接填写全渠道合计目标（或从各渠道 sheet 手工汇总引用）</t>
        </is>
      </c>
    </row>
    <row r="6" ht="18" customHeight="1">
      <c r="B6" s="2" t="inlineStr">
        <is>
          <t>各渠道 sheet</t>
        </is>
      </c>
      <c r="C6" s="3" t="inlineStr">
        <is>
          <t>每个渠道独立 P&amp;L：淘系、淘系达播、抖音自播、抖音达播、快手、
京东自营-财务、京东自营-业务、京东POP、拼多多、得物、视频号官网、线下直营、线下经销</t>
        </is>
      </c>
    </row>
    <row r="7" ht="18" customHeight="1">
      <c r="B7" s="2" t="inlineStr">
        <is>
          <t>渠道GMV汇总</t>
        </is>
      </c>
      <c r="C7" s="3" t="inlineStr">
        <is>
          <t>汇总各渠道 GMV 目标，供横向对比和占比分析</t>
        </is>
      </c>
    </row>
    <row r="8" ht="18" customHeight="1">
      <c r="B8" s="2" t="inlineStr">
        <is>
          <t>说明（本页）</t>
        </is>
      </c>
      <c r="C8" s="3" t="inlineStr">
        <is>
          <t>颜色约定、填写步骤、口径说明</t>
        </is>
      </c>
    </row>
    <row r="10" ht="20" customHeight="1">
      <c r="B10" s="1" t="inlineStr">
        <is>
          <t xml:space="preserve">  颜色约定</t>
        </is>
      </c>
    </row>
    <row r="11" ht="18" customHeight="1">
      <c r="B11" s="2" t="inlineStr">
        <is>
          <t>蓝色字体</t>
        </is>
      </c>
      <c r="C11" s="3" t="inlineStr">
        <is>
          <t>硬编码输入 — 用户直接填写</t>
        </is>
      </c>
    </row>
    <row r="12" ht="18" customHeight="1">
      <c r="B12" s="2" t="inlineStr">
        <is>
          <t>黑色字体</t>
        </is>
      </c>
      <c r="C12" s="3" t="inlineStr">
        <is>
          <t>公式计算 — 请勿手动覆盖</t>
        </is>
      </c>
    </row>
    <row r="13" ht="18" customHeight="1">
      <c r="B13" s="2" t="inlineStr">
        <is>
          <t>浅蓝底</t>
        </is>
      </c>
      <c r="C13" s="3" t="inlineStr">
        <is>
          <t>输入行</t>
        </is>
      </c>
    </row>
    <row r="14" ht="18" customHeight="1">
      <c r="B14" s="2" t="inlineStr">
        <is>
          <t>浅绿底</t>
        </is>
      </c>
      <c r="C14" s="3" t="inlineStr">
        <is>
          <t>利润合计行</t>
        </is>
      </c>
    </row>
    <row r="15" ht="18" customHeight="1">
      <c r="B15" s="2" t="inlineStr">
        <is>
          <t>浅黄底</t>
        </is>
      </c>
      <c r="C15" s="3" t="inlineStr">
        <is>
          <t>费率/假设行</t>
        </is>
      </c>
    </row>
    <row r="16" ht="18" customHeight="1">
      <c r="B16" s="2" t="inlineStr">
        <is>
          <t>橙色横幅</t>
        </is>
      </c>
      <c r="C16" s="3" t="inlineStr">
        <is>
          <t>京东自营财务口径（Sell-In）</t>
        </is>
      </c>
    </row>
    <row r="17" ht="18" customHeight="1">
      <c r="B17" s="2" t="inlineStr">
        <is>
          <t>紫色横幅</t>
        </is>
      </c>
      <c r="C17" s="3" t="inlineStr">
        <is>
          <t>京东自营业务口径（Sell-Out）</t>
        </is>
      </c>
    </row>
    <row r="19" ht="20" customHeight="1">
      <c r="B19" s="1" t="inlineStr">
        <is>
          <t xml:space="preserve">  京东双口径说明</t>
        </is>
      </c>
    </row>
    <row r="20" ht="18" customHeight="1">
      <c r="B20" s="2" t="inlineStr">
        <is>
          <t>财务口径 Sell-In</t>
        </is>
      </c>
      <c r="C20" s="3" t="inlineStr">
        <is>
          <t>货品从我方仓库发往京东仓时确认收入。与财务报表对齐，用于毛利核算。</t>
        </is>
      </c>
    </row>
    <row r="21" ht="18" customHeight="1">
      <c r="B21" s="2" t="inlineStr">
        <is>
          <t>业务口径 Sell-Out</t>
        </is>
      </c>
      <c r="C21" s="3" t="inlineStr">
        <is>
          <t>消费者下单购买时确认。反映真实市场需求，用于经营分析和促销效果评估。</t>
        </is>
      </c>
    </row>
    <row r="22" ht="18" customHeight="1">
      <c r="B22" s="2" t="inlineStr">
        <is>
          <t>两者差额</t>
        </is>
      </c>
      <c r="C22" s="3">
        <f> 京东在途/在库库存变动。Sell-In &gt; Sell-Out → 京东库存积压；反之 → 动用库存销售。</f>
        <v/>
      </c>
    </row>
  </sheetData>
  <mergeCells count="4">
    <mergeCell ref="B4:C4"/>
    <mergeCell ref="B19:C19"/>
    <mergeCell ref="B2:C2"/>
    <mergeCell ref="B10:C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2:R58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" customWidth="1" min="2" max="2"/>
    <col width="2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9" customWidth="1" min="17" max="17"/>
    <col width="28" customWidth="1" min="18" max="18"/>
  </cols>
  <sheetData>
    <row r="1" ht="8" customHeight="1"/>
    <row r="2" ht="28" customHeight="1">
      <c r="C2" s="4" t="inlineStr">
        <is>
          <t>全渠道合计 — 年度 BP 目标</t>
        </is>
      </c>
    </row>
    <row r="3" ht="20" customHeight="1">
      <c r="C3" s="5" t="inlineStr">
        <is>
          <t>科目</t>
        </is>
      </c>
      <c r="D3" s="5" t="inlineStr">
        <is>
          <t>1月</t>
        </is>
      </c>
      <c r="E3" s="5" t="inlineStr">
        <is>
          <t>2月</t>
        </is>
      </c>
      <c r="F3" s="5" t="inlineStr">
        <is>
          <t>3月</t>
        </is>
      </c>
      <c r="G3" s="5" t="inlineStr">
        <is>
          <t>4月</t>
        </is>
      </c>
      <c r="H3" s="5" t="inlineStr">
        <is>
          <t>5月</t>
        </is>
      </c>
      <c r="I3" s="5" t="inlineStr">
        <is>
          <t>6月</t>
        </is>
      </c>
      <c r="J3" s="5" t="inlineStr">
        <is>
          <t>7月</t>
        </is>
      </c>
      <c r="K3" s="5" t="inlineStr">
        <is>
          <t>8月</t>
        </is>
      </c>
      <c r="L3" s="5" t="inlineStr">
        <is>
          <t>9月</t>
        </is>
      </c>
      <c r="M3" s="5" t="inlineStr">
        <is>
          <t>10月</t>
        </is>
      </c>
      <c r="N3" s="5" t="inlineStr">
        <is>
          <t>11月</t>
        </is>
      </c>
      <c r="O3" s="5" t="inlineStr">
        <is>
          <t>12月</t>
        </is>
      </c>
      <c r="P3" s="5" t="inlineStr">
        <is>
          <t>合计</t>
        </is>
      </c>
      <c r="Q3" s="5" t="inlineStr">
        <is>
          <t>费比</t>
        </is>
      </c>
    </row>
    <row r="4" ht="18" customHeight="1">
      <c r="C4" s="6" t="inlineStr">
        <is>
          <t xml:space="preserve">  一、GMV 层</t>
        </is>
      </c>
    </row>
    <row r="5" ht="17" customHeight="1">
      <c r="C5" s="7" t="inlineStr">
        <is>
          <t>自补前 GMV（月度目标）</t>
        </is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9">
        <f>SUM(D5:O5)</f>
        <v/>
      </c>
      <c r="Q5" s="10" t="inlineStr"/>
      <c r="R5" s="11" t="inlineStr">
        <is>
          <t>渠道填写</t>
        </is>
      </c>
    </row>
    <row r="6" ht="17" customHeight="1">
      <c r="C6" s="12" t="inlineStr">
        <is>
          <t>国补/自补费用率</t>
        </is>
      </c>
      <c r="D6" s="13" t="n">
        <v>0.1</v>
      </c>
      <c r="E6" s="13" t="n">
        <v>0.1</v>
      </c>
      <c r="F6" s="13" t="n">
        <v>0.1</v>
      </c>
      <c r="G6" s="13" t="n">
        <v>0.1</v>
      </c>
      <c r="H6" s="13" t="n">
        <v>0.1</v>
      </c>
      <c r="I6" s="13" t="n">
        <v>0.1</v>
      </c>
      <c r="J6" s="13" t="n">
        <v>0.1</v>
      </c>
      <c r="K6" s="13" t="n">
        <v>0.1</v>
      </c>
      <c r="L6" s="13" t="n">
        <v>0.1</v>
      </c>
      <c r="M6" s="13" t="n">
        <v>0.1</v>
      </c>
      <c r="N6" s="13" t="n">
        <v>0.1</v>
      </c>
      <c r="O6" s="13" t="n">
        <v>0.1</v>
      </c>
      <c r="P6" s="14">
        <f>SUM(D6:O6)</f>
        <v/>
      </c>
      <c r="Q6" s="15" t="inlineStr"/>
    </row>
    <row r="7" ht="17" customHeight="1">
      <c r="C7" s="16" t="inlineStr">
        <is>
          <t>国补/自补费用</t>
        </is>
      </c>
      <c r="D7" s="17">
        <f>D5*D6</f>
        <v/>
      </c>
      <c r="E7" s="17">
        <f>E5*E6</f>
        <v/>
      </c>
      <c r="F7" s="17">
        <f>F5*F6</f>
        <v/>
      </c>
      <c r="G7" s="17">
        <f>G5*G6</f>
        <v/>
      </c>
      <c r="H7" s="17">
        <f>H5*H6</f>
        <v/>
      </c>
      <c r="I7" s="17">
        <f>I5*I6</f>
        <v/>
      </c>
      <c r="J7" s="17">
        <f>J5*J6</f>
        <v/>
      </c>
      <c r="K7" s="17">
        <f>K5*K6</f>
        <v/>
      </c>
      <c r="L7" s="17">
        <f>L5*L6</f>
        <v/>
      </c>
      <c r="M7" s="17">
        <f>M5*M6</f>
        <v/>
      </c>
      <c r="N7" s="17">
        <f>N5*N6</f>
        <v/>
      </c>
      <c r="O7" s="17">
        <f>O5*O6</f>
        <v/>
      </c>
      <c r="P7" s="18">
        <f>SUM(D7:O7)</f>
        <v/>
      </c>
      <c r="Q7" s="19" t="inlineStr"/>
    </row>
    <row r="8" ht="17" customHeight="1">
      <c r="C8" s="20" t="inlineStr">
        <is>
          <t>GMV（剔除国补）</t>
        </is>
      </c>
      <c r="D8" s="21">
        <f>D5-D7</f>
        <v/>
      </c>
      <c r="E8" s="21">
        <f>E5-E7</f>
        <v/>
      </c>
      <c r="F8" s="21">
        <f>F5-F7</f>
        <v/>
      </c>
      <c r="G8" s="21">
        <f>G5-G7</f>
        <v/>
      </c>
      <c r="H8" s="21">
        <f>H5-H7</f>
        <v/>
      </c>
      <c r="I8" s="21">
        <f>I5-I7</f>
        <v/>
      </c>
      <c r="J8" s="21">
        <f>J5-J7</f>
        <v/>
      </c>
      <c r="K8" s="21">
        <f>K5-K7</f>
        <v/>
      </c>
      <c r="L8" s="21">
        <f>L5-L7</f>
        <v/>
      </c>
      <c r="M8" s="21">
        <f>M5-M7</f>
        <v/>
      </c>
      <c r="N8" s="21">
        <f>N5-N7</f>
        <v/>
      </c>
      <c r="O8" s="21">
        <f>O5-O7</f>
        <v/>
      </c>
      <c r="P8" s="21">
        <f>SUM(D8:O8)</f>
        <v/>
      </c>
      <c r="Q8" s="22" t="inlineStr"/>
    </row>
    <row r="9" ht="17" customHeight="1">
      <c r="C9" s="12" t="inlineStr">
        <is>
          <t>退货率</t>
        </is>
      </c>
      <c r="D9" s="13" t="n">
        <v>0.19</v>
      </c>
      <c r="E9" s="13" t="n">
        <v>0.19</v>
      </c>
      <c r="F9" s="13" t="n">
        <v>0.19</v>
      </c>
      <c r="G9" s="13" t="n">
        <v>0.19</v>
      </c>
      <c r="H9" s="13" t="n">
        <v>0.19</v>
      </c>
      <c r="I9" s="13" t="n">
        <v>0.19</v>
      </c>
      <c r="J9" s="13" t="n">
        <v>0.19</v>
      </c>
      <c r="K9" s="13" t="n">
        <v>0.19</v>
      </c>
      <c r="L9" s="13" t="n">
        <v>0.19</v>
      </c>
      <c r="M9" s="13" t="n">
        <v>0.19</v>
      </c>
      <c r="N9" s="13" t="n">
        <v>0.19</v>
      </c>
      <c r="O9" s="13" t="n">
        <v>0.19</v>
      </c>
      <c r="P9" s="14">
        <f>SUM(D9:O9)</f>
        <v/>
      </c>
      <c r="Q9" s="15" t="inlineStr"/>
    </row>
    <row r="10" ht="17" customHeight="1">
      <c r="C10" s="20" t="inlineStr">
        <is>
          <t>GSV（去退货）</t>
        </is>
      </c>
      <c r="D10" s="21">
        <f>D8*(1-D9)</f>
        <v/>
      </c>
      <c r="E10" s="21">
        <f>E8*(1-E9)</f>
        <v/>
      </c>
      <c r="F10" s="21">
        <f>F8*(1-F9)</f>
        <v/>
      </c>
      <c r="G10" s="21">
        <f>G8*(1-G9)</f>
        <v/>
      </c>
      <c r="H10" s="21">
        <f>H8*(1-H9)</f>
        <v/>
      </c>
      <c r="I10" s="21">
        <f>I8*(1-I9)</f>
        <v/>
      </c>
      <c r="J10" s="21">
        <f>J8*(1-J9)</f>
        <v/>
      </c>
      <c r="K10" s="21">
        <f>K8*(1-K9)</f>
        <v/>
      </c>
      <c r="L10" s="21">
        <f>L8*(1-L9)</f>
        <v/>
      </c>
      <c r="M10" s="21">
        <f>M8*(1-M9)</f>
        <v/>
      </c>
      <c r="N10" s="21">
        <f>N8*(1-N9)</f>
        <v/>
      </c>
      <c r="O10" s="21">
        <f>O8*(1-O9)</f>
        <v/>
      </c>
      <c r="P10" s="21">
        <f>SUM(D10:O10)</f>
        <v/>
      </c>
      <c r="Q10" s="22" t="inlineStr"/>
    </row>
    <row r="11" ht="6" customHeight="1"/>
    <row r="12" ht="18" customHeight="1">
      <c r="C12" s="6" t="inlineStr">
        <is>
          <t xml:space="preserve">  二、营业收入层</t>
        </is>
      </c>
    </row>
    <row r="13" ht="17" customHeight="1">
      <c r="C13" s="12" t="inlineStr">
        <is>
          <t>合同折扣及返利费率（线下）</t>
        </is>
      </c>
      <c r="D13" s="13" t="n">
        <v>0.04</v>
      </c>
      <c r="E13" s="13" t="n">
        <v>0.04</v>
      </c>
      <c r="F13" s="13" t="n">
        <v>0.04</v>
      </c>
      <c r="G13" s="13" t="n">
        <v>0.04</v>
      </c>
      <c r="H13" s="13" t="n">
        <v>0.04</v>
      </c>
      <c r="I13" s="13" t="n">
        <v>0.04</v>
      </c>
      <c r="J13" s="13" t="n">
        <v>0.04</v>
      </c>
      <c r="K13" s="13" t="n">
        <v>0.04</v>
      </c>
      <c r="L13" s="13" t="n">
        <v>0.04</v>
      </c>
      <c r="M13" s="13" t="n">
        <v>0.04</v>
      </c>
      <c r="N13" s="13" t="n">
        <v>0.04</v>
      </c>
      <c r="O13" s="13" t="n">
        <v>0.04</v>
      </c>
      <c r="P13" s="14">
        <f>SUM(D13:O13)</f>
        <v/>
      </c>
      <c r="Q13" s="15" t="inlineStr"/>
    </row>
    <row r="14" ht="17" customHeight="1">
      <c r="C14" s="12" t="inlineStr">
        <is>
          <t>国补/自补折扣费率（线上）</t>
        </is>
      </c>
      <c r="D14" s="13" t="n">
        <v>0.1</v>
      </c>
      <c r="E14" s="13" t="n">
        <v>0.1</v>
      </c>
      <c r="F14" s="13" t="n">
        <v>0.1</v>
      </c>
      <c r="G14" s="13" t="n">
        <v>0.1</v>
      </c>
      <c r="H14" s="13" t="n">
        <v>0.1</v>
      </c>
      <c r="I14" s="13" t="n">
        <v>0.1</v>
      </c>
      <c r="J14" s="13" t="n">
        <v>0.1</v>
      </c>
      <c r="K14" s="13" t="n">
        <v>0.1</v>
      </c>
      <c r="L14" s="13" t="n">
        <v>0.1</v>
      </c>
      <c r="M14" s="13" t="n">
        <v>0.1</v>
      </c>
      <c r="N14" s="13" t="n">
        <v>0.1</v>
      </c>
      <c r="O14" s="13" t="n">
        <v>0.1</v>
      </c>
      <c r="P14" s="14">
        <f>SUM(D14:O14)</f>
        <v/>
      </c>
      <c r="Q14" s="15" t="inlineStr"/>
    </row>
    <row r="15" ht="17" customHeight="1">
      <c r="C15" s="12" t="inlineStr">
        <is>
          <t>红包/促销折扣费率</t>
        </is>
      </c>
      <c r="D15" s="13" t="n">
        <v>0.17</v>
      </c>
      <c r="E15" s="13" t="n">
        <v>0.17</v>
      </c>
      <c r="F15" s="13" t="n">
        <v>0.17</v>
      </c>
      <c r="G15" s="13" t="n">
        <v>0.17</v>
      </c>
      <c r="H15" s="13" t="n">
        <v>0.17</v>
      </c>
      <c r="I15" s="13" t="n">
        <v>0.17</v>
      </c>
      <c r="J15" s="13" t="n">
        <v>0.17</v>
      </c>
      <c r="K15" s="13" t="n">
        <v>0.17</v>
      </c>
      <c r="L15" s="13" t="n">
        <v>0.17</v>
      </c>
      <c r="M15" s="13" t="n">
        <v>0.17</v>
      </c>
      <c r="N15" s="13" t="n">
        <v>0.17</v>
      </c>
      <c r="O15" s="13" t="n">
        <v>0.17</v>
      </c>
      <c r="P15" s="14">
        <f>SUM(D15:O15)</f>
        <v/>
      </c>
      <c r="Q15" s="15" t="inlineStr"/>
    </row>
    <row r="16" ht="17" customHeight="1">
      <c r="C16" s="16" t="inlineStr">
        <is>
          <t>TTL折扣合计</t>
        </is>
      </c>
      <c r="D16" s="17">
        <f>(D13+D14+D15)*D10</f>
        <v/>
      </c>
      <c r="E16" s="17">
        <f>(E13+E14+E15)*E10</f>
        <v/>
      </c>
      <c r="F16" s="17">
        <f>(F13+F14+F15)*F10</f>
        <v/>
      </c>
      <c r="G16" s="17">
        <f>(G13+G14+G15)*G10</f>
        <v/>
      </c>
      <c r="H16" s="17">
        <f>(H13+H14+H15)*H10</f>
        <v/>
      </c>
      <c r="I16" s="17">
        <f>(I13+I14+I15)*I10</f>
        <v/>
      </c>
      <c r="J16" s="17">
        <f>(J13+J14+J15)*J10</f>
        <v/>
      </c>
      <c r="K16" s="17">
        <f>(K13+K14+K15)*K10</f>
        <v/>
      </c>
      <c r="L16" s="17">
        <f>(L13+L14+L15)*L10</f>
        <v/>
      </c>
      <c r="M16" s="17">
        <f>(M13+M14+M15)*M10</f>
        <v/>
      </c>
      <c r="N16" s="17">
        <f>(N13+N14+N15)*N10</f>
        <v/>
      </c>
      <c r="O16" s="17">
        <f>(O13+O14+O15)*O10</f>
        <v/>
      </c>
      <c r="P16" s="18">
        <f>SUM(D16:O16)</f>
        <v/>
      </c>
      <c r="Q16" s="19" t="inlineStr"/>
    </row>
    <row r="17" ht="17" customHeight="1">
      <c r="C17" s="20" t="inlineStr">
        <is>
          <t>营业收入（净销售收入）</t>
        </is>
      </c>
      <c r="D17" s="21">
        <f>D10-D16</f>
        <v/>
      </c>
      <c r="E17" s="21">
        <f>E10-E16</f>
        <v/>
      </c>
      <c r="F17" s="21">
        <f>F10-F16</f>
        <v/>
      </c>
      <c r="G17" s="21">
        <f>G10-G16</f>
        <v/>
      </c>
      <c r="H17" s="21">
        <f>H10-H16</f>
        <v/>
      </c>
      <c r="I17" s="21">
        <f>I10-I16</f>
        <v/>
      </c>
      <c r="J17" s="21">
        <f>J10-J16</f>
        <v/>
      </c>
      <c r="K17" s="21">
        <f>K10-K16</f>
        <v/>
      </c>
      <c r="L17" s="21">
        <f>L10-L16</f>
        <v/>
      </c>
      <c r="M17" s="21">
        <f>M10-M16</f>
        <v/>
      </c>
      <c r="N17" s="21">
        <f>N10-N16</f>
        <v/>
      </c>
      <c r="O17" s="21">
        <f>O10-O16</f>
        <v/>
      </c>
      <c r="P17" s="21">
        <f>SUM(D17:O17)</f>
        <v/>
      </c>
      <c r="Q17" s="22" t="inlineStr"/>
    </row>
    <row r="18" ht="6" customHeight="1"/>
    <row r="19" ht="18" customHeight="1">
      <c r="C19" s="6" t="inlineStr">
        <is>
          <t xml:space="preserve">  三、毛利层</t>
        </is>
      </c>
    </row>
    <row r="20" ht="17" customHeight="1">
      <c r="C20" s="12" t="inlineStr">
        <is>
          <t>标准主品及配件成本率</t>
        </is>
      </c>
      <c r="D20" s="13" t="n">
        <v>0.46</v>
      </c>
      <c r="E20" s="13" t="n">
        <v>0.46</v>
      </c>
      <c r="F20" s="13" t="n">
        <v>0.46</v>
      </c>
      <c r="G20" s="13" t="n">
        <v>0.46</v>
      </c>
      <c r="H20" s="13" t="n">
        <v>0.46</v>
      </c>
      <c r="I20" s="13" t="n">
        <v>0.46</v>
      </c>
      <c r="J20" s="13" t="n">
        <v>0.46</v>
      </c>
      <c r="K20" s="13" t="n">
        <v>0.46</v>
      </c>
      <c r="L20" s="13" t="n">
        <v>0.46</v>
      </c>
      <c r="M20" s="13" t="n">
        <v>0.46</v>
      </c>
      <c r="N20" s="13" t="n">
        <v>0.46</v>
      </c>
      <c r="O20" s="13" t="n">
        <v>0.46</v>
      </c>
      <c r="P20" s="14">
        <f>SUM(D20:O20)</f>
        <v/>
      </c>
      <c r="Q20" s="15" t="inlineStr"/>
    </row>
    <row r="21" ht="17" customHeight="1">
      <c r="C21" s="16" t="inlineStr">
        <is>
          <t>标准主品及配件成本</t>
        </is>
      </c>
      <c r="D21" s="17">
        <f>D17*D20</f>
        <v/>
      </c>
      <c r="E21" s="17">
        <f>E17*E20</f>
        <v/>
      </c>
      <c r="F21" s="17">
        <f>F17*F20</f>
        <v/>
      </c>
      <c r="G21" s="17">
        <f>G17*G20</f>
        <v/>
      </c>
      <c r="H21" s="17">
        <f>H17*H20</f>
        <v/>
      </c>
      <c r="I21" s="17">
        <f>I17*I20</f>
        <v/>
      </c>
      <c r="J21" s="17">
        <f>J17*J20</f>
        <v/>
      </c>
      <c r="K21" s="17">
        <f>K17*K20</f>
        <v/>
      </c>
      <c r="L21" s="17">
        <f>L17*L20</f>
        <v/>
      </c>
      <c r="M21" s="17">
        <f>M17*M20</f>
        <v/>
      </c>
      <c r="N21" s="17">
        <f>N17*N20</f>
        <v/>
      </c>
      <c r="O21" s="17">
        <f>O17*O20</f>
        <v/>
      </c>
      <c r="P21" s="18">
        <f>SUM(D21:O21)</f>
        <v/>
      </c>
      <c r="Q21" s="19" t="inlineStr"/>
    </row>
    <row r="22" ht="17" customHeight="1">
      <c r="C22" s="20" t="inlineStr">
        <is>
          <t>产品毛利</t>
        </is>
      </c>
      <c r="D22" s="21">
        <f>D17-D21</f>
        <v/>
      </c>
      <c r="E22" s="21">
        <f>E17-E21</f>
        <v/>
      </c>
      <c r="F22" s="21">
        <f>F17-F21</f>
        <v/>
      </c>
      <c r="G22" s="21">
        <f>G17-G21</f>
        <v/>
      </c>
      <c r="H22" s="21">
        <f>H17-H21</f>
        <v/>
      </c>
      <c r="I22" s="21">
        <f>I17-I21</f>
        <v/>
      </c>
      <c r="J22" s="21">
        <f>J17-J21</f>
        <v/>
      </c>
      <c r="K22" s="21">
        <f>K17-K21</f>
        <v/>
      </c>
      <c r="L22" s="21">
        <f>L17-L21</f>
        <v/>
      </c>
      <c r="M22" s="21">
        <f>M17-M21</f>
        <v/>
      </c>
      <c r="N22" s="21">
        <f>N17-N21</f>
        <v/>
      </c>
      <c r="O22" s="21">
        <f>O17-O21</f>
        <v/>
      </c>
      <c r="P22" s="21">
        <f>SUM(D22:O22)</f>
        <v/>
      </c>
      <c r="Q22" s="22" t="inlineStr"/>
    </row>
    <row r="23" ht="17" customHeight="1">
      <c r="C23" s="12" t="inlineStr">
        <is>
          <t>物流/仓储费率</t>
        </is>
      </c>
      <c r="D23" s="13" t="n">
        <v>0.025</v>
      </c>
      <c r="E23" s="13" t="n">
        <v>0.025</v>
      </c>
      <c r="F23" s="13" t="n">
        <v>0.025</v>
      </c>
      <c r="G23" s="13" t="n">
        <v>0.025</v>
      </c>
      <c r="H23" s="13" t="n">
        <v>0.025</v>
      </c>
      <c r="I23" s="13" t="n">
        <v>0.025</v>
      </c>
      <c r="J23" s="13" t="n">
        <v>0.025</v>
      </c>
      <c r="K23" s="13" t="n">
        <v>0.025</v>
      </c>
      <c r="L23" s="13" t="n">
        <v>0.025</v>
      </c>
      <c r="M23" s="13" t="n">
        <v>0.025</v>
      </c>
      <c r="N23" s="13" t="n">
        <v>0.025</v>
      </c>
      <c r="O23" s="13" t="n">
        <v>0.025</v>
      </c>
      <c r="P23" s="14">
        <f>SUM(D23:O23)</f>
        <v/>
      </c>
      <c r="Q23" s="15" t="inlineStr"/>
    </row>
    <row r="24" ht="17" customHeight="1">
      <c r="C24" s="16" t="inlineStr">
        <is>
          <t>物流/仓储费用</t>
        </is>
      </c>
      <c r="D24" s="17">
        <f>D17*D23</f>
        <v/>
      </c>
      <c r="E24" s="17">
        <f>E17*E23</f>
        <v/>
      </c>
      <c r="F24" s="17">
        <f>F17*F23</f>
        <v/>
      </c>
      <c r="G24" s="17">
        <f>G17*G23</f>
        <v/>
      </c>
      <c r="H24" s="17">
        <f>H17*H23</f>
        <v/>
      </c>
      <c r="I24" s="17">
        <f>I17*I23</f>
        <v/>
      </c>
      <c r="J24" s="17">
        <f>J17*J23</f>
        <v/>
      </c>
      <c r="K24" s="17">
        <f>K17*K23</f>
        <v/>
      </c>
      <c r="L24" s="17">
        <f>L17*L23</f>
        <v/>
      </c>
      <c r="M24" s="17">
        <f>M17*M23</f>
        <v/>
      </c>
      <c r="N24" s="17">
        <f>N17*N23</f>
        <v/>
      </c>
      <c r="O24" s="17">
        <f>O17*O23</f>
        <v/>
      </c>
      <c r="P24" s="18">
        <f>SUM(D24:O24)</f>
        <v/>
      </c>
      <c r="Q24" s="19" t="inlineStr"/>
    </row>
    <row r="25" ht="17" customHeight="1">
      <c r="C25" s="20" t="inlineStr">
        <is>
          <t>净毛利</t>
        </is>
      </c>
      <c r="D25" s="21">
        <f>D22-D24</f>
        <v/>
      </c>
      <c r="E25" s="21">
        <f>E22-E24</f>
        <v/>
      </c>
      <c r="F25" s="21">
        <f>F22-F24</f>
        <v/>
      </c>
      <c r="G25" s="21">
        <f>G22-G24</f>
        <v/>
      </c>
      <c r="H25" s="21">
        <f>H22-H24</f>
        <v/>
      </c>
      <c r="I25" s="21">
        <f>I22-I24</f>
        <v/>
      </c>
      <c r="J25" s="21">
        <f>J22-J24</f>
        <v/>
      </c>
      <c r="K25" s="21">
        <f>K22-K24</f>
        <v/>
      </c>
      <c r="L25" s="21">
        <f>L22-L24</f>
        <v/>
      </c>
      <c r="M25" s="21">
        <f>M22-M24</f>
        <v/>
      </c>
      <c r="N25" s="21">
        <f>N22-N24</f>
        <v/>
      </c>
      <c r="O25" s="21">
        <f>O22-O24</f>
        <v/>
      </c>
      <c r="P25" s="21">
        <f>SUM(D25:O25)</f>
        <v/>
      </c>
      <c r="Q25" s="22" t="inlineStr"/>
    </row>
    <row r="26" ht="6" customHeight="1"/>
    <row r="27" ht="18" customHeight="1">
      <c r="C27" s="6" t="inlineStr">
        <is>
          <t xml:space="preserve">  四、A&amp;P 营销与运营费用</t>
        </is>
      </c>
    </row>
    <row r="28" ht="17" customHeight="1">
      <c r="C28" s="12" t="inlineStr">
        <is>
          <t>品牌/内容/达人费率</t>
        </is>
      </c>
      <c r="D28" s="13" t="n">
        <v>0.07000000000000001</v>
      </c>
      <c r="E28" s="13" t="n">
        <v>0.07000000000000001</v>
      </c>
      <c r="F28" s="13" t="n">
        <v>0.07000000000000001</v>
      </c>
      <c r="G28" s="13" t="n">
        <v>0.07000000000000001</v>
      </c>
      <c r="H28" s="13" t="n">
        <v>0.07000000000000001</v>
      </c>
      <c r="I28" s="13" t="n">
        <v>0.07000000000000001</v>
      </c>
      <c r="J28" s="13" t="n">
        <v>0.07000000000000001</v>
      </c>
      <c r="K28" s="13" t="n">
        <v>0.07000000000000001</v>
      </c>
      <c r="L28" s="13" t="n">
        <v>0.07000000000000001</v>
      </c>
      <c r="M28" s="13" t="n">
        <v>0.07000000000000001</v>
      </c>
      <c r="N28" s="13" t="n">
        <v>0.07000000000000001</v>
      </c>
      <c r="O28" s="13" t="n">
        <v>0.07000000000000001</v>
      </c>
      <c r="P28" s="14">
        <f>SUM(D28:O28)</f>
        <v/>
      </c>
      <c r="Q28" s="15" t="inlineStr"/>
    </row>
    <row r="29" ht="17" customHeight="1">
      <c r="C29" s="16" t="inlineStr">
        <is>
          <t>品牌内容费用</t>
        </is>
      </c>
      <c r="D29" s="17">
        <f>D17*D28</f>
        <v/>
      </c>
      <c r="E29" s="17">
        <f>E17*E28</f>
        <v/>
      </c>
      <c r="F29" s="17">
        <f>F17*F28</f>
        <v/>
      </c>
      <c r="G29" s="17">
        <f>G17*G28</f>
        <v/>
      </c>
      <c r="H29" s="17">
        <f>H17*H28</f>
        <v/>
      </c>
      <c r="I29" s="17">
        <f>I17*I28</f>
        <v/>
      </c>
      <c r="J29" s="17">
        <f>J17*J28</f>
        <v/>
      </c>
      <c r="K29" s="17">
        <f>K17*K28</f>
        <v/>
      </c>
      <c r="L29" s="17">
        <f>L17*L28</f>
        <v/>
      </c>
      <c r="M29" s="17">
        <f>M17*M28</f>
        <v/>
      </c>
      <c r="N29" s="17">
        <f>N17*N28</f>
        <v/>
      </c>
      <c r="O29" s="17">
        <f>O17*O28</f>
        <v/>
      </c>
      <c r="P29" s="18">
        <f>SUM(D29:O29)</f>
        <v/>
      </c>
      <c r="Q29" s="19" t="inlineStr"/>
    </row>
    <row r="30" ht="17" customHeight="1">
      <c r="C30" s="12" t="inlineStr">
        <is>
          <t>站内投放费率</t>
        </is>
      </c>
      <c r="D30" s="13" t="n">
        <v>0.14</v>
      </c>
      <c r="E30" s="13" t="n">
        <v>0.14</v>
      </c>
      <c r="F30" s="13" t="n">
        <v>0.14</v>
      </c>
      <c r="G30" s="13" t="n">
        <v>0.14</v>
      </c>
      <c r="H30" s="13" t="n">
        <v>0.14</v>
      </c>
      <c r="I30" s="13" t="n">
        <v>0.14</v>
      </c>
      <c r="J30" s="13" t="n">
        <v>0.14</v>
      </c>
      <c r="K30" s="13" t="n">
        <v>0.14</v>
      </c>
      <c r="L30" s="13" t="n">
        <v>0.14</v>
      </c>
      <c r="M30" s="13" t="n">
        <v>0.14</v>
      </c>
      <c r="N30" s="13" t="n">
        <v>0.14</v>
      </c>
      <c r="O30" s="13" t="n">
        <v>0.14</v>
      </c>
      <c r="P30" s="14">
        <f>SUM(D30:O30)</f>
        <v/>
      </c>
      <c r="Q30" s="15" t="inlineStr"/>
    </row>
    <row r="31" ht="17" customHeight="1">
      <c r="C31" s="12" t="inlineStr">
        <is>
          <t>千川投放费率</t>
        </is>
      </c>
      <c r="D31" s="13" t="n">
        <v>0.06</v>
      </c>
      <c r="E31" s="13" t="n">
        <v>0.06</v>
      </c>
      <c r="F31" s="13" t="n">
        <v>0.06</v>
      </c>
      <c r="G31" s="13" t="n">
        <v>0.06</v>
      </c>
      <c r="H31" s="13" t="n">
        <v>0.06</v>
      </c>
      <c r="I31" s="13" t="n">
        <v>0.06</v>
      </c>
      <c r="J31" s="13" t="n">
        <v>0.06</v>
      </c>
      <c r="K31" s="13" t="n">
        <v>0.06</v>
      </c>
      <c r="L31" s="13" t="n">
        <v>0.06</v>
      </c>
      <c r="M31" s="13" t="n">
        <v>0.06</v>
      </c>
      <c r="N31" s="13" t="n">
        <v>0.06</v>
      </c>
      <c r="O31" s="13" t="n">
        <v>0.06</v>
      </c>
      <c r="P31" s="14">
        <f>SUM(D31:O31)</f>
        <v/>
      </c>
      <c r="Q31" s="15" t="inlineStr"/>
    </row>
    <row r="32" ht="17" customHeight="1">
      <c r="C32" s="12" t="inlineStr">
        <is>
          <t>站外投放费率</t>
        </is>
      </c>
      <c r="D32" s="13" t="n">
        <v>0.02</v>
      </c>
      <c r="E32" s="13" t="n">
        <v>0.02</v>
      </c>
      <c r="F32" s="13" t="n">
        <v>0.02</v>
      </c>
      <c r="G32" s="13" t="n">
        <v>0.02</v>
      </c>
      <c r="H32" s="13" t="n">
        <v>0.02</v>
      </c>
      <c r="I32" s="13" t="n">
        <v>0.02</v>
      </c>
      <c r="J32" s="13" t="n">
        <v>0.02</v>
      </c>
      <c r="K32" s="13" t="n">
        <v>0.02</v>
      </c>
      <c r="L32" s="13" t="n">
        <v>0.02</v>
      </c>
      <c r="M32" s="13" t="n">
        <v>0.02</v>
      </c>
      <c r="N32" s="13" t="n">
        <v>0.02</v>
      </c>
      <c r="O32" s="13" t="n">
        <v>0.02</v>
      </c>
      <c r="P32" s="14">
        <f>SUM(D32:O32)</f>
        <v/>
      </c>
      <c r="Q32" s="15" t="inlineStr"/>
    </row>
    <row r="33" ht="17" customHeight="1">
      <c r="C33" s="16" t="inlineStr">
        <is>
          <t>效果广告合计</t>
        </is>
      </c>
      <c r="D33" s="17">
        <f>(D30+D31+D32)*D17</f>
        <v/>
      </c>
      <c r="E33" s="17">
        <f>(E30+E31+E32)*E17</f>
        <v/>
      </c>
      <c r="F33" s="17">
        <f>(F30+F31+F32)*F17</f>
        <v/>
      </c>
      <c r="G33" s="17">
        <f>(G30+G31+G32)*G17</f>
        <v/>
      </c>
      <c r="H33" s="17">
        <f>(H30+H31+H32)*H17</f>
        <v/>
      </c>
      <c r="I33" s="17">
        <f>(I30+I31+I32)*I17</f>
        <v/>
      </c>
      <c r="J33" s="17">
        <f>(J30+J31+J32)*J17</f>
        <v/>
      </c>
      <c r="K33" s="17">
        <f>(K30+K31+K32)*K17</f>
        <v/>
      </c>
      <c r="L33" s="17">
        <f>(L30+L31+L32)*L17</f>
        <v/>
      </c>
      <c r="M33" s="17">
        <f>(M30+M31+M32)*M17</f>
        <v/>
      </c>
      <c r="N33" s="17">
        <f>(N30+N31+N32)*N17</f>
        <v/>
      </c>
      <c r="O33" s="17">
        <f>(O30+O31+O32)*O17</f>
        <v/>
      </c>
      <c r="P33" s="18">
        <f>SUM(D33:O33)</f>
        <v/>
      </c>
      <c r="Q33" s="19" t="inlineStr"/>
    </row>
    <row r="34" ht="17" customHeight="1">
      <c r="C34" s="12" t="inlineStr">
        <is>
          <t>线上运营费率（直播+赠品）</t>
        </is>
      </c>
      <c r="D34" s="13" t="n">
        <v>0.03</v>
      </c>
      <c r="E34" s="13" t="n">
        <v>0.03</v>
      </c>
      <c r="F34" s="13" t="n">
        <v>0.03</v>
      </c>
      <c r="G34" s="13" t="n">
        <v>0.03</v>
      </c>
      <c r="H34" s="13" t="n">
        <v>0.03</v>
      </c>
      <c r="I34" s="13" t="n">
        <v>0.03</v>
      </c>
      <c r="J34" s="13" t="n">
        <v>0.03</v>
      </c>
      <c r="K34" s="13" t="n">
        <v>0.03</v>
      </c>
      <c r="L34" s="13" t="n">
        <v>0.03</v>
      </c>
      <c r="M34" s="13" t="n">
        <v>0.03</v>
      </c>
      <c r="N34" s="13" t="n">
        <v>0.03</v>
      </c>
      <c r="O34" s="13" t="n">
        <v>0.03</v>
      </c>
      <c r="P34" s="14">
        <f>SUM(D34:O34)</f>
        <v/>
      </c>
      <c r="Q34" s="15" t="inlineStr"/>
    </row>
    <row r="35" ht="17" customHeight="1">
      <c r="C35" s="16" t="inlineStr">
        <is>
          <t>线上运营费用</t>
        </is>
      </c>
      <c r="D35" s="17">
        <f>D17*D34</f>
        <v/>
      </c>
      <c r="E35" s="17">
        <f>E17*E34</f>
        <v/>
      </c>
      <c r="F35" s="17">
        <f>F17*F34</f>
        <v/>
      </c>
      <c r="G35" s="17">
        <f>G17*G34</f>
        <v/>
      </c>
      <c r="H35" s="17">
        <f>H17*H34</f>
        <v/>
      </c>
      <c r="I35" s="17">
        <f>I17*I34</f>
        <v/>
      </c>
      <c r="J35" s="17">
        <f>J17*J34</f>
        <v/>
      </c>
      <c r="K35" s="17">
        <f>K17*K34</f>
        <v/>
      </c>
      <c r="L35" s="17">
        <f>L17*L34</f>
        <v/>
      </c>
      <c r="M35" s="17">
        <f>M17*M34</f>
        <v/>
      </c>
      <c r="N35" s="17">
        <f>N17*N34</f>
        <v/>
      </c>
      <c r="O35" s="17">
        <f>O17*O34</f>
        <v/>
      </c>
      <c r="P35" s="18">
        <f>SUM(D35:O35)</f>
        <v/>
      </c>
      <c r="Q35" s="19" t="inlineStr"/>
    </row>
    <row r="36" ht="17" customHeight="1">
      <c r="C36" s="7" t="inlineStr">
        <is>
          <t>线下市场/渠道费用（预算）</t>
        </is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9">
        <f>SUM(D36:O36)</f>
        <v/>
      </c>
      <c r="Q36" s="10" t="inlineStr"/>
    </row>
    <row r="37" ht="17" customHeight="1">
      <c r="C37" s="12" t="inlineStr">
        <is>
          <t>平台佣金费率</t>
        </is>
      </c>
      <c r="D37" s="13" t="n">
        <v>0.053</v>
      </c>
      <c r="E37" s="13" t="n">
        <v>0.053</v>
      </c>
      <c r="F37" s="13" t="n">
        <v>0.053</v>
      </c>
      <c r="G37" s="13" t="n">
        <v>0.053</v>
      </c>
      <c r="H37" s="13" t="n">
        <v>0.053</v>
      </c>
      <c r="I37" s="13" t="n">
        <v>0.053</v>
      </c>
      <c r="J37" s="13" t="n">
        <v>0.053</v>
      </c>
      <c r="K37" s="13" t="n">
        <v>0.053</v>
      </c>
      <c r="L37" s="13" t="n">
        <v>0.053</v>
      </c>
      <c r="M37" s="13" t="n">
        <v>0.053</v>
      </c>
      <c r="N37" s="13" t="n">
        <v>0.053</v>
      </c>
      <c r="O37" s="13" t="n">
        <v>0.053</v>
      </c>
      <c r="P37" s="14">
        <f>SUM(D37:O37)</f>
        <v/>
      </c>
      <c r="Q37" s="15" t="inlineStr"/>
    </row>
    <row r="38" ht="17" customHeight="1">
      <c r="C38" s="16" t="inlineStr">
        <is>
          <t>平台佣金</t>
        </is>
      </c>
      <c r="D38" s="17">
        <f>D17*D37</f>
        <v/>
      </c>
      <c r="E38" s="17">
        <f>E17*E37</f>
        <v/>
      </c>
      <c r="F38" s="17">
        <f>F17*F37</f>
        <v/>
      </c>
      <c r="G38" s="17">
        <f>G17*G37</f>
        <v/>
      </c>
      <c r="H38" s="17">
        <f>H17*H37</f>
        <v/>
      </c>
      <c r="I38" s="17">
        <f>I17*I37</f>
        <v/>
      </c>
      <c r="J38" s="17">
        <f>J17*J37</f>
        <v/>
      </c>
      <c r="K38" s="17">
        <f>K17*K37</f>
        <v/>
      </c>
      <c r="L38" s="17">
        <f>L17*L37</f>
        <v/>
      </c>
      <c r="M38" s="17">
        <f>M17*M37</f>
        <v/>
      </c>
      <c r="N38" s="17">
        <f>N17*N37</f>
        <v/>
      </c>
      <c r="O38" s="17">
        <f>O17*O37</f>
        <v/>
      </c>
      <c r="P38" s="18">
        <f>SUM(D38:O38)</f>
        <v/>
      </c>
      <c r="Q38" s="19" t="inlineStr"/>
    </row>
    <row r="39" ht="17" customHeight="1">
      <c r="C39" s="12" t="inlineStr">
        <is>
          <t>平台其他费率</t>
        </is>
      </c>
      <c r="D39" s="13" t="n">
        <v>0.014</v>
      </c>
      <c r="E39" s="13" t="n">
        <v>0.014</v>
      </c>
      <c r="F39" s="13" t="n">
        <v>0.014</v>
      </c>
      <c r="G39" s="13" t="n">
        <v>0.014</v>
      </c>
      <c r="H39" s="13" t="n">
        <v>0.014</v>
      </c>
      <c r="I39" s="13" t="n">
        <v>0.014</v>
      </c>
      <c r="J39" s="13" t="n">
        <v>0.014</v>
      </c>
      <c r="K39" s="13" t="n">
        <v>0.014</v>
      </c>
      <c r="L39" s="13" t="n">
        <v>0.014</v>
      </c>
      <c r="M39" s="13" t="n">
        <v>0.014</v>
      </c>
      <c r="N39" s="13" t="n">
        <v>0.014</v>
      </c>
      <c r="O39" s="13" t="n">
        <v>0.014</v>
      </c>
      <c r="P39" s="14">
        <f>SUM(D39:O39)</f>
        <v/>
      </c>
      <c r="Q39" s="15" t="inlineStr"/>
    </row>
    <row r="40" ht="17" customHeight="1">
      <c r="C40" s="16" t="inlineStr">
        <is>
          <t>平台其他费用</t>
        </is>
      </c>
      <c r="D40" s="17">
        <f>D17*D39</f>
        <v/>
      </c>
      <c r="E40" s="17">
        <f>E17*E39</f>
        <v/>
      </c>
      <c r="F40" s="17">
        <f>F17*F39</f>
        <v/>
      </c>
      <c r="G40" s="17">
        <f>G17*G39</f>
        <v/>
      </c>
      <c r="H40" s="17">
        <f>H17*H39</f>
        <v/>
      </c>
      <c r="I40" s="17">
        <f>I17*I39</f>
        <v/>
      </c>
      <c r="J40" s="17">
        <f>J17*J39</f>
        <v/>
      </c>
      <c r="K40" s="17">
        <f>K17*K39</f>
        <v/>
      </c>
      <c r="L40" s="17">
        <f>L17*L39</f>
        <v/>
      </c>
      <c r="M40" s="17">
        <f>M17*M39</f>
        <v/>
      </c>
      <c r="N40" s="17">
        <f>N17*N39</f>
        <v/>
      </c>
      <c r="O40" s="17">
        <f>O17*O39</f>
        <v/>
      </c>
      <c r="P40" s="18">
        <f>SUM(D40:O40)</f>
        <v/>
      </c>
      <c r="Q40" s="19" t="inlineStr"/>
    </row>
    <row r="41" ht="17" customHeight="1">
      <c r="C41" s="12" t="inlineStr">
        <is>
          <t>售后费率</t>
        </is>
      </c>
      <c r="D41" s="13" t="n">
        <v>0.03</v>
      </c>
      <c r="E41" s="13" t="n">
        <v>0.03</v>
      </c>
      <c r="F41" s="13" t="n">
        <v>0.03</v>
      </c>
      <c r="G41" s="13" t="n">
        <v>0.03</v>
      </c>
      <c r="H41" s="13" t="n">
        <v>0.03</v>
      </c>
      <c r="I41" s="13" t="n">
        <v>0.03</v>
      </c>
      <c r="J41" s="13" t="n">
        <v>0.03</v>
      </c>
      <c r="K41" s="13" t="n">
        <v>0.03</v>
      </c>
      <c r="L41" s="13" t="n">
        <v>0.03</v>
      </c>
      <c r="M41" s="13" t="n">
        <v>0.03</v>
      </c>
      <c r="N41" s="13" t="n">
        <v>0.03</v>
      </c>
      <c r="O41" s="13" t="n">
        <v>0.03</v>
      </c>
      <c r="P41" s="14">
        <f>SUM(D41:O41)</f>
        <v/>
      </c>
      <c r="Q41" s="15" t="inlineStr"/>
    </row>
    <row r="42" ht="17" customHeight="1">
      <c r="C42" s="16" t="inlineStr">
        <is>
          <t>售后费用</t>
        </is>
      </c>
      <c r="D42" s="17">
        <f>D17*D41</f>
        <v/>
      </c>
      <c r="E42" s="17">
        <f>E17*E41</f>
        <v/>
      </c>
      <c r="F42" s="17">
        <f>F17*F41</f>
        <v/>
      </c>
      <c r="G42" s="17">
        <f>G17*G41</f>
        <v/>
      </c>
      <c r="H42" s="17">
        <f>H17*H41</f>
        <v/>
      </c>
      <c r="I42" s="17">
        <f>I17*I41</f>
        <v/>
      </c>
      <c r="J42" s="17">
        <f>J17*J41</f>
        <v/>
      </c>
      <c r="K42" s="17">
        <f>K17*K41</f>
        <v/>
      </c>
      <c r="L42" s="17">
        <f>L17*L41</f>
        <v/>
      </c>
      <c r="M42" s="17">
        <f>M17*M41</f>
        <v/>
      </c>
      <c r="N42" s="17">
        <f>N17*N41</f>
        <v/>
      </c>
      <c r="O42" s="17">
        <f>O17*O41</f>
        <v/>
      </c>
      <c r="P42" s="18">
        <f>SUM(D42:O42)</f>
        <v/>
      </c>
      <c r="Q42" s="19" t="inlineStr"/>
    </row>
    <row r="43" ht="17" customHeight="1">
      <c r="C43" s="12" t="inlineStr">
        <is>
          <t>店铺运营综合费率</t>
        </is>
      </c>
      <c r="D43" s="13" t="n">
        <v>0.098</v>
      </c>
      <c r="E43" s="13" t="n">
        <v>0.098</v>
      </c>
      <c r="F43" s="13" t="n">
        <v>0.098</v>
      </c>
      <c r="G43" s="13" t="n">
        <v>0.098</v>
      </c>
      <c r="H43" s="13" t="n">
        <v>0.098</v>
      </c>
      <c r="I43" s="13" t="n">
        <v>0.098</v>
      </c>
      <c r="J43" s="13" t="n">
        <v>0.098</v>
      </c>
      <c r="K43" s="13" t="n">
        <v>0.098</v>
      </c>
      <c r="L43" s="13" t="n">
        <v>0.098</v>
      </c>
      <c r="M43" s="13" t="n">
        <v>0.098</v>
      </c>
      <c r="N43" s="13" t="n">
        <v>0.098</v>
      </c>
      <c r="O43" s="13" t="n">
        <v>0.098</v>
      </c>
      <c r="P43" s="14">
        <f>SUM(D43:O43)</f>
        <v/>
      </c>
      <c r="Q43" s="15" t="inlineStr"/>
    </row>
    <row r="44" ht="17" customHeight="1">
      <c r="C44" s="16" t="inlineStr">
        <is>
          <t>店铺运营费用</t>
        </is>
      </c>
      <c r="D44" s="17">
        <f>D17*D43</f>
        <v/>
      </c>
      <c r="E44" s="17">
        <f>E17*E43</f>
        <v/>
      </c>
      <c r="F44" s="17">
        <f>F17*F43</f>
        <v/>
      </c>
      <c r="G44" s="17">
        <f>G17*G43</f>
        <v/>
      </c>
      <c r="H44" s="17">
        <f>H17*H43</f>
        <v/>
      </c>
      <c r="I44" s="17">
        <f>I17*I43</f>
        <v/>
      </c>
      <c r="J44" s="17">
        <f>J17*J43</f>
        <v/>
      </c>
      <c r="K44" s="17">
        <f>K17*K43</f>
        <v/>
      </c>
      <c r="L44" s="17">
        <f>L17*L43</f>
        <v/>
      </c>
      <c r="M44" s="17">
        <f>M17*M43</f>
        <v/>
      </c>
      <c r="N44" s="17">
        <f>N17*N43</f>
        <v/>
      </c>
      <c r="O44" s="17">
        <f>O17*O43</f>
        <v/>
      </c>
      <c r="P44" s="18">
        <f>SUM(D44:O44)</f>
        <v/>
      </c>
      <c r="Q44" s="19" t="inlineStr"/>
    </row>
    <row r="45" ht="17" customHeight="1">
      <c r="C45" s="20" t="inlineStr">
        <is>
          <t>A&amp;P 合计</t>
        </is>
      </c>
      <c r="D45" s="21">
        <f>D29+D33+D35+D36+D38+D40+D42+D44</f>
        <v/>
      </c>
      <c r="E45" s="21">
        <f>E29+E33+E35+E36+E38+E40+E42+E44</f>
        <v/>
      </c>
      <c r="F45" s="21">
        <f>F29+F33+F35+F36+F38+F40+F42+F44</f>
        <v/>
      </c>
      <c r="G45" s="21">
        <f>G29+G33+G35+G36+G38+G40+G42+G44</f>
        <v/>
      </c>
      <c r="H45" s="21">
        <f>H29+H33+H35+H36+H38+H40+H42+H44</f>
        <v/>
      </c>
      <c r="I45" s="21">
        <f>I29+I33+I35+I36+I38+I40+I42+I44</f>
        <v/>
      </c>
      <c r="J45" s="21">
        <f>J29+J33+J35+J36+J38+J40+J42+J44</f>
        <v/>
      </c>
      <c r="K45" s="21">
        <f>K29+K33+K35+K36+K38+K40+K42+K44</f>
        <v/>
      </c>
      <c r="L45" s="21">
        <f>L29+L33+L35+L36+L38+L40+L42+L44</f>
        <v/>
      </c>
      <c r="M45" s="21">
        <f>M29+M33+M35+M36+M38+M40+M42+M44</f>
        <v/>
      </c>
      <c r="N45" s="21">
        <f>N29+N33+N35+N36+N38+N40+N42+N44</f>
        <v/>
      </c>
      <c r="O45" s="21">
        <f>O29+O33+O35+O36+O38+O40+O42+O44</f>
        <v/>
      </c>
      <c r="P45" s="21">
        <f>SUM(D45:O45)</f>
        <v/>
      </c>
      <c r="Q45" s="22" t="inlineStr"/>
    </row>
    <row r="46" ht="6" customHeight="1"/>
    <row r="47" ht="18" customHeight="1">
      <c r="C47" s="6" t="inlineStr">
        <is>
          <t xml:space="preserve">  五、店铺利润（渠道贡献）</t>
        </is>
      </c>
    </row>
    <row r="48" ht="17" customHeight="1">
      <c r="C48" s="20" t="inlineStr">
        <is>
          <t>店铺利润</t>
        </is>
      </c>
      <c r="D48" s="21">
        <f>D25-D45</f>
        <v/>
      </c>
      <c r="E48" s="21">
        <f>E25-E45</f>
        <v/>
      </c>
      <c r="F48" s="21">
        <f>F25-F45</f>
        <v/>
      </c>
      <c r="G48" s="21">
        <f>G25-G45</f>
        <v/>
      </c>
      <c r="H48" s="21">
        <f>H25-H45</f>
        <v/>
      </c>
      <c r="I48" s="21">
        <f>I25-I45</f>
        <v/>
      </c>
      <c r="J48" s="21">
        <f>J25-J45</f>
        <v/>
      </c>
      <c r="K48" s="21">
        <f>K25-K45</f>
        <v/>
      </c>
      <c r="L48" s="21">
        <f>L25-L45</f>
        <v/>
      </c>
      <c r="M48" s="21">
        <f>M25-M45</f>
        <v/>
      </c>
      <c r="N48" s="21">
        <f>N25-N45</f>
        <v/>
      </c>
      <c r="O48" s="21">
        <f>O25-O45</f>
        <v/>
      </c>
      <c r="P48" s="21">
        <f>SUM(D48:O48)</f>
        <v/>
      </c>
      <c r="Q48" s="22" t="inlineStr"/>
    </row>
    <row r="49" ht="6" customHeight="1"/>
    <row r="50" ht="18" customHeight="1">
      <c r="C50" s="6" t="inlineStr">
        <is>
          <t xml:space="preserve">  六、BU 可控 / 贡献层</t>
        </is>
      </c>
    </row>
    <row r="51" ht="17" customHeight="1">
      <c r="C51" s="7" t="inlineStr">
        <is>
          <t>销售管理费用（预算）</t>
        </is>
      </c>
      <c r="D51" s="8" t="n">
        <v>500000</v>
      </c>
      <c r="E51" s="8" t="n">
        <v>500000</v>
      </c>
      <c r="F51" s="8" t="n">
        <v>500000</v>
      </c>
      <c r="G51" s="8" t="n">
        <v>500000</v>
      </c>
      <c r="H51" s="8" t="n">
        <v>500000</v>
      </c>
      <c r="I51" s="8" t="n">
        <v>500000</v>
      </c>
      <c r="J51" s="8" t="n">
        <v>500000</v>
      </c>
      <c r="K51" s="8" t="n">
        <v>500000</v>
      </c>
      <c r="L51" s="8" t="n">
        <v>500000</v>
      </c>
      <c r="M51" s="8" t="n">
        <v>500000</v>
      </c>
      <c r="N51" s="8" t="n">
        <v>500000</v>
      </c>
      <c r="O51" s="8" t="n">
        <v>500000</v>
      </c>
      <c r="P51" s="9">
        <f>SUM(D51:O51)</f>
        <v/>
      </c>
      <c r="Q51" s="10" t="inlineStr"/>
    </row>
    <row r="52" ht="17" customHeight="1">
      <c r="C52" s="7" t="inlineStr">
        <is>
          <t>研发费用（预算）</t>
        </is>
      </c>
      <c r="D52" s="8" t="n">
        <v>3000000</v>
      </c>
      <c r="E52" s="8" t="n">
        <v>3000000</v>
      </c>
      <c r="F52" s="8" t="n">
        <v>3000000</v>
      </c>
      <c r="G52" s="8" t="n">
        <v>3000000</v>
      </c>
      <c r="H52" s="8" t="n">
        <v>3000000</v>
      </c>
      <c r="I52" s="8" t="n">
        <v>3000000</v>
      </c>
      <c r="J52" s="8" t="n">
        <v>3000000</v>
      </c>
      <c r="K52" s="8" t="n">
        <v>3000000</v>
      </c>
      <c r="L52" s="8" t="n">
        <v>3000000</v>
      </c>
      <c r="M52" s="8" t="n">
        <v>3000000</v>
      </c>
      <c r="N52" s="8" t="n">
        <v>3000000</v>
      </c>
      <c r="O52" s="8" t="n">
        <v>3000000</v>
      </c>
      <c r="P52" s="9">
        <f>SUM(D52:O52)</f>
        <v/>
      </c>
      <c r="Q52" s="10" t="inlineStr"/>
    </row>
    <row r="53" ht="17" customHeight="1">
      <c r="C53" s="16" t="inlineStr">
        <is>
          <t>BU可控费用合计</t>
        </is>
      </c>
      <c r="D53" s="17">
        <f>D51+D52</f>
        <v/>
      </c>
      <c r="E53" s="17">
        <f>E51+E52</f>
        <v/>
      </c>
      <c r="F53" s="17">
        <f>F51+F52</f>
        <v/>
      </c>
      <c r="G53" s="17">
        <f>G51+G52</f>
        <v/>
      </c>
      <c r="H53" s="17">
        <f>H51+H52</f>
        <v/>
      </c>
      <c r="I53" s="17">
        <f>I51+I52</f>
        <v/>
      </c>
      <c r="J53" s="17">
        <f>J51+J52</f>
        <v/>
      </c>
      <c r="K53" s="17">
        <f>K51+K52</f>
        <v/>
      </c>
      <c r="L53" s="17">
        <f>L51+L52</f>
        <v/>
      </c>
      <c r="M53" s="17">
        <f>M51+M52</f>
        <v/>
      </c>
      <c r="N53" s="17">
        <f>N51+N52</f>
        <v/>
      </c>
      <c r="O53" s="17">
        <f>O51+O52</f>
        <v/>
      </c>
      <c r="P53" s="18">
        <f>SUM(D53:O53)</f>
        <v/>
      </c>
      <c r="Q53" s="19" t="inlineStr"/>
    </row>
    <row r="54" ht="17" customHeight="1">
      <c r="C54" s="20" t="inlineStr">
        <is>
          <t>BU 可控利润</t>
        </is>
      </c>
      <c r="D54" s="21">
        <f>D48-D53</f>
        <v/>
      </c>
      <c r="E54" s="21">
        <f>E48-E53</f>
        <v/>
      </c>
      <c r="F54" s="21">
        <f>F48-F53</f>
        <v/>
      </c>
      <c r="G54" s="21">
        <f>G48-G53</f>
        <v/>
      </c>
      <c r="H54" s="21">
        <f>H48-H53</f>
        <v/>
      </c>
      <c r="I54" s="21">
        <f>I48-I53</f>
        <v/>
      </c>
      <c r="J54" s="21">
        <f>J48-J53</f>
        <v/>
      </c>
      <c r="K54" s="21">
        <f>K48-K53</f>
        <v/>
      </c>
      <c r="L54" s="21">
        <f>L48-L53</f>
        <v/>
      </c>
      <c r="M54" s="21">
        <f>M48-M53</f>
        <v/>
      </c>
      <c r="N54" s="21">
        <f>N48-N53</f>
        <v/>
      </c>
      <c r="O54" s="21">
        <f>O48-O53</f>
        <v/>
      </c>
      <c r="P54" s="21">
        <f>SUM(D54:O54)</f>
        <v/>
      </c>
      <c r="Q54" s="22" t="inlineStr"/>
    </row>
    <row r="55" ht="17" customHeight="1">
      <c r="C55" s="7" t="inlineStr">
        <is>
          <t>BU 贡献费用（预算）</t>
        </is>
      </c>
      <c r="D55" s="8" t="n">
        <v>2800000</v>
      </c>
      <c r="E55" s="8" t="n">
        <v>2800000</v>
      </c>
      <c r="F55" s="8" t="n">
        <v>2800000</v>
      </c>
      <c r="G55" s="8" t="n">
        <v>2800000</v>
      </c>
      <c r="H55" s="8" t="n">
        <v>2800000</v>
      </c>
      <c r="I55" s="8" t="n">
        <v>2800000</v>
      </c>
      <c r="J55" s="8" t="n">
        <v>2800000</v>
      </c>
      <c r="K55" s="8" t="n">
        <v>2800000</v>
      </c>
      <c r="L55" s="8" t="n">
        <v>2800000</v>
      </c>
      <c r="M55" s="8" t="n">
        <v>2800000</v>
      </c>
      <c r="N55" s="8" t="n">
        <v>2800000</v>
      </c>
      <c r="O55" s="8" t="n">
        <v>2800000</v>
      </c>
      <c r="P55" s="9">
        <f>SUM(D55:O55)</f>
        <v/>
      </c>
      <c r="Q55" s="10" t="inlineStr"/>
    </row>
    <row r="56" ht="17" customHeight="1">
      <c r="C56" s="20" t="inlineStr">
        <is>
          <t>BU 贡献利润</t>
        </is>
      </c>
      <c r="D56" s="21">
        <f>D54-D55</f>
        <v/>
      </c>
      <c r="E56" s="21">
        <f>E54-E55</f>
        <v/>
      </c>
      <c r="F56" s="21">
        <f>F54-F55</f>
        <v/>
      </c>
      <c r="G56" s="21">
        <f>G54-G55</f>
        <v/>
      </c>
      <c r="H56" s="21">
        <f>H54-H55</f>
        <v/>
      </c>
      <c r="I56" s="21">
        <f>I54-I55</f>
        <v/>
      </c>
      <c r="J56" s="21">
        <f>J54-J55</f>
        <v/>
      </c>
      <c r="K56" s="21">
        <f>K54-K55</f>
        <v/>
      </c>
      <c r="L56" s="21">
        <f>L54-L55</f>
        <v/>
      </c>
      <c r="M56" s="21">
        <f>M54-M55</f>
        <v/>
      </c>
      <c r="N56" s="21">
        <f>N54-N55</f>
        <v/>
      </c>
      <c r="O56" s="21">
        <f>O54-O55</f>
        <v/>
      </c>
      <c r="P56" s="21">
        <f>SUM(D56:O56)</f>
        <v/>
      </c>
      <c r="Q56" s="22" t="inlineStr"/>
    </row>
    <row r="57" ht="17" customHeight="1">
      <c r="C57" s="7" t="inlineStr">
        <is>
          <t>集团分摊费用（预算）</t>
        </is>
      </c>
      <c r="D57" s="8" t="n">
        <v>1200000</v>
      </c>
      <c r="E57" s="8" t="n">
        <v>1200000</v>
      </c>
      <c r="F57" s="8" t="n">
        <v>1200000</v>
      </c>
      <c r="G57" s="8" t="n">
        <v>1200000</v>
      </c>
      <c r="H57" s="8" t="n">
        <v>1200000</v>
      </c>
      <c r="I57" s="8" t="n">
        <v>1200000</v>
      </c>
      <c r="J57" s="8" t="n">
        <v>1200000</v>
      </c>
      <c r="K57" s="8" t="n">
        <v>1200000</v>
      </c>
      <c r="L57" s="8" t="n">
        <v>1200000</v>
      </c>
      <c r="M57" s="8" t="n">
        <v>1200000</v>
      </c>
      <c r="N57" s="8" t="n">
        <v>1200000</v>
      </c>
      <c r="O57" s="8" t="n">
        <v>1200000</v>
      </c>
      <c r="P57" s="9">
        <f>SUM(D57:O57)</f>
        <v/>
      </c>
      <c r="Q57" s="10" t="inlineStr"/>
    </row>
    <row r="58" ht="17" customHeight="1">
      <c r="C58" s="20" t="inlineStr">
        <is>
          <t>净利润</t>
        </is>
      </c>
      <c r="D58" s="21">
        <f>D56-D57</f>
        <v/>
      </c>
      <c r="E58" s="21">
        <f>E56-E57</f>
        <v/>
      </c>
      <c r="F58" s="21">
        <f>F56-F57</f>
        <v/>
      </c>
      <c r="G58" s="21">
        <f>G56-G57</f>
        <v/>
      </c>
      <c r="H58" s="21">
        <f>H56-H57</f>
        <v/>
      </c>
      <c r="I58" s="21">
        <f>I56-I57</f>
        <v/>
      </c>
      <c r="J58" s="21">
        <f>J56-J57</f>
        <v/>
      </c>
      <c r="K58" s="21">
        <f>K56-K57</f>
        <v/>
      </c>
      <c r="L58" s="21">
        <f>L56-L57</f>
        <v/>
      </c>
      <c r="M58" s="21">
        <f>M56-M57</f>
        <v/>
      </c>
      <c r="N58" s="21">
        <f>N56-N57</f>
        <v/>
      </c>
      <c r="O58" s="21">
        <f>O56-O57</f>
        <v/>
      </c>
      <c r="P58" s="21">
        <f>SUM(D58:O58)</f>
        <v/>
      </c>
      <c r="Q58" s="22" t="inlineStr"/>
    </row>
  </sheetData>
  <mergeCells count="7">
    <mergeCell ref="C27:R27"/>
    <mergeCell ref="C2:R2"/>
    <mergeCell ref="C19:R19"/>
    <mergeCell ref="C47:R47"/>
    <mergeCell ref="C50:R50"/>
    <mergeCell ref="C4:R4"/>
    <mergeCell ref="C12:R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2:R58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" customWidth="1" min="2" max="2"/>
    <col width="2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9" customWidth="1" min="17" max="17"/>
    <col width="28" customWidth="1" min="18" max="18"/>
  </cols>
  <sheetData>
    <row r="1" ht="8" customHeight="1"/>
    <row r="2" ht="28" customHeight="1">
      <c r="C2" s="4" t="inlineStr">
        <is>
          <t>淘系（天猫旗舰店）— 年度 BP</t>
        </is>
      </c>
    </row>
    <row r="3" ht="20" customHeight="1">
      <c r="C3" s="5" t="inlineStr">
        <is>
          <t>科目</t>
        </is>
      </c>
      <c r="D3" s="5" t="inlineStr">
        <is>
          <t>1月</t>
        </is>
      </c>
      <c r="E3" s="5" t="inlineStr">
        <is>
          <t>2月</t>
        </is>
      </c>
      <c r="F3" s="5" t="inlineStr">
        <is>
          <t>3月</t>
        </is>
      </c>
      <c r="G3" s="5" t="inlineStr">
        <is>
          <t>4月</t>
        </is>
      </c>
      <c r="H3" s="5" t="inlineStr">
        <is>
          <t>5月</t>
        </is>
      </c>
      <c r="I3" s="5" t="inlineStr">
        <is>
          <t>6月</t>
        </is>
      </c>
      <c r="J3" s="5" t="inlineStr">
        <is>
          <t>7月</t>
        </is>
      </c>
      <c r="K3" s="5" t="inlineStr">
        <is>
          <t>8月</t>
        </is>
      </c>
      <c r="L3" s="5" t="inlineStr">
        <is>
          <t>9月</t>
        </is>
      </c>
      <c r="M3" s="5" t="inlineStr">
        <is>
          <t>10月</t>
        </is>
      </c>
      <c r="N3" s="5" t="inlineStr">
        <is>
          <t>11月</t>
        </is>
      </c>
      <c r="O3" s="5" t="inlineStr">
        <is>
          <t>12月</t>
        </is>
      </c>
      <c r="P3" s="5" t="inlineStr">
        <is>
          <t>合计</t>
        </is>
      </c>
      <c r="Q3" s="5" t="inlineStr">
        <is>
          <t>费比</t>
        </is>
      </c>
    </row>
    <row r="4" ht="18" customHeight="1">
      <c r="C4" s="6" t="inlineStr">
        <is>
          <t xml:space="preserve">  一、GMV 层</t>
        </is>
      </c>
    </row>
    <row r="5" ht="17" customHeight="1">
      <c r="C5" s="7" t="inlineStr">
        <is>
          <t>自补前 GMV（月度目标）</t>
        </is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9">
        <f>SUM(D5:O5)</f>
        <v/>
      </c>
      <c r="Q5" s="10" t="inlineStr"/>
      <c r="R5" s="11" t="inlineStr">
        <is>
          <t>渠道填写</t>
        </is>
      </c>
    </row>
    <row r="6" ht="17" customHeight="1">
      <c r="C6" s="12" t="inlineStr">
        <is>
          <t>国补/自补费用率</t>
        </is>
      </c>
      <c r="D6" s="13" t="n">
        <v>0.1</v>
      </c>
      <c r="E6" s="13" t="n">
        <v>0.1</v>
      </c>
      <c r="F6" s="13" t="n">
        <v>0.1</v>
      </c>
      <c r="G6" s="13" t="n">
        <v>0.1</v>
      </c>
      <c r="H6" s="13" t="n">
        <v>0.1</v>
      </c>
      <c r="I6" s="13" t="n">
        <v>0.1</v>
      </c>
      <c r="J6" s="13" t="n">
        <v>0.1</v>
      </c>
      <c r="K6" s="13" t="n">
        <v>0.1</v>
      </c>
      <c r="L6" s="13" t="n">
        <v>0.1</v>
      </c>
      <c r="M6" s="13" t="n">
        <v>0.1</v>
      </c>
      <c r="N6" s="13" t="n">
        <v>0.1</v>
      </c>
      <c r="O6" s="13" t="n">
        <v>0.1</v>
      </c>
      <c r="P6" s="14">
        <f>SUM(D6:O6)</f>
        <v/>
      </c>
      <c r="Q6" s="15" t="inlineStr"/>
    </row>
    <row r="7" ht="17" customHeight="1">
      <c r="C7" s="16" t="inlineStr">
        <is>
          <t>国补/自补费用</t>
        </is>
      </c>
      <c r="D7" s="17">
        <f>D5*D6</f>
        <v/>
      </c>
      <c r="E7" s="17">
        <f>E5*E6</f>
        <v/>
      </c>
      <c r="F7" s="17">
        <f>F5*F6</f>
        <v/>
      </c>
      <c r="G7" s="17">
        <f>G5*G6</f>
        <v/>
      </c>
      <c r="H7" s="17">
        <f>H5*H6</f>
        <v/>
      </c>
      <c r="I7" s="17">
        <f>I5*I6</f>
        <v/>
      </c>
      <c r="J7" s="17">
        <f>J5*J6</f>
        <v/>
      </c>
      <c r="K7" s="17">
        <f>K5*K6</f>
        <v/>
      </c>
      <c r="L7" s="17">
        <f>L5*L6</f>
        <v/>
      </c>
      <c r="M7" s="17">
        <f>M5*M6</f>
        <v/>
      </c>
      <c r="N7" s="17">
        <f>N5*N6</f>
        <v/>
      </c>
      <c r="O7" s="17">
        <f>O5*O6</f>
        <v/>
      </c>
      <c r="P7" s="18">
        <f>SUM(D7:O7)</f>
        <v/>
      </c>
      <c r="Q7" s="19" t="inlineStr"/>
    </row>
    <row r="8" ht="17" customHeight="1">
      <c r="C8" s="20" t="inlineStr">
        <is>
          <t>GMV（剔除国补）</t>
        </is>
      </c>
      <c r="D8" s="21">
        <f>D5-D7</f>
        <v/>
      </c>
      <c r="E8" s="21">
        <f>E5-E7</f>
        <v/>
      </c>
      <c r="F8" s="21">
        <f>F5-F7</f>
        <v/>
      </c>
      <c r="G8" s="21">
        <f>G5-G7</f>
        <v/>
      </c>
      <c r="H8" s="21">
        <f>H5-H7</f>
        <v/>
      </c>
      <c r="I8" s="21">
        <f>I5-I7</f>
        <v/>
      </c>
      <c r="J8" s="21">
        <f>J5-J7</f>
        <v/>
      </c>
      <c r="K8" s="21">
        <f>K5-K7</f>
        <v/>
      </c>
      <c r="L8" s="21">
        <f>L5-L7</f>
        <v/>
      </c>
      <c r="M8" s="21">
        <f>M5-M7</f>
        <v/>
      </c>
      <c r="N8" s="21">
        <f>N5-N7</f>
        <v/>
      </c>
      <c r="O8" s="21">
        <f>O5-O7</f>
        <v/>
      </c>
      <c r="P8" s="21">
        <f>SUM(D8:O8)</f>
        <v/>
      </c>
      <c r="Q8" s="22" t="inlineStr"/>
    </row>
    <row r="9" ht="17" customHeight="1">
      <c r="C9" s="12" t="inlineStr">
        <is>
          <t>退货率</t>
        </is>
      </c>
      <c r="D9" s="13" t="n">
        <v>0.19</v>
      </c>
      <c r="E9" s="13" t="n">
        <v>0.19</v>
      </c>
      <c r="F9" s="13" t="n">
        <v>0.19</v>
      </c>
      <c r="G9" s="13" t="n">
        <v>0.19</v>
      </c>
      <c r="H9" s="13" t="n">
        <v>0.19</v>
      </c>
      <c r="I9" s="13" t="n">
        <v>0.19</v>
      </c>
      <c r="J9" s="13" t="n">
        <v>0.19</v>
      </c>
      <c r="K9" s="13" t="n">
        <v>0.19</v>
      </c>
      <c r="L9" s="13" t="n">
        <v>0.19</v>
      </c>
      <c r="M9" s="13" t="n">
        <v>0.19</v>
      </c>
      <c r="N9" s="13" t="n">
        <v>0.19</v>
      </c>
      <c r="O9" s="13" t="n">
        <v>0.19</v>
      </c>
      <c r="P9" s="14">
        <f>SUM(D9:O9)</f>
        <v/>
      </c>
      <c r="Q9" s="15" t="inlineStr"/>
    </row>
    <row r="10" ht="17" customHeight="1">
      <c r="C10" s="20" t="inlineStr">
        <is>
          <t>GSV（去退货）</t>
        </is>
      </c>
      <c r="D10" s="21">
        <f>D8*(1-D9)</f>
        <v/>
      </c>
      <c r="E10" s="21">
        <f>E8*(1-E9)</f>
        <v/>
      </c>
      <c r="F10" s="21">
        <f>F8*(1-F9)</f>
        <v/>
      </c>
      <c r="G10" s="21">
        <f>G8*(1-G9)</f>
        <v/>
      </c>
      <c r="H10" s="21">
        <f>H8*(1-H9)</f>
        <v/>
      </c>
      <c r="I10" s="21">
        <f>I8*(1-I9)</f>
        <v/>
      </c>
      <c r="J10" s="21">
        <f>J8*(1-J9)</f>
        <v/>
      </c>
      <c r="K10" s="21">
        <f>K8*(1-K9)</f>
        <v/>
      </c>
      <c r="L10" s="21">
        <f>L8*(1-L9)</f>
        <v/>
      </c>
      <c r="M10" s="21">
        <f>M8*(1-M9)</f>
        <v/>
      </c>
      <c r="N10" s="21">
        <f>N8*(1-N9)</f>
        <v/>
      </c>
      <c r="O10" s="21">
        <f>O8*(1-O9)</f>
        <v/>
      </c>
      <c r="P10" s="21">
        <f>SUM(D10:O10)</f>
        <v/>
      </c>
      <c r="Q10" s="22" t="inlineStr"/>
    </row>
    <row r="11" ht="6" customHeight="1"/>
    <row r="12" ht="18" customHeight="1">
      <c r="C12" s="6" t="inlineStr">
        <is>
          <t xml:space="preserve">  二、营业收入层</t>
        </is>
      </c>
    </row>
    <row r="13" ht="17" customHeight="1">
      <c r="C13" s="12" t="inlineStr">
        <is>
          <t>合同折扣及返利费率（线下）</t>
        </is>
      </c>
      <c r="D13" s="13" t="n">
        <v>0.04</v>
      </c>
      <c r="E13" s="13" t="n">
        <v>0.04</v>
      </c>
      <c r="F13" s="13" t="n">
        <v>0.04</v>
      </c>
      <c r="G13" s="13" t="n">
        <v>0.04</v>
      </c>
      <c r="H13" s="13" t="n">
        <v>0.04</v>
      </c>
      <c r="I13" s="13" t="n">
        <v>0.04</v>
      </c>
      <c r="J13" s="13" t="n">
        <v>0.04</v>
      </c>
      <c r="K13" s="13" t="n">
        <v>0.04</v>
      </c>
      <c r="L13" s="13" t="n">
        <v>0.04</v>
      </c>
      <c r="M13" s="13" t="n">
        <v>0.04</v>
      </c>
      <c r="N13" s="13" t="n">
        <v>0.04</v>
      </c>
      <c r="O13" s="13" t="n">
        <v>0.04</v>
      </c>
      <c r="P13" s="14">
        <f>SUM(D13:O13)</f>
        <v/>
      </c>
      <c r="Q13" s="15" t="inlineStr"/>
    </row>
    <row r="14" ht="17" customHeight="1">
      <c r="C14" s="12" t="inlineStr">
        <is>
          <t>国补/自补折扣费率（线上）</t>
        </is>
      </c>
      <c r="D14" s="13" t="n">
        <v>0.1</v>
      </c>
      <c r="E14" s="13" t="n">
        <v>0.1</v>
      </c>
      <c r="F14" s="13" t="n">
        <v>0.1</v>
      </c>
      <c r="G14" s="13" t="n">
        <v>0.1</v>
      </c>
      <c r="H14" s="13" t="n">
        <v>0.1</v>
      </c>
      <c r="I14" s="13" t="n">
        <v>0.1</v>
      </c>
      <c r="J14" s="13" t="n">
        <v>0.1</v>
      </c>
      <c r="K14" s="13" t="n">
        <v>0.1</v>
      </c>
      <c r="L14" s="13" t="n">
        <v>0.1</v>
      </c>
      <c r="M14" s="13" t="n">
        <v>0.1</v>
      </c>
      <c r="N14" s="13" t="n">
        <v>0.1</v>
      </c>
      <c r="O14" s="13" t="n">
        <v>0.1</v>
      </c>
      <c r="P14" s="14">
        <f>SUM(D14:O14)</f>
        <v/>
      </c>
      <c r="Q14" s="15" t="inlineStr"/>
    </row>
    <row r="15" ht="17" customHeight="1">
      <c r="C15" s="12" t="inlineStr">
        <is>
          <t>红包/促销折扣费率</t>
        </is>
      </c>
      <c r="D15" s="13" t="n">
        <v>0.17</v>
      </c>
      <c r="E15" s="13" t="n">
        <v>0.17</v>
      </c>
      <c r="F15" s="13" t="n">
        <v>0.17</v>
      </c>
      <c r="G15" s="13" t="n">
        <v>0.17</v>
      </c>
      <c r="H15" s="13" t="n">
        <v>0.17</v>
      </c>
      <c r="I15" s="13" t="n">
        <v>0.17</v>
      </c>
      <c r="J15" s="13" t="n">
        <v>0.17</v>
      </c>
      <c r="K15" s="13" t="n">
        <v>0.17</v>
      </c>
      <c r="L15" s="13" t="n">
        <v>0.17</v>
      </c>
      <c r="M15" s="13" t="n">
        <v>0.17</v>
      </c>
      <c r="N15" s="13" t="n">
        <v>0.17</v>
      </c>
      <c r="O15" s="13" t="n">
        <v>0.17</v>
      </c>
      <c r="P15" s="14">
        <f>SUM(D15:O15)</f>
        <v/>
      </c>
      <c r="Q15" s="15" t="inlineStr"/>
    </row>
    <row r="16" ht="17" customHeight="1">
      <c r="C16" s="16" t="inlineStr">
        <is>
          <t>TTL折扣合计</t>
        </is>
      </c>
      <c r="D16" s="17">
        <f>(D13+D14+D15)*D10</f>
        <v/>
      </c>
      <c r="E16" s="17">
        <f>(E13+E14+E15)*E10</f>
        <v/>
      </c>
      <c r="F16" s="17">
        <f>(F13+F14+F15)*F10</f>
        <v/>
      </c>
      <c r="G16" s="17">
        <f>(G13+G14+G15)*G10</f>
        <v/>
      </c>
      <c r="H16" s="17">
        <f>(H13+H14+H15)*H10</f>
        <v/>
      </c>
      <c r="I16" s="17">
        <f>(I13+I14+I15)*I10</f>
        <v/>
      </c>
      <c r="J16" s="17">
        <f>(J13+J14+J15)*J10</f>
        <v/>
      </c>
      <c r="K16" s="17">
        <f>(K13+K14+K15)*K10</f>
        <v/>
      </c>
      <c r="L16" s="17">
        <f>(L13+L14+L15)*L10</f>
        <v/>
      </c>
      <c r="M16" s="17">
        <f>(M13+M14+M15)*M10</f>
        <v/>
      </c>
      <c r="N16" s="17">
        <f>(N13+N14+N15)*N10</f>
        <v/>
      </c>
      <c r="O16" s="17">
        <f>(O13+O14+O15)*O10</f>
        <v/>
      </c>
      <c r="P16" s="18">
        <f>SUM(D16:O16)</f>
        <v/>
      </c>
      <c r="Q16" s="19" t="inlineStr"/>
    </row>
    <row r="17" ht="17" customHeight="1">
      <c r="C17" s="20" t="inlineStr">
        <is>
          <t>营业收入（净销售收入）</t>
        </is>
      </c>
      <c r="D17" s="21">
        <f>D10-D16</f>
        <v/>
      </c>
      <c r="E17" s="21">
        <f>E10-E16</f>
        <v/>
      </c>
      <c r="F17" s="21">
        <f>F10-F16</f>
        <v/>
      </c>
      <c r="G17" s="21">
        <f>G10-G16</f>
        <v/>
      </c>
      <c r="H17" s="21">
        <f>H10-H16</f>
        <v/>
      </c>
      <c r="I17" s="21">
        <f>I10-I16</f>
        <v/>
      </c>
      <c r="J17" s="21">
        <f>J10-J16</f>
        <v/>
      </c>
      <c r="K17" s="21">
        <f>K10-K16</f>
        <v/>
      </c>
      <c r="L17" s="21">
        <f>L10-L16</f>
        <v/>
      </c>
      <c r="M17" s="21">
        <f>M10-M16</f>
        <v/>
      </c>
      <c r="N17" s="21">
        <f>N10-N16</f>
        <v/>
      </c>
      <c r="O17" s="21">
        <f>O10-O16</f>
        <v/>
      </c>
      <c r="P17" s="21">
        <f>SUM(D17:O17)</f>
        <v/>
      </c>
      <c r="Q17" s="22" t="inlineStr"/>
    </row>
    <row r="18" ht="6" customHeight="1"/>
    <row r="19" ht="18" customHeight="1">
      <c r="C19" s="6" t="inlineStr">
        <is>
          <t xml:space="preserve">  三、毛利层</t>
        </is>
      </c>
    </row>
    <row r="20" ht="17" customHeight="1">
      <c r="C20" s="12" t="inlineStr">
        <is>
          <t>标准主品及配件成本率</t>
        </is>
      </c>
      <c r="D20" s="13" t="n">
        <v>0.46</v>
      </c>
      <c r="E20" s="13" t="n">
        <v>0.46</v>
      </c>
      <c r="F20" s="13" t="n">
        <v>0.46</v>
      </c>
      <c r="G20" s="13" t="n">
        <v>0.46</v>
      </c>
      <c r="H20" s="13" t="n">
        <v>0.46</v>
      </c>
      <c r="I20" s="13" t="n">
        <v>0.46</v>
      </c>
      <c r="J20" s="13" t="n">
        <v>0.46</v>
      </c>
      <c r="K20" s="13" t="n">
        <v>0.46</v>
      </c>
      <c r="L20" s="13" t="n">
        <v>0.46</v>
      </c>
      <c r="M20" s="13" t="n">
        <v>0.46</v>
      </c>
      <c r="N20" s="13" t="n">
        <v>0.46</v>
      </c>
      <c r="O20" s="13" t="n">
        <v>0.46</v>
      </c>
      <c r="P20" s="14">
        <f>SUM(D20:O20)</f>
        <v/>
      </c>
      <c r="Q20" s="15" t="inlineStr"/>
    </row>
    <row r="21" ht="17" customHeight="1">
      <c r="C21" s="16" t="inlineStr">
        <is>
          <t>标准主品及配件成本</t>
        </is>
      </c>
      <c r="D21" s="17">
        <f>D17*D20</f>
        <v/>
      </c>
      <c r="E21" s="17">
        <f>E17*E20</f>
        <v/>
      </c>
      <c r="F21" s="17">
        <f>F17*F20</f>
        <v/>
      </c>
      <c r="G21" s="17">
        <f>G17*G20</f>
        <v/>
      </c>
      <c r="H21" s="17">
        <f>H17*H20</f>
        <v/>
      </c>
      <c r="I21" s="17">
        <f>I17*I20</f>
        <v/>
      </c>
      <c r="J21" s="17">
        <f>J17*J20</f>
        <v/>
      </c>
      <c r="K21" s="17">
        <f>K17*K20</f>
        <v/>
      </c>
      <c r="L21" s="17">
        <f>L17*L20</f>
        <v/>
      </c>
      <c r="M21" s="17">
        <f>M17*M20</f>
        <v/>
      </c>
      <c r="N21" s="17">
        <f>N17*N20</f>
        <v/>
      </c>
      <c r="O21" s="17">
        <f>O17*O20</f>
        <v/>
      </c>
      <c r="P21" s="18">
        <f>SUM(D21:O21)</f>
        <v/>
      </c>
      <c r="Q21" s="19" t="inlineStr"/>
    </row>
    <row r="22" ht="17" customHeight="1">
      <c r="C22" s="20" t="inlineStr">
        <is>
          <t>产品毛利</t>
        </is>
      </c>
      <c r="D22" s="21">
        <f>D17-D21</f>
        <v/>
      </c>
      <c r="E22" s="21">
        <f>E17-E21</f>
        <v/>
      </c>
      <c r="F22" s="21">
        <f>F17-F21</f>
        <v/>
      </c>
      <c r="G22" s="21">
        <f>G17-G21</f>
        <v/>
      </c>
      <c r="H22" s="21">
        <f>H17-H21</f>
        <v/>
      </c>
      <c r="I22" s="21">
        <f>I17-I21</f>
        <v/>
      </c>
      <c r="J22" s="21">
        <f>J17-J21</f>
        <v/>
      </c>
      <c r="K22" s="21">
        <f>K17-K21</f>
        <v/>
      </c>
      <c r="L22" s="21">
        <f>L17-L21</f>
        <v/>
      </c>
      <c r="M22" s="21">
        <f>M17-M21</f>
        <v/>
      </c>
      <c r="N22" s="21">
        <f>N17-N21</f>
        <v/>
      </c>
      <c r="O22" s="21">
        <f>O17-O21</f>
        <v/>
      </c>
      <c r="P22" s="21">
        <f>SUM(D22:O22)</f>
        <v/>
      </c>
      <c r="Q22" s="22" t="inlineStr"/>
    </row>
    <row r="23" ht="17" customHeight="1">
      <c r="C23" s="12" t="inlineStr">
        <is>
          <t>物流/仓储费率</t>
        </is>
      </c>
      <c r="D23" s="13" t="n">
        <v>0.025</v>
      </c>
      <c r="E23" s="13" t="n">
        <v>0.025</v>
      </c>
      <c r="F23" s="13" t="n">
        <v>0.025</v>
      </c>
      <c r="G23" s="13" t="n">
        <v>0.025</v>
      </c>
      <c r="H23" s="13" t="n">
        <v>0.025</v>
      </c>
      <c r="I23" s="13" t="n">
        <v>0.025</v>
      </c>
      <c r="J23" s="13" t="n">
        <v>0.025</v>
      </c>
      <c r="K23" s="13" t="n">
        <v>0.025</v>
      </c>
      <c r="L23" s="13" t="n">
        <v>0.025</v>
      </c>
      <c r="M23" s="13" t="n">
        <v>0.025</v>
      </c>
      <c r="N23" s="13" t="n">
        <v>0.025</v>
      </c>
      <c r="O23" s="13" t="n">
        <v>0.025</v>
      </c>
      <c r="P23" s="14">
        <f>SUM(D23:O23)</f>
        <v/>
      </c>
      <c r="Q23" s="15" t="inlineStr"/>
    </row>
    <row r="24" ht="17" customHeight="1">
      <c r="C24" s="16" t="inlineStr">
        <is>
          <t>物流/仓储费用</t>
        </is>
      </c>
      <c r="D24" s="17">
        <f>D17*D23</f>
        <v/>
      </c>
      <c r="E24" s="17">
        <f>E17*E23</f>
        <v/>
      </c>
      <c r="F24" s="17">
        <f>F17*F23</f>
        <v/>
      </c>
      <c r="G24" s="17">
        <f>G17*G23</f>
        <v/>
      </c>
      <c r="H24" s="17">
        <f>H17*H23</f>
        <v/>
      </c>
      <c r="I24" s="17">
        <f>I17*I23</f>
        <v/>
      </c>
      <c r="J24" s="17">
        <f>J17*J23</f>
        <v/>
      </c>
      <c r="K24" s="17">
        <f>K17*K23</f>
        <v/>
      </c>
      <c r="L24" s="17">
        <f>L17*L23</f>
        <v/>
      </c>
      <c r="M24" s="17">
        <f>M17*M23</f>
        <v/>
      </c>
      <c r="N24" s="17">
        <f>N17*N23</f>
        <v/>
      </c>
      <c r="O24" s="17">
        <f>O17*O23</f>
        <v/>
      </c>
      <c r="P24" s="18">
        <f>SUM(D24:O24)</f>
        <v/>
      </c>
      <c r="Q24" s="19" t="inlineStr"/>
    </row>
    <row r="25" ht="17" customHeight="1">
      <c r="C25" s="20" t="inlineStr">
        <is>
          <t>净毛利</t>
        </is>
      </c>
      <c r="D25" s="21">
        <f>D22-D24</f>
        <v/>
      </c>
      <c r="E25" s="21">
        <f>E22-E24</f>
        <v/>
      </c>
      <c r="F25" s="21">
        <f>F22-F24</f>
        <v/>
      </c>
      <c r="G25" s="21">
        <f>G22-G24</f>
        <v/>
      </c>
      <c r="H25" s="21">
        <f>H22-H24</f>
        <v/>
      </c>
      <c r="I25" s="21">
        <f>I22-I24</f>
        <v/>
      </c>
      <c r="J25" s="21">
        <f>J22-J24</f>
        <v/>
      </c>
      <c r="K25" s="21">
        <f>K22-K24</f>
        <v/>
      </c>
      <c r="L25" s="21">
        <f>L22-L24</f>
        <v/>
      </c>
      <c r="M25" s="21">
        <f>M22-M24</f>
        <v/>
      </c>
      <c r="N25" s="21">
        <f>N22-N24</f>
        <v/>
      </c>
      <c r="O25" s="21">
        <f>O22-O24</f>
        <v/>
      </c>
      <c r="P25" s="21">
        <f>SUM(D25:O25)</f>
        <v/>
      </c>
      <c r="Q25" s="22" t="inlineStr"/>
    </row>
    <row r="26" ht="6" customHeight="1"/>
    <row r="27" ht="18" customHeight="1">
      <c r="C27" s="6" t="inlineStr">
        <is>
          <t xml:space="preserve">  四、A&amp;P 营销与运营费用</t>
        </is>
      </c>
    </row>
    <row r="28" ht="17" customHeight="1">
      <c r="C28" s="12" t="inlineStr">
        <is>
          <t>品牌/内容/达人费率</t>
        </is>
      </c>
      <c r="D28" s="13" t="n">
        <v>0.07000000000000001</v>
      </c>
      <c r="E28" s="13" t="n">
        <v>0.07000000000000001</v>
      </c>
      <c r="F28" s="13" t="n">
        <v>0.07000000000000001</v>
      </c>
      <c r="G28" s="13" t="n">
        <v>0.07000000000000001</v>
      </c>
      <c r="H28" s="13" t="n">
        <v>0.07000000000000001</v>
      </c>
      <c r="I28" s="13" t="n">
        <v>0.07000000000000001</v>
      </c>
      <c r="J28" s="13" t="n">
        <v>0.07000000000000001</v>
      </c>
      <c r="K28" s="13" t="n">
        <v>0.07000000000000001</v>
      </c>
      <c r="L28" s="13" t="n">
        <v>0.07000000000000001</v>
      </c>
      <c r="M28" s="13" t="n">
        <v>0.07000000000000001</v>
      </c>
      <c r="N28" s="13" t="n">
        <v>0.07000000000000001</v>
      </c>
      <c r="O28" s="13" t="n">
        <v>0.07000000000000001</v>
      </c>
      <c r="P28" s="14">
        <f>SUM(D28:O28)</f>
        <v/>
      </c>
      <c r="Q28" s="15" t="inlineStr"/>
    </row>
    <row r="29" ht="17" customHeight="1">
      <c r="C29" s="16" t="inlineStr">
        <is>
          <t>品牌内容费用</t>
        </is>
      </c>
      <c r="D29" s="17">
        <f>D17*D28</f>
        <v/>
      </c>
      <c r="E29" s="17">
        <f>E17*E28</f>
        <v/>
      </c>
      <c r="F29" s="17">
        <f>F17*F28</f>
        <v/>
      </c>
      <c r="G29" s="17">
        <f>G17*G28</f>
        <v/>
      </c>
      <c r="H29" s="17">
        <f>H17*H28</f>
        <v/>
      </c>
      <c r="I29" s="17">
        <f>I17*I28</f>
        <v/>
      </c>
      <c r="J29" s="17">
        <f>J17*J28</f>
        <v/>
      </c>
      <c r="K29" s="17">
        <f>K17*K28</f>
        <v/>
      </c>
      <c r="L29" s="17">
        <f>L17*L28</f>
        <v/>
      </c>
      <c r="M29" s="17">
        <f>M17*M28</f>
        <v/>
      </c>
      <c r="N29" s="17">
        <f>N17*N28</f>
        <v/>
      </c>
      <c r="O29" s="17">
        <f>O17*O28</f>
        <v/>
      </c>
      <c r="P29" s="18">
        <f>SUM(D29:O29)</f>
        <v/>
      </c>
      <c r="Q29" s="19" t="inlineStr"/>
    </row>
    <row r="30" ht="17" customHeight="1">
      <c r="C30" s="12" t="inlineStr">
        <is>
          <t>站内投放费率</t>
        </is>
      </c>
      <c r="D30" s="13" t="n">
        <v>0.14</v>
      </c>
      <c r="E30" s="13" t="n">
        <v>0.14</v>
      </c>
      <c r="F30" s="13" t="n">
        <v>0.14</v>
      </c>
      <c r="G30" s="13" t="n">
        <v>0.14</v>
      </c>
      <c r="H30" s="13" t="n">
        <v>0.14</v>
      </c>
      <c r="I30" s="13" t="n">
        <v>0.14</v>
      </c>
      <c r="J30" s="13" t="n">
        <v>0.14</v>
      </c>
      <c r="K30" s="13" t="n">
        <v>0.14</v>
      </c>
      <c r="L30" s="13" t="n">
        <v>0.14</v>
      </c>
      <c r="M30" s="13" t="n">
        <v>0.14</v>
      </c>
      <c r="N30" s="13" t="n">
        <v>0.14</v>
      </c>
      <c r="O30" s="13" t="n">
        <v>0.14</v>
      </c>
      <c r="P30" s="14">
        <f>SUM(D30:O30)</f>
        <v/>
      </c>
      <c r="Q30" s="15" t="inlineStr"/>
    </row>
    <row r="31" ht="17" customHeight="1">
      <c r="C31" s="12" t="inlineStr">
        <is>
          <t>千川投放费率</t>
        </is>
      </c>
      <c r="D31" s="13" t="n">
        <v>0.06</v>
      </c>
      <c r="E31" s="13" t="n">
        <v>0.06</v>
      </c>
      <c r="F31" s="13" t="n">
        <v>0.06</v>
      </c>
      <c r="G31" s="13" t="n">
        <v>0.06</v>
      </c>
      <c r="H31" s="13" t="n">
        <v>0.06</v>
      </c>
      <c r="I31" s="13" t="n">
        <v>0.06</v>
      </c>
      <c r="J31" s="13" t="n">
        <v>0.06</v>
      </c>
      <c r="K31" s="13" t="n">
        <v>0.06</v>
      </c>
      <c r="L31" s="13" t="n">
        <v>0.06</v>
      </c>
      <c r="M31" s="13" t="n">
        <v>0.06</v>
      </c>
      <c r="N31" s="13" t="n">
        <v>0.06</v>
      </c>
      <c r="O31" s="13" t="n">
        <v>0.06</v>
      </c>
      <c r="P31" s="14">
        <f>SUM(D31:O31)</f>
        <v/>
      </c>
      <c r="Q31" s="15" t="inlineStr"/>
    </row>
    <row r="32" ht="17" customHeight="1">
      <c r="C32" s="12" t="inlineStr">
        <is>
          <t>站外投放费率</t>
        </is>
      </c>
      <c r="D32" s="13" t="n">
        <v>0.02</v>
      </c>
      <c r="E32" s="13" t="n">
        <v>0.02</v>
      </c>
      <c r="F32" s="13" t="n">
        <v>0.02</v>
      </c>
      <c r="G32" s="13" t="n">
        <v>0.02</v>
      </c>
      <c r="H32" s="13" t="n">
        <v>0.02</v>
      </c>
      <c r="I32" s="13" t="n">
        <v>0.02</v>
      </c>
      <c r="J32" s="13" t="n">
        <v>0.02</v>
      </c>
      <c r="K32" s="13" t="n">
        <v>0.02</v>
      </c>
      <c r="L32" s="13" t="n">
        <v>0.02</v>
      </c>
      <c r="M32" s="13" t="n">
        <v>0.02</v>
      </c>
      <c r="N32" s="13" t="n">
        <v>0.02</v>
      </c>
      <c r="O32" s="13" t="n">
        <v>0.02</v>
      </c>
      <c r="P32" s="14">
        <f>SUM(D32:O32)</f>
        <v/>
      </c>
      <c r="Q32" s="15" t="inlineStr"/>
    </row>
    <row r="33" ht="17" customHeight="1">
      <c r="C33" s="16" t="inlineStr">
        <is>
          <t>效果广告合计</t>
        </is>
      </c>
      <c r="D33" s="17">
        <f>(D30+D31+D32)*D17</f>
        <v/>
      </c>
      <c r="E33" s="17">
        <f>(E30+E31+E32)*E17</f>
        <v/>
      </c>
      <c r="F33" s="17">
        <f>(F30+F31+F32)*F17</f>
        <v/>
      </c>
      <c r="G33" s="17">
        <f>(G30+G31+G32)*G17</f>
        <v/>
      </c>
      <c r="H33" s="17">
        <f>(H30+H31+H32)*H17</f>
        <v/>
      </c>
      <c r="I33" s="17">
        <f>(I30+I31+I32)*I17</f>
        <v/>
      </c>
      <c r="J33" s="17">
        <f>(J30+J31+J32)*J17</f>
        <v/>
      </c>
      <c r="K33" s="17">
        <f>(K30+K31+K32)*K17</f>
        <v/>
      </c>
      <c r="L33" s="17">
        <f>(L30+L31+L32)*L17</f>
        <v/>
      </c>
      <c r="M33" s="17">
        <f>(M30+M31+M32)*M17</f>
        <v/>
      </c>
      <c r="N33" s="17">
        <f>(N30+N31+N32)*N17</f>
        <v/>
      </c>
      <c r="O33" s="17">
        <f>(O30+O31+O32)*O17</f>
        <v/>
      </c>
      <c r="P33" s="18">
        <f>SUM(D33:O33)</f>
        <v/>
      </c>
      <c r="Q33" s="19" t="inlineStr"/>
    </row>
    <row r="34" ht="17" customHeight="1">
      <c r="C34" s="12" t="inlineStr">
        <is>
          <t>线上运营费率（直播+赠品）</t>
        </is>
      </c>
      <c r="D34" s="13" t="n">
        <v>0.03</v>
      </c>
      <c r="E34" s="13" t="n">
        <v>0.03</v>
      </c>
      <c r="F34" s="13" t="n">
        <v>0.03</v>
      </c>
      <c r="G34" s="13" t="n">
        <v>0.03</v>
      </c>
      <c r="H34" s="13" t="n">
        <v>0.03</v>
      </c>
      <c r="I34" s="13" t="n">
        <v>0.03</v>
      </c>
      <c r="J34" s="13" t="n">
        <v>0.03</v>
      </c>
      <c r="K34" s="13" t="n">
        <v>0.03</v>
      </c>
      <c r="L34" s="13" t="n">
        <v>0.03</v>
      </c>
      <c r="M34" s="13" t="n">
        <v>0.03</v>
      </c>
      <c r="N34" s="13" t="n">
        <v>0.03</v>
      </c>
      <c r="O34" s="13" t="n">
        <v>0.03</v>
      </c>
      <c r="P34" s="14">
        <f>SUM(D34:O34)</f>
        <v/>
      </c>
      <c r="Q34" s="15" t="inlineStr"/>
    </row>
    <row r="35" ht="17" customHeight="1">
      <c r="C35" s="16" t="inlineStr">
        <is>
          <t>线上运营费用</t>
        </is>
      </c>
      <c r="D35" s="17">
        <f>D17*D34</f>
        <v/>
      </c>
      <c r="E35" s="17">
        <f>E17*E34</f>
        <v/>
      </c>
      <c r="F35" s="17">
        <f>F17*F34</f>
        <v/>
      </c>
      <c r="G35" s="17">
        <f>G17*G34</f>
        <v/>
      </c>
      <c r="H35" s="17">
        <f>H17*H34</f>
        <v/>
      </c>
      <c r="I35" s="17">
        <f>I17*I34</f>
        <v/>
      </c>
      <c r="J35" s="17">
        <f>J17*J34</f>
        <v/>
      </c>
      <c r="K35" s="17">
        <f>K17*K34</f>
        <v/>
      </c>
      <c r="L35" s="17">
        <f>L17*L34</f>
        <v/>
      </c>
      <c r="M35" s="17">
        <f>M17*M34</f>
        <v/>
      </c>
      <c r="N35" s="17">
        <f>N17*N34</f>
        <v/>
      </c>
      <c r="O35" s="17">
        <f>O17*O34</f>
        <v/>
      </c>
      <c r="P35" s="18">
        <f>SUM(D35:O35)</f>
        <v/>
      </c>
      <c r="Q35" s="19" t="inlineStr"/>
    </row>
    <row r="36" ht="17" customHeight="1">
      <c r="C36" s="7" t="inlineStr">
        <is>
          <t>线下市场/渠道费用（预算）</t>
        </is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9">
        <f>SUM(D36:O36)</f>
        <v/>
      </c>
      <c r="Q36" s="10" t="inlineStr"/>
    </row>
    <row r="37" ht="17" customHeight="1">
      <c r="C37" s="12" t="inlineStr">
        <is>
          <t>平台佣金费率</t>
        </is>
      </c>
      <c r="D37" s="13" t="n">
        <v>0.05</v>
      </c>
      <c r="E37" s="13" t="n">
        <v>0.05</v>
      </c>
      <c r="F37" s="13" t="n">
        <v>0.05</v>
      </c>
      <c r="G37" s="13" t="n">
        <v>0.05</v>
      </c>
      <c r="H37" s="13" t="n">
        <v>0.05</v>
      </c>
      <c r="I37" s="13" t="n">
        <v>0.05</v>
      </c>
      <c r="J37" s="13" t="n">
        <v>0.05</v>
      </c>
      <c r="K37" s="13" t="n">
        <v>0.05</v>
      </c>
      <c r="L37" s="13" t="n">
        <v>0.05</v>
      </c>
      <c r="M37" s="13" t="n">
        <v>0.05</v>
      </c>
      <c r="N37" s="13" t="n">
        <v>0.05</v>
      </c>
      <c r="O37" s="13" t="n">
        <v>0.05</v>
      </c>
      <c r="P37" s="14">
        <f>SUM(D37:O37)</f>
        <v/>
      </c>
      <c r="Q37" s="15" t="inlineStr"/>
    </row>
    <row r="38" ht="17" customHeight="1">
      <c r="C38" s="16" t="inlineStr">
        <is>
          <t>平台佣金</t>
        </is>
      </c>
      <c r="D38" s="17">
        <f>D17*D37</f>
        <v/>
      </c>
      <c r="E38" s="17">
        <f>E17*E37</f>
        <v/>
      </c>
      <c r="F38" s="17">
        <f>F17*F37</f>
        <v/>
      </c>
      <c r="G38" s="17">
        <f>G17*G37</f>
        <v/>
      </c>
      <c r="H38" s="17">
        <f>H17*H37</f>
        <v/>
      </c>
      <c r="I38" s="17">
        <f>I17*I37</f>
        <v/>
      </c>
      <c r="J38" s="17">
        <f>J17*J37</f>
        <v/>
      </c>
      <c r="K38" s="17">
        <f>K17*K37</f>
        <v/>
      </c>
      <c r="L38" s="17">
        <f>L17*L37</f>
        <v/>
      </c>
      <c r="M38" s="17">
        <f>M17*M37</f>
        <v/>
      </c>
      <c r="N38" s="17">
        <f>N17*N37</f>
        <v/>
      </c>
      <c r="O38" s="17">
        <f>O17*O37</f>
        <v/>
      </c>
      <c r="P38" s="18">
        <f>SUM(D38:O38)</f>
        <v/>
      </c>
      <c r="Q38" s="19" t="inlineStr"/>
    </row>
    <row r="39" ht="17" customHeight="1">
      <c r="C39" s="12" t="inlineStr">
        <is>
          <t>平台其他费率</t>
        </is>
      </c>
      <c r="D39" s="13" t="n">
        <v>0.014</v>
      </c>
      <c r="E39" s="13" t="n">
        <v>0.014</v>
      </c>
      <c r="F39" s="13" t="n">
        <v>0.014</v>
      </c>
      <c r="G39" s="13" t="n">
        <v>0.014</v>
      </c>
      <c r="H39" s="13" t="n">
        <v>0.014</v>
      </c>
      <c r="I39" s="13" t="n">
        <v>0.014</v>
      </c>
      <c r="J39" s="13" t="n">
        <v>0.014</v>
      </c>
      <c r="K39" s="13" t="n">
        <v>0.014</v>
      </c>
      <c r="L39" s="13" t="n">
        <v>0.014</v>
      </c>
      <c r="M39" s="13" t="n">
        <v>0.014</v>
      </c>
      <c r="N39" s="13" t="n">
        <v>0.014</v>
      </c>
      <c r="O39" s="13" t="n">
        <v>0.014</v>
      </c>
      <c r="P39" s="14">
        <f>SUM(D39:O39)</f>
        <v/>
      </c>
      <c r="Q39" s="15" t="inlineStr"/>
    </row>
    <row r="40" ht="17" customHeight="1">
      <c r="C40" s="16" t="inlineStr">
        <is>
          <t>平台其他费用</t>
        </is>
      </c>
      <c r="D40" s="17">
        <f>D17*D39</f>
        <v/>
      </c>
      <c r="E40" s="17">
        <f>E17*E39</f>
        <v/>
      </c>
      <c r="F40" s="17">
        <f>F17*F39</f>
        <v/>
      </c>
      <c r="G40" s="17">
        <f>G17*G39</f>
        <v/>
      </c>
      <c r="H40" s="17">
        <f>H17*H39</f>
        <v/>
      </c>
      <c r="I40" s="17">
        <f>I17*I39</f>
        <v/>
      </c>
      <c r="J40" s="17">
        <f>J17*J39</f>
        <v/>
      </c>
      <c r="K40" s="17">
        <f>K17*K39</f>
        <v/>
      </c>
      <c r="L40" s="17">
        <f>L17*L39</f>
        <v/>
      </c>
      <c r="M40" s="17">
        <f>M17*M39</f>
        <v/>
      </c>
      <c r="N40" s="17">
        <f>N17*N39</f>
        <v/>
      </c>
      <c r="O40" s="17">
        <f>O17*O39</f>
        <v/>
      </c>
      <c r="P40" s="18">
        <f>SUM(D40:O40)</f>
        <v/>
      </c>
      <c r="Q40" s="19" t="inlineStr"/>
    </row>
    <row r="41" ht="17" customHeight="1">
      <c r="C41" s="12" t="inlineStr">
        <is>
          <t>售后费率</t>
        </is>
      </c>
      <c r="D41" s="13" t="n">
        <v>0.03</v>
      </c>
      <c r="E41" s="13" t="n">
        <v>0.03</v>
      </c>
      <c r="F41" s="13" t="n">
        <v>0.03</v>
      </c>
      <c r="G41" s="13" t="n">
        <v>0.03</v>
      </c>
      <c r="H41" s="13" t="n">
        <v>0.03</v>
      </c>
      <c r="I41" s="13" t="n">
        <v>0.03</v>
      </c>
      <c r="J41" s="13" t="n">
        <v>0.03</v>
      </c>
      <c r="K41" s="13" t="n">
        <v>0.03</v>
      </c>
      <c r="L41" s="13" t="n">
        <v>0.03</v>
      </c>
      <c r="M41" s="13" t="n">
        <v>0.03</v>
      </c>
      <c r="N41" s="13" t="n">
        <v>0.03</v>
      </c>
      <c r="O41" s="13" t="n">
        <v>0.03</v>
      </c>
      <c r="P41" s="14">
        <f>SUM(D41:O41)</f>
        <v/>
      </c>
      <c r="Q41" s="15" t="inlineStr"/>
    </row>
    <row r="42" ht="17" customHeight="1">
      <c r="C42" s="16" t="inlineStr">
        <is>
          <t>售后费用</t>
        </is>
      </c>
      <c r="D42" s="17">
        <f>D17*D41</f>
        <v/>
      </c>
      <c r="E42" s="17">
        <f>E17*E41</f>
        <v/>
      </c>
      <c r="F42" s="17">
        <f>F17*F41</f>
        <v/>
      </c>
      <c r="G42" s="17">
        <f>G17*G41</f>
        <v/>
      </c>
      <c r="H42" s="17">
        <f>H17*H41</f>
        <v/>
      </c>
      <c r="I42" s="17">
        <f>I17*I41</f>
        <v/>
      </c>
      <c r="J42" s="17">
        <f>J17*J41</f>
        <v/>
      </c>
      <c r="K42" s="17">
        <f>K17*K41</f>
        <v/>
      </c>
      <c r="L42" s="17">
        <f>L17*L41</f>
        <v/>
      </c>
      <c r="M42" s="17">
        <f>M17*M41</f>
        <v/>
      </c>
      <c r="N42" s="17">
        <f>N17*N41</f>
        <v/>
      </c>
      <c r="O42" s="17">
        <f>O17*O41</f>
        <v/>
      </c>
      <c r="P42" s="18">
        <f>SUM(D42:O42)</f>
        <v/>
      </c>
      <c r="Q42" s="19" t="inlineStr"/>
    </row>
    <row r="43" ht="17" customHeight="1">
      <c r="C43" s="12" t="inlineStr">
        <is>
          <t>店铺运营综合费率</t>
        </is>
      </c>
      <c r="D43" s="13" t="n">
        <v>0.098</v>
      </c>
      <c r="E43" s="13" t="n">
        <v>0.098</v>
      </c>
      <c r="F43" s="13" t="n">
        <v>0.098</v>
      </c>
      <c r="G43" s="13" t="n">
        <v>0.098</v>
      </c>
      <c r="H43" s="13" t="n">
        <v>0.098</v>
      </c>
      <c r="I43" s="13" t="n">
        <v>0.098</v>
      </c>
      <c r="J43" s="13" t="n">
        <v>0.098</v>
      </c>
      <c r="K43" s="13" t="n">
        <v>0.098</v>
      </c>
      <c r="L43" s="13" t="n">
        <v>0.098</v>
      </c>
      <c r="M43" s="13" t="n">
        <v>0.098</v>
      </c>
      <c r="N43" s="13" t="n">
        <v>0.098</v>
      </c>
      <c r="O43" s="13" t="n">
        <v>0.098</v>
      </c>
      <c r="P43" s="14">
        <f>SUM(D43:O43)</f>
        <v/>
      </c>
      <c r="Q43" s="15" t="inlineStr"/>
    </row>
    <row r="44" ht="17" customHeight="1">
      <c r="C44" s="16" t="inlineStr">
        <is>
          <t>店铺运营费用</t>
        </is>
      </c>
      <c r="D44" s="17">
        <f>D17*D43</f>
        <v/>
      </c>
      <c r="E44" s="17">
        <f>E17*E43</f>
        <v/>
      </c>
      <c r="F44" s="17">
        <f>F17*F43</f>
        <v/>
      </c>
      <c r="G44" s="17">
        <f>G17*G43</f>
        <v/>
      </c>
      <c r="H44" s="17">
        <f>H17*H43</f>
        <v/>
      </c>
      <c r="I44" s="17">
        <f>I17*I43</f>
        <v/>
      </c>
      <c r="J44" s="17">
        <f>J17*J43</f>
        <v/>
      </c>
      <c r="K44" s="17">
        <f>K17*K43</f>
        <v/>
      </c>
      <c r="L44" s="17">
        <f>L17*L43</f>
        <v/>
      </c>
      <c r="M44" s="17">
        <f>M17*M43</f>
        <v/>
      </c>
      <c r="N44" s="17">
        <f>N17*N43</f>
        <v/>
      </c>
      <c r="O44" s="17">
        <f>O17*O43</f>
        <v/>
      </c>
      <c r="P44" s="18">
        <f>SUM(D44:O44)</f>
        <v/>
      </c>
      <c r="Q44" s="19" t="inlineStr"/>
    </row>
    <row r="45" ht="17" customHeight="1">
      <c r="C45" s="20" t="inlineStr">
        <is>
          <t>A&amp;P 合计</t>
        </is>
      </c>
      <c r="D45" s="21">
        <f>D29+D33+D35+D36+D38+D40+D42+D44</f>
        <v/>
      </c>
      <c r="E45" s="21">
        <f>E29+E33+E35+E36+E38+E40+E42+E44</f>
        <v/>
      </c>
      <c r="F45" s="21">
        <f>F29+F33+F35+F36+F38+F40+F42+F44</f>
        <v/>
      </c>
      <c r="G45" s="21">
        <f>G29+G33+G35+G36+G38+G40+G42+G44</f>
        <v/>
      </c>
      <c r="H45" s="21">
        <f>H29+H33+H35+H36+H38+H40+H42+H44</f>
        <v/>
      </c>
      <c r="I45" s="21">
        <f>I29+I33+I35+I36+I38+I40+I42+I44</f>
        <v/>
      </c>
      <c r="J45" s="21">
        <f>J29+J33+J35+J36+J38+J40+J42+J44</f>
        <v/>
      </c>
      <c r="K45" s="21">
        <f>K29+K33+K35+K36+K38+K40+K42+K44</f>
        <v/>
      </c>
      <c r="L45" s="21">
        <f>L29+L33+L35+L36+L38+L40+L42+L44</f>
        <v/>
      </c>
      <c r="M45" s="21">
        <f>M29+M33+M35+M36+M38+M40+M42+M44</f>
        <v/>
      </c>
      <c r="N45" s="21">
        <f>N29+N33+N35+N36+N38+N40+N42+N44</f>
        <v/>
      </c>
      <c r="O45" s="21">
        <f>O29+O33+O35+O36+O38+O40+O42+O44</f>
        <v/>
      </c>
      <c r="P45" s="21">
        <f>SUM(D45:O45)</f>
        <v/>
      </c>
      <c r="Q45" s="22" t="inlineStr"/>
    </row>
    <row r="46" ht="6" customHeight="1"/>
    <row r="47" ht="18" customHeight="1">
      <c r="C47" s="6" t="inlineStr">
        <is>
          <t xml:space="preserve">  五、店铺利润（渠道贡献）</t>
        </is>
      </c>
    </row>
    <row r="48" ht="17" customHeight="1">
      <c r="C48" s="20" t="inlineStr">
        <is>
          <t>店铺利润</t>
        </is>
      </c>
      <c r="D48" s="21">
        <f>D25-D45</f>
        <v/>
      </c>
      <c r="E48" s="21">
        <f>E25-E45</f>
        <v/>
      </c>
      <c r="F48" s="21">
        <f>F25-F45</f>
        <v/>
      </c>
      <c r="G48" s="21">
        <f>G25-G45</f>
        <v/>
      </c>
      <c r="H48" s="21">
        <f>H25-H45</f>
        <v/>
      </c>
      <c r="I48" s="21">
        <f>I25-I45</f>
        <v/>
      </c>
      <c r="J48" s="21">
        <f>J25-J45</f>
        <v/>
      </c>
      <c r="K48" s="21">
        <f>K25-K45</f>
        <v/>
      </c>
      <c r="L48" s="21">
        <f>L25-L45</f>
        <v/>
      </c>
      <c r="M48" s="21">
        <f>M25-M45</f>
        <v/>
      </c>
      <c r="N48" s="21">
        <f>N25-N45</f>
        <v/>
      </c>
      <c r="O48" s="21">
        <f>O25-O45</f>
        <v/>
      </c>
      <c r="P48" s="21">
        <f>SUM(D48:O48)</f>
        <v/>
      </c>
      <c r="Q48" s="22" t="inlineStr"/>
    </row>
    <row r="49" ht="6" customHeight="1"/>
    <row r="50" ht="18" customHeight="1">
      <c r="C50" s="6" t="inlineStr">
        <is>
          <t xml:space="preserve">  六、BU 可控 / 贡献层</t>
        </is>
      </c>
    </row>
    <row r="51" ht="17" customHeight="1">
      <c r="C51" s="7" t="inlineStr">
        <is>
          <t>销售管理费用（预算）</t>
        </is>
      </c>
      <c r="D51" s="8" t="n">
        <v>500000</v>
      </c>
      <c r="E51" s="8" t="n">
        <v>500000</v>
      </c>
      <c r="F51" s="8" t="n">
        <v>500000</v>
      </c>
      <c r="G51" s="8" t="n">
        <v>500000</v>
      </c>
      <c r="H51" s="8" t="n">
        <v>500000</v>
      </c>
      <c r="I51" s="8" t="n">
        <v>500000</v>
      </c>
      <c r="J51" s="8" t="n">
        <v>500000</v>
      </c>
      <c r="K51" s="8" t="n">
        <v>500000</v>
      </c>
      <c r="L51" s="8" t="n">
        <v>500000</v>
      </c>
      <c r="M51" s="8" t="n">
        <v>500000</v>
      </c>
      <c r="N51" s="8" t="n">
        <v>500000</v>
      </c>
      <c r="O51" s="8" t="n">
        <v>500000</v>
      </c>
      <c r="P51" s="9">
        <f>SUM(D51:O51)</f>
        <v/>
      </c>
      <c r="Q51" s="10" t="inlineStr"/>
    </row>
    <row r="52" ht="17" customHeight="1">
      <c r="C52" s="7" t="inlineStr">
        <is>
          <t>研发费用（预算）</t>
        </is>
      </c>
      <c r="D52" s="8" t="n">
        <v>3000000</v>
      </c>
      <c r="E52" s="8" t="n">
        <v>3000000</v>
      </c>
      <c r="F52" s="8" t="n">
        <v>3000000</v>
      </c>
      <c r="G52" s="8" t="n">
        <v>3000000</v>
      </c>
      <c r="H52" s="8" t="n">
        <v>3000000</v>
      </c>
      <c r="I52" s="8" t="n">
        <v>3000000</v>
      </c>
      <c r="J52" s="8" t="n">
        <v>3000000</v>
      </c>
      <c r="K52" s="8" t="n">
        <v>3000000</v>
      </c>
      <c r="L52" s="8" t="n">
        <v>3000000</v>
      </c>
      <c r="M52" s="8" t="n">
        <v>3000000</v>
      </c>
      <c r="N52" s="8" t="n">
        <v>3000000</v>
      </c>
      <c r="O52" s="8" t="n">
        <v>3000000</v>
      </c>
      <c r="P52" s="9">
        <f>SUM(D52:O52)</f>
        <v/>
      </c>
      <c r="Q52" s="10" t="inlineStr"/>
    </row>
    <row r="53" ht="17" customHeight="1">
      <c r="C53" s="16" t="inlineStr">
        <is>
          <t>BU可控费用合计</t>
        </is>
      </c>
      <c r="D53" s="17">
        <f>D51+D52</f>
        <v/>
      </c>
      <c r="E53" s="17">
        <f>E51+E52</f>
        <v/>
      </c>
      <c r="F53" s="17">
        <f>F51+F52</f>
        <v/>
      </c>
      <c r="G53" s="17">
        <f>G51+G52</f>
        <v/>
      </c>
      <c r="H53" s="17">
        <f>H51+H52</f>
        <v/>
      </c>
      <c r="I53" s="17">
        <f>I51+I52</f>
        <v/>
      </c>
      <c r="J53" s="17">
        <f>J51+J52</f>
        <v/>
      </c>
      <c r="K53" s="17">
        <f>K51+K52</f>
        <v/>
      </c>
      <c r="L53" s="17">
        <f>L51+L52</f>
        <v/>
      </c>
      <c r="M53" s="17">
        <f>M51+M52</f>
        <v/>
      </c>
      <c r="N53" s="17">
        <f>N51+N52</f>
        <v/>
      </c>
      <c r="O53" s="17">
        <f>O51+O52</f>
        <v/>
      </c>
      <c r="P53" s="18">
        <f>SUM(D53:O53)</f>
        <v/>
      </c>
      <c r="Q53" s="19" t="inlineStr"/>
    </row>
    <row r="54" ht="17" customHeight="1">
      <c r="C54" s="20" t="inlineStr">
        <is>
          <t>BU 可控利润</t>
        </is>
      </c>
      <c r="D54" s="21">
        <f>D48-D53</f>
        <v/>
      </c>
      <c r="E54" s="21">
        <f>E48-E53</f>
        <v/>
      </c>
      <c r="F54" s="21">
        <f>F48-F53</f>
        <v/>
      </c>
      <c r="G54" s="21">
        <f>G48-G53</f>
        <v/>
      </c>
      <c r="H54" s="21">
        <f>H48-H53</f>
        <v/>
      </c>
      <c r="I54" s="21">
        <f>I48-I53</f>
        <v/>
      </c>
      <c r="J54" s="21">
        <f>J48-J53</f>
        <v/>
      </c>
      <c r="K54" s="21">
        <f>K48-K53</f>
        <v/>
      </c>
      <c r="L54" s="21">
        <f>L48-L53</f>
        <v/>
      </c>
      <c r="M54" s="21">
        <f>M48-M53</f>
        <v/>
      </c>
      <c r="N54" s="21">
        <f>N48-N53</f>
        <v/>
      </c>
      <c r="O54" s="21">
        <f>O48-O53</f>
        <v/>
      </c>
      <c r="P54" s="21">
        <f>SUM(D54:O54)</f>
        <v/>
      </c>
      <c r="Q54" s="22" t="inlineStr"/>
    </row>
    <row r="55" ht="17" customHeight="1">
      <c r="C55" s="7" t="inlineStr">
        <is>
          <t>BU 贡献费用（预算）</t>
        </is>
      </c>
      <c r="D55" s="8" t="n">
        <v>2800000</v>
      </c>
      <c r="E55" s="8" t="n">
        <v>2800000</v>
      </c>
      <c r="F55" s="8" t="n">
        <v>2800000</v>
      </c>
      <c r="G55" s="8" t="n">
        <v>2800000</v>
      </c>
      <c r="H55" s="8" t="n">
        <v>2800000</v>
      </c>
      <c r="I55" s="8" t="n">
        <v>2800000</v>
      </c>
      <c r="J55" s="8" t="n">
        <v>2800000</v>
      </c>
      <c r="K55" s="8" t="n">
        <v>2800000</v>
      </c>
      <c r="L55" s="8" t="n">
        <v>2800000</v>
      </c>
      <c r="M55" s="8" t="n">
        <v>2800000</v>
      </c>
      <c r="N55" s="8" t="n">
        <v>2800000</v>
      </c>
      <c r="O55" s="8" t="n">
        <v>2800000</v>
      </c>
      <c r="P55" s="9">
        <f>SUM(D55:O55)</f>
        <v/>
      </c>
      <c r="Q55" s="10" t="inlineStr"/>
    </row>
    <row r="56" ht="17" customHeight="1">
      <c r="C56" s="20" t="inlineStr">
        <is>
          <t>BU 贡献利润</t>
        </is>
      </c>
      <c r="D56" s="21">
        <f>D54-D55</f>
        <v/>
      </c>
      <c r="E56" s="21">
        <f>E54-E55</f>
        <v/>
      </c>
      <c r="F56" s="21">
        <f>F54-F55</f>
        <v/>
      </c>
      <c r="G56" s="21">
        <f>G54-G55</f>
        <v/>
      </c>
      <c r="H56" s="21">
        <f>H54-H55</f>
        <v/>
      </c>
      <c r="I56" s="21">
        <f>I54-I55</f>
        <v/>
      </c>
      <c r="J56" s="21">
        <f>J54-J55</f>
        <v/>
      </c>
      <c r="K56" s="21">
        <f>K54-K55</f>
        <v/>
      </c>
      <c r="L56" s="21">
        <f>L54-L55</f>
        <v/>
      </c>
      <c r="M56" s="21">
        <f>M54-M55</f>
        <v/>
      </c>
      <c r="N56" s="21">
        <f>N54-N55</f>
        <v/>
      </c>
      <c r="O56" s="21">
        <f>O54-O55</f>
        <v/>
      </c>
      <c r="P56" s="21">
        <f>SUM(D56:O56)</f>
        <v/>
      </c>
      <c r="Q56" s="22" t="inlineStr"/>
    </row>
    <row r="57" ht="17" customHeight="1">
      <c r="C57" s="7" t="inlineStr">
        <is>
          <t>集团分摊费用（预算）</t>
        </is>
      </c>
      <c r="D57" s="8" t="n">
        <v>1200000</v>
      </c>
      <c r="E57" s="8" t="n">
        <v>1200000</v>
      </c>
      <c r="F57" s="8" t="n">
        <v>1200000</v>
      </c>
      <c r="G57" s="8" t="n">
        <v>1200000</v>
      </c>
      <c r="H57" s="8" t="n">
        <v>1200000</v>
      </c>
      <c r="I57" s="8" t="n">
        <v>1200000</v>
      </c>
      <c r="J57" s="8" t="n">
        <v>1200000</v>
      </c>
      <c r="K57" s="8" t="n">
        <v>1200000</v>
      </c>
      <c r="L57" s="8" t="n">
        <v>1200000</v>
      </c>
      <c r="M57" s="8" t="n">
        <v>1200000</v>
      </c>
      <c r="N57" s="8" t="n">
        <v>1200000</v>
      </c>
      <c r="O57" s="8" t="n">
        <v>1200000</v>
      </c>
      <c r="P57" s="9">
        <f>SUM(D57:O57)</f>
        <v/>
      </c>
      <c r="Q57" s="10" t="inlineStr"/>
    </row>
    <row r="58" ht="17" customHeight="1">
      <c r="C58" s="20" t="inlineStr">
        <is>
          <t>净利润</t>
        </is>
      </c>
      <c r="D58" s="21">
        <f>D56-D57</f>
        <v/>
      </c>
      <c r="E58" s="21">
        <f>E56-E57</f>
        <v/>
      </c>
      <c r="F58" s="21">
        <f>F56-F57</f>
        <v/>
      </c>
      <c r="G58" s="21">
        <f>G56-G57</f>
        <v/>
      </c>
      <c r="H58" s="21">
        <f>H56-H57</f>
        <v/>
      </c>
      <c r="I58" s="21">
        <f>I56-I57</f>
        <v/>
      </c>
      <c r="J58" s="21">
        <f>J56-J57</f>
        <v/>
      </c>
      <c r="K58" s="21">
        <f>K56-K57</f>
        <v/>
      </c>
      <c r="L58" s="21">
        <f>L56-L57</f>
        <v/>
      </c>
      <c r="M58" s="21">
        <f>M56-M57</f>
        <v/>
      </c>
      <c r="N58" s="21">
        <f>N56-N57</f>
        <v/>
      </c>
      <c r="O58" s="21">
        <f>O56-O57</f>
        <v/>
      </c>
      <c r="P58" s="21">
        <f>SUM(D58:O58)</f>
        <v/>
      </c>
      <c r="Q58" s="22" t="inlineStr"/>
    </row>
  </sheetData>
  <mergeCells count="7">
    <mergeCell ref="C27:R27"/>
    <mergeCell ref="C2:R2"/>
    <mergeCell ref="C19:R19"/>
    <mergeCell ref="C47:R47"/>
    <mergeCell ref="C50:R50"/>
    <mergeCell ref="C4:R4"/>
    <mergeCell ref="C12:R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2:R58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" customWidth="1" min="2" max="2"/>
    <col width="2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9" customWidth="1" min="17" max="17"/>
    <col width="28" customWidth="1" min="18" max="18"/>
  </cols>
  <sheetData>
    <row r="1" ht="8" customHeight="1"/>
    <row r="2" ht="28" customHeight="1">
      <c r="C2" s="4" t="inlineStr">
        <is>
          <t>淘系达播 — 年度 BP</t>
        </is>
      </c>
    </row>
    <row r="3" ht="20" customHeight="1">
      <c r="C3" s="5" t="inlineStr">
        <is>
          <t>科目</t>
        </is>
      </c>
      <c r="D3" s="5" t="inlineStr">
        <is>
          <t>1月</t>
        </is>
      </c>
      <c r="E3" s="5" t="inlineStr">
        <is>
          <t>2月</t>
        </is>
      </c>
      <c r="F3" s="5" t="inlineStr">
        <is>
          <t>3月</t>
        </is>
      </c>
      <c r="G3" s="5" t="inlineStr">
        <is>
          <t>4月</t>
        </is>
      </c>
      <c r="H3" s="5" t="inlineStr">
        <is>
          <t>5月</t>
        </is>
      </c>
      <c r="I3" s="5" t="inlineStr">
        <is>
          <t>6月</t>
        </is>
      </c>
      <c r="J3" s="5" t="inlineStr">
        <is>
          <t>7月</t>
        </is>
      </c>
      <c r="K3" s="5" t="inlineStr">
        <is>
          <t>8月</t>
        </is>
      </c>
      <c r="L3" s="5" t="inlineStr">
        <is>
          <t>9月</t>
        </is>
      </c>
      <c r="M3" s="5" t="inlineStr">
        <is>
          <t>10月</t>
        </is>
      </c>
      <c r="N3" s="5" t="inlineStr">
        <is>
          <t>11月</t>
        </is>
      </c>
      <c r="O3" s="5" t="inlineStr">
        <is>
          <t>12月</t>
        </is>
      </c>
      <c r="P3" s="5" t="inlineStr">
        <is>
          <t>合计</t>
        </is>
      </c>
      <c r="Q3" s="5" t="inlineStr">
        <is>
          <t>费比</t>
        </is>
      </c>
    </row>
    <row r="4" ht="18" customHeight="1">
      <c r="C4" s="6" t="inlineStr">
        <is>
          <t xml:space="preserve">  一、GMV 层</t>
        </is>
      </c>
    </row>
    <row r="5" ht="17" customHeight="1">
      <c r="C5" s="7" t="inlineStr">
        <is>
          <t>自补前 GMV（月度目标）</t>
        </is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9">
        <f>SUM(D5:O5)</f>
        <v/>
      </c>
      <c r="Q5" s="10" t="inlineStr"/>
      <c r="R5" s="11" t="inlineStr">
        <is>
          <t>渠道填写</t>
        </is>
      </c>
    </row>
    <row r="6" ht="17" customHeight="1">
      <c r="C6" s="12" t="inlineStr">
        <is>
          <t>国补/自补费用率</t>
        </is>
      </c>
      <c r="D6" s="13" t="n">
        <v>0.1</v>
      </c>
      <c r="E6" s="13" t="n">
        <v>0.1</v>
      </c>
      <c r="F6" s="13" t="n">
        <v>0.1</v>
      </c>
      <c r="G6" s="13" t="n">
        <v>0.1</v>
      </c>
      <c r="H6" s="13" t="n">
        <v>0.1</v>
      </c>
      <c r="I6" s="13" t="n">
        <v>0.1</v>
      </c>
      <c r="J6" s="13" t="n">
        <v>0.1</v>
      </c>
      <c r="K6" s="13" t="n">
        <v>0.1</v>
      </c>
      <c r="L6" s="13" t="n">
        <v>0.1</v>
      </c>
      <c r="M6" s="13" t="n">
        <v>0.1</v>
      </c>
      <c r="N6" s="13" t="n">
        <v>0.1</v>
      </c>
      <c r="O6" s="13" t="n">
        <v>0.1</v>
      </c>
      <c r="P6" s="14">
        <f>SUM(D6:O6)</f>
        <v/>
      </c>
      <c r="Q6" s="15" t="inlineStr"/>
    </row>
    <row r="7" ht="17" customHeight="1">
      <c r="C7" s="16" t="inlineStr">
        <is>
          <t>国补/自补费用</t>
        </is>
      </c>
      <c r="D7" s="17">
        <f>D5*D6</f>
        <v/>
      </c>
      <c r="E7" s="17">
        <f>E5*E6</f>
        <v/>
      </c>
      <c r="F7" s="17">
        <f>F5*F6</f>
        <v/>
      </c>
      <c r="G7" s="17">
        <f>G5*G6</f>
        <v/>
      </c>
      <c r="H7" s="17">
        <f>H5*H6</f>
        <v/>
      </c>
      <c r="I7" s="17">
        <f>I5*I6</f>
        <v/>
      </c>
      <c r="J7" s="17">
        <f>J5*J6</f>
        <v/>
      </c>
      <c r="K7" s="17">
        <f>K5*K6</f>
        <v/>
      </c>
      <c r="L7" s="17">
        <f>L5*L6</f>
        <v/>
      </c>
      <c r="M7" s="17">
        <f>M5*M6</f>
        <v/>
      </c>
      <c r="N7" s="17">
        <f>N5*N6</f>
        <v/>
      </c>
      <c r="O7" s="17">
        <f>O5*O6</f>
        <v/>
      </c>
      <c r="P7" s="18">
        <f>SUM(D7:O7)</f>
        <v/>
      </c>
      <c r="Q7" s="19" t="inlineStr"/>
    </row>
    <row r="8" ht="17" customHeight="1">
      <c r="C8" s="20" t="inlineStr">
        <is>
          <t>GMV（剔除国补）</t>
        </is>
      </c>
      <c r="D8" s="21">
        <f>D5-D7</f>
        <v/>
      </c>
      <c r="E8" s="21">
        <f>E5-E7</f>
        <v/>
      </c>
      <c r="F8" s="21">
        <f>F5-F7</f>
        <v/>
      </c>
      <c r="G8" s="21">
        <f>G5-G7</f>
        <v/>
      </c>
      <c r="H8" s="21">
        <f>H5-H7</f>
        <v/>
      </c>
      <c r="I8" s="21">
        <f>I5-I7</f>
        <v/>
      </c>
      <c r="J8" s="21">
        <f>J5-J7</f>
        <v/>
      </c>
      <c r="K8" s="21">
        <f>K5-K7</f>
        <v/>
      </c>
      <c r="L8" s="21">
        <f>L5-L7</f>
        <v/>
      </c>
      <c r="M8" s="21">
        <f>M5-M7</f>
        <v/>
      </c>
      <c r="N8" s="21">
        <f>N5-N7</f>
        <v/>
      </c>
      <c r="O8" s="21">
        <f>O5-O7</f>
        <v/>
      </c>
      <c r="P8" s="21">
        <f>SUM(D8:O8)</f>
        <v/>
      </c>
      <c r="Q8" s="22" t="inlineStr"/>
    </row>
    <row r="9" ht="17" customHeight="1">
      <c r="C9" s="12" t="inlineStr">
        <is>
          <t>退货率</t>
        </is>
      </c>
      <c r="D9" s="13" t="n">
        <v>0.19</v>
      </c>
      <c r="E9" s="13" t="n">
        <v>0.19</v>
      </c>
      <c r="F9" s="13" t="n">
        <v>0.19</v>
      </c>
      <c r="G9" s="13" t="n">
        <v>0.19</v>
      </c>
      <c r="H9" s="13" t="n">
        <v>0.19</v>
      </c>
      <c r="I9" s="13" t="n">
        <v>0.19</v>
      </c>
      <c r="J9" s="13" t="n">
        <v>0.19</v>
      </c>
      <c r="K9" s="13" t="n">
        <v>0.19</v>
      </c>
      <c r="L9" s="13" t="n">
        <v>0.19</v>
      </c>
      <c r="M9" s="13" t="n">
        <v>0.19</v>
      </c>
      <c r="N9" s="13" t="n">
        <v>0.19</v>
      </c>
      <c r="O9" s="13" t="n">
        <v>0.19</v>
      </c>
      <c r="P9" s="14">
        <f>SUM(D9:O9)</f>
        <v/>
      </c>
      <c r="Q9" s="15" t="inlineStr"/>
    </row>
    <row r="10" ht="17" customHeight="1">
      <c r="C10" s="20" t="inlineStr">
        <is>
          <t>GSV（去退货）</t>
        </is>
      </c>
      <c r="D10" s="21">
        <f>D8*(1-D9)</f>
        <v/>
      </c>
      <c r="E10" s="21">
        <f>E8*(1-E9)</f>
        <v/>
      </c>
      <c r="F10" s="21">
        <f>F8*(1-F9)</f>
        <v/>
      </c>
      <c r="G10" s="21">
        <f>G8*(1-G9)</f>
        <v/>
      </c>
      <c r="H10" s="21">
        <f>H8*(1-H9)</f>
        <v/>
      </c>
      <c r="I10" s="21">
        <f>I8*(1-I9)</f>
        <v/>
      </c>
      <c r="J10" s="21">
        <f>J8*(1-J9)</f>
        <v/>
      </c>
      <c r="K10" s="21">
        <f>K8*(1-K9)</f>
        <v/>
      </c>
      <c r="L10" s="21">
        <f>L8*(1-L9)</f>
        <v/>
      </c>
      <c r="M10" s="21">
        <f>M8*(1-M9)</f>
        <v/>
      </c>
      <c r="N10" s="21">
        <f>N8*(1-N9)</f>
        <v/>
      </c>
      <c r="O10" s="21">
        <f>O8*(1-O9)</f>
        <v/>
      </c>
      <c r="P10" s="21">
        <f>SUM(D10:O10)</f>
        <v/>
      </c>
      <c r="Q10" s="22" t="inlineStr"/>
    </row>
    <row r="11" ht="6" customHeight="1"/>
    <row r="12" ht="18" customHeight="1">
      <c r="C12" s="6" t="inlineStr">
        <is>
          <t xml:space="preserve">  二、营业收入层</t>
        </is>
      </c>
    </row>
    <row r="13" ht="17" customHeight="1">
      <c r="C13" s="12" t="inlineStr">
        <is>
          <t>合同折扣及返利费率（线下）</t>
        </is>
      </c>
      <c r="D13" s="13" t="n">
        <v>0.04</v>
      </c>
      <c r="E13" s="13" t="n">
        <v>0.04</v>
      </c>
      <c r="F13" s="13" t="n">
        <v>0.04</v>
      </c>
      <c r="G13" s="13" t="n">
        <v>0.04</v>
      </c>
      <c r="H13" s="13" t="n">
        <v>0.04</v>
      </c>
      <c r="I13" s="13" t="n">
        <v>0.04</v>
      </c>
      <c r="J13" s="13" t="n">
        <v>0.04</v>
      </c>
      <c r="K13" s="13" t="n">
        <v>0.04</v>
      </c>
      <c r="L13" s="13" t="n">
        <v>0.04</v>
      </c>
      <c r="M13" s="13" t="n">
        <v>0.04</v>
      </c>
      <c r="N13" s="13" t="n">
        <v>0.04</v>
      </c>
      <c r="O13" s="13" t="n">
        <v>0.04</v>
      </c>
      <c r="P13" s="14">
        <f>SUM(D13:O13)</f>
        <v/>
      </c>
      <c r="Q13" s="15" t="inlineStr"/>
    </row>
    <row r="14" ht="17" customHeight="1">
      <c r="C14" s="12" t="inlineStr">
        <is>
          <t>国补/自补折扣费率（线上）</t>
        </is>
      </c>
      <c r="D14" s="13" t="n">
        <v>0.1</v>
      </c>
      <c r="E14" s="13" t="n">
        <v>0.1</v>
      </c>
      <c r="F14" s="13" t="n">
        <v>0.1</v>
      </c>
      <c r="G14" s="13" t="n">
        <v>0.1</v>
      </c>
      <c r="H14" s="13" t="n">
        <v>0.1</v>
      </c>
      <c r="I14" s="13" t="n">
        <v>0.1</v>
      </c>
      <c r="J14" s="13" t="n">
        <v>0.1</v>
      </c>
      <c r="K14" s="13" t="n">
        <v>0.1</v>
      </c>
      <c r="L14" s="13" t="n">
        <v>0.1</v>
      </c>
      <c r="M14" s="13" t="n">
        <v>0.1</v>
      </c>
      <c r="N14" s="13" t="n">
        <v>0.1</v>
      </c>
      <c r="O14" s="13" t="n">
        <v>0.1</v>
      </c>
      <c r="P14" s="14">
        <f>SUM(D14:O14)</f>
        <v/>
      </c>
      <c r="Q14" s="15" t="inlineStr"/>
    </row>
    <row r="15" ht="17" customHeight="1">
      <c r="C15" s="12" t="inlineStr">
        <is>
          <t>红包/促销折扣费率</t>
        </is>
      </c>
      <c r="D15" s="13" t="n">
        <v>0.17</v>
      </c>
      <c r="E15" s="13" t="n">
        <v>0.17</v>
      </c>
      <c r="F15" s="13" t="n">
        <v>0.17</v>
      </c>
      <c r="G15" s="13" t="n">
        <v>0.17</v>
      </c>
      <c r="H15" s="13" t="n">
        <v>0.17</v>
      </c>
      <c r="I15" s="13" t="n">
        <v>0.17</v>
      </c>
      <c r="J15" s="13" t="n">
        <v>0.17</v>
      </c>
      <c r="K15" s="13" t="n">
        <v>0.17</v>
      </c>
      <c r="L15" s="13" t="n">
        <v>0.17</v>
      </c>
      <c r="M15" s="13" t="n">
        <v>0.17</v>
      </c>
      <c r="N15" s="13" t="n">
        <v>0.17</v>
      </c>
      <c r="O15" s="13" t="n">
        <v>0.17</v>
      </c>
      <c r="P15" s="14">
        <f>SUM(D15:O15)</f>
        <v/>
      </c>
      <c r="Q15" s="15" t="inlineStr"/>
    </row>
    <row r="16" ht="17" customHeight="1">
      <c r="C16" s="16" t="inlineStr">
        <is>
          <t>TTL折扣合计</t>
        </is>
      </c>
      <c r="D16" s="17">
        <f>(D13+D14+D15)*D10</f>
        <v/>
      </c>
      <c r="E16" s="17">
        <f>(E13+E14+E15)*E10</f>
        <v/>
      </c>
      <c r="F16" s="17">
        <f>(F13+F14+F15)*F10</f>
        <v/>
      </c>
      <c r="G16" s="17">
        <f>(G13+G14+G15)*G10</f>
        <v/>
      </c>
      <c r="H16" s="17">
        <f>(H13+H14+H15)*H10</f>
        <v/>
      </c>
      <c r="I16" s="17">
        <f>(I13+I14+I15)*I10</f>
        <v/>
      </c>
      <c r="J16" s="17">
        <f>(J13+J14+J15)*J10</f>
        <v/>
      </c>
      <c r="K16" s="17">
        <f>(K13+K14+K15)*K10</f>
        <v/>
      </c>
      <c r="L16" s="17">
        <f>(L13+L14+L15)*L10</f>
        <v/>
      </c>
      <c r="M16" s="17">
        <f>(M13+M14+M15)*M10</f>
        <v/>
      </c>
      <c r="N16" s="17">
        <f>(N13+N14+N15)*N10</f>
        <v/>
      </c>
      <c r="O16" s="17">
        <f>(O13+O14+O15)*O10</f>
        <v/>
      </c>
      <c r="P16" s="18">
        <f>SUM(D16:O16)</f>
        <v/>
      </c>
      <c r="Q16" s="19" t="inlineStr"/>
    </row>
    <row r="17" ht="17" customHeight="1">
      <c r="C17" s="20" t="inlineStr">
        <is>
          <t>营业收入（净销售收入）</t>
        </is>
      </c>
      <c r="D17" s="21">
        <f>D10-D16</f>
        <v/>
      </c>
      <c r="E17" s="21">
        <f>E10-E16</f>
        <v/>
      </c>
      <c r="F17" s="21">
        <f>F10-F16</f>
        <v/>
      </c>
      <c r="G17" s="21">
        <f>G10-G16</f>
        <v/>
      </c>
      <c r="H17" s="21">
        <f>H10-H16</f>
        <v/>
      </c>
      <c r="I17" s="21">
        <f>I10-I16</f>
        <v/>
      </c>
      <c r="J17" s="21">
        <f>J10-J16</f>
        <v/>
      </c>
      <c r="K17" s="21">
        <f>K10-K16</f>
        <v/>
      </c>
      <c r="L17" s="21">
        <f>L10-L16</f>
        <v/>
      </c>
      <c r="M17" s="21">
        <f>M10-M16</f>
        <v/>
      </c>
      <c r="N17" s="21">
        <f>N10-N16</f>
        <v/>
      </c>
      <c r="O17" s="21">
        <f>O10-O16</f>
        <v/>
      </c>
      <c r="P17" s="21">
        <f>SUM(D17:O17)</f>
        <v/>
      </c>
      <c r="Q17" s="22" t="inlineStr"/>
    </row>
    <row r="18" ht="6" customHeight="1"/>
    <row r="19" ht="18" customHeight="1">
      <c r="C19" s="6" t="inlineStr">
        <is>
          <t xml:space="preserve">  三、毛利层</t>
        </is>
      </c>
    </row>
    <row r="20" ht="17" customHeight="1">
      <c r="C20" s="12" t="inlineStr">
        <is>
          <t>标准主品及配件成本率</t>
        </is>
      </c>
      <c r="D20" s="13" t="n">
        <v>0.46</v>
      </c>
      <c r="E20" s="13" t="n">
        <v>0.46</v>
      </c>
      <c r="F20" s="13" t="n">
        <v>0.46</v>
      </c>
      <c r="G20" s="13" t="n">
        <v>0.46</v>
      </c>
      <c r="H20" s="13" t="n">
        <v>0.46</v>
      </c>
      <c r="I20" s="13" t="n">
        <v>0.46</v>
      </c>
      <c r="J20" s="13" t="n">
        <v>0.46</v>
      </c>
      <c r="K20" s="13" t="n">
        <v>0.46</v>
      </c>
      <c r="L20" s="13" t="n">
        <v>0.46</v>
      </c>
      <c r="M20" s="13" t="n">
        <v>0.46</v>
      </c>
      <c r="N20" s="13" t="n">
        <v>0.46</v>
      </c>
      <c r="O20" s="13" t="n">
        <v>0.46</v>
      </c>
      <c r="P20" s="14">
        <f>SUM(D20:O20)</f>
        <v/>
      </c>
      <c r="Q20" s="15" t="inlineStr"/>
    </row>
    <row r="21" ht="17" customHeight="1">
      <c r="C21" s="16" t="inlineStr">
        <is>
          <t>标准主品及配件成本</t>
        </is>
      </c>
      <c r="D21" s="17">
        <f>D17*D20</f>
        <v/>
      </c>
      <c r="E21" s="17">
        <f>E17*E20</f>
        <v/>
      </c>
      <c r="F21" s="17">
        <f>F17*F20</f>
        <v/>
      </c>
      <c r="G21" s="17">
        <f>G17*G20</f>
        <v/>
      </c>
      <c r="H21" s="17">
        <f>H17*H20</f>
        <v/>
      </c>
      <c r="I21" s="17">
        <f>I17*I20</f>
        <v/>
      </c>
      <c r="J21" s="17">
        <f>J17*J20</f>
        <v/>
      </c>
      <c r="K21" s="17">
        <f>K17*K20</f>
        <v/>
      </c>
      <c r="L21" s="17">
        <f>L17*L20</f>
        <v/>
      </c>
      <c r="M21" s="17">
        <f>M17*M20</f>
        <v/>
      </c>
      <c r="N21" s="17">
        <f>N17*N20</f>
        <v/>
      </c>
      <c r="O21" s="17">
        <f>O17*O20</f>
        <v/>
      </c>
      <c r="P21" s="18">
        <f>SUM(D21:O21)</f>
        <v/>
      </c>
      <c r="Q21" s="19" t="inlineStr"/>
    </row>
    <row r="22" ht="17" customHeight="1">
      <c r="C22" s="20" t="inlineStr">
        <is>
          <t>产品毛利</t>
        </is>
      </c>
      <c r="D22" s="21">
        <f>D17-D21</f>
        <v/>
      </c>
      <c r="E22" s="21">
        <f>E17-E21</f>
        <v/>
      </c>
      <c r="F22" s="21">
        <f>F17-F21</f>
        <v/>
      </c>
      <c r="G22" s="21">
        <f>G17-G21</f>
        <v/>
      </c>
      <c r="H22" s="21">
        <f>H17-H21</f>
        <v/>
      </c>
      <c r="I22" s="21">
        <f>I17-I21</f>
        <v/>
      </c>
      <c r="J22" s="21">
        <f>J17-J21</f>
        <v/>
      </c>
      <c r="K22" s="21">
        <f>K17-K21</f>
        <v/>
      </c>
      <c r="L22" s="21">
        <f>L17-L21</f>
        <v/>
      </c>
      <c r="M22" s="21">
        <f>M17-M21</f>
        <v/>
      </c>
      <c r="N22" s="21">
        <f>N17-N21</f>
        <v/>
      </c>
      <c r="O22" s="21">
        <f>O17-O21</f>
        <v/>
      </c>
      <c r="P22" s="21">
        <f>SUM(D22:O22)</f>
        <v/>
      </c>
      <c r="Q22" s="22" t="inlineStr"/>
    </row>
    <row r="23" ht="17" customHeight="1">
      <c r="C23" s="12" t="inlineStr">
        <is>
          <t>物流/仓储费率</t>
        </is>
      </c>
      <c r="D23" s="13" t="n">
        <v>0.025</v>
      </c>
      <c r="E23" s="13" t="n">
        <v>0.025</v>
      </c>
      <c r="F23" s="13" t="n">
        <v>0.025</v>
      </c>
      <c r="G23" s="13" t="n">
        <v>0.025</v>
      </c>
      <c r="H23" s="13" t="n">
        <v>0.025</v>
      </c>
      <c r="I23" s="13" t="n">
        <v>0.025</v>
      </c>
      <c r="J23" s="13" t="n">
        <v>0.025</v>
      </c>
      <c r="K23" s="13" t="n">
        <v>0.025</v>
      </c>
      <c r="L23" s="13" t="n">
        <v>0.025</v>
      </c>
      <c r="M23" s="13" t="n">
        <v>0.025</v>
      </c>
      <c r="N23" s="13" t="n">
        <v>0.025</v>
      </c>
      <c r="O23" s="13" t="n">
        <v>0.025</v>
      </c>
      <c r="P23" s="14">
        <f>SUM(D23:O23)</f>
        <v/>
      </c>
      <c r="Q23" s="15" t="inlineStr"/>
    </row>
    <row r="24" ht="17" customHeight="1">
      <c r="C24" s="16" t="inlineStr">
        <is>
          <t>物流/仓储费用</t>
        </is>
      </c>
      <c r="D24" s="17">
        <f>D17*D23</f>
        <v/>
      </c>
      <c r="E24" s="17">
        <f>E17*E23</f>
        <v/>
      </c>
      <c r="F24" s="17">
        <f>F17*F23</f>
        <v/>
      </c>
      <c r="G24" s="17">
        <f>G17*G23</f>
        <v/>
      </c>
      <c r="H24" s="17">
        <f>H17*H23</f>
        <v/>
      </c>
      <c r="I24" s="17">
        <f>I17*I23</f>
        <v/>
      </c>
      <c r="J24" s="17">
        <f>J17*J23</f>
        <v/>
      </c>
      <c r="K24" s="17">
        <f>K17*K23</f>
        <v/>
      </c>
      <c r="L24" s="17">
        <f>L17*L23</f>
        <v/>
      </c>
      <c r="M24" s="17">
        <f>M17*M23</f>
        <v/>
      </c>
      <c r="N24" s="17">
        <f>N17*N23</f>
        <v/>
      </c>
      <c r="O24" s="17">
        <f>O17*O23</f>
        <v/>
      </c>
      <c r="P24" s="18">
        <f>SUM(D24:O24)</f>
        <v/>
      </c>
      <c r="Q24" s="19" t="inlineStr"/>
    </row>
    <row r="25" ht="17" customHeight="1">
      <c r="C25" s="20" t="inlineStr">
        <is>
          <t>净毛利</t>
        </is>
      </c>
      <c r="D25" s="21">
        <f>D22-D24</f>
        <v/>
      </c>
      <c r="E25" s="21">
        <f>E22-E24</f>
        <v/>
      </c>
      <c r="F25" s="21">
        <f>F22-F24</f>
        <v/>
      </c>
      <c r="G25" s="21">
        <f>G22-G24</f>
        <v/>
      </c>
      <c r="H25" s="21">
        <f>H22-H24</f>
        <v/>
      </c>
      <c r="I25" s="21">
        <f>I22-I24</f>
        <v/>
      </c>
      <c r="J25" s="21">
        <f>J22-J24</f>
        <v/>
      </c>
      <c r="K25" s="21">
        <f>K22-K24</f>
        <v/>
      </c>
      <c r="L25" s="21">
        <f>L22-L24</f>
        <v/>
      </c>
      <c r="M25" s="21">
        <f>M22-M24</f>
        <v/>
      </c>
      <c r="N25" s="21">
        <f>N22-N24</f>
        <v/>
      </c>
      <c r="O25" s="21">
        <f>O22-O24</f>
        <v/>
      </c>
      <c r="P25" s="21">
        <f>SUM(D25:O25)</f>
        <v/>
      </c>
      <c r="Q25" s="22" t="inlineStr"/>
    </row>
    <row r="26" ht="6" customHeight="1"/>
    <row r="27" ht="18" customHeight="1">
      <c r="C27" s="6" t="inlineStr">
        <is>
          <t xml:space="preserve">  四、A&amp;P 营销与运营费用</t>
        </is>
      </c>
    </row>
    <row r="28" ht="17" customHeight="1">
      <c r="C28" s="12" t="inlineStr">
        <is>
          <t>品牌/内容/达人费率</t>
        </is>
      </c>
      <c r="D28" s="13" t="n">
        <v>0.12</v>
      </c>
      <c r="E28" s="13" t="n">
        <v>0.12</v>
      </c>
      <c r="F28" s="13" t="n">
        <v>0.12</v>
      </c>
      <c r="G28" s="13" t="n">
        <v>0.12</v>
      </c>
      <c r="H28" s="13" t="n">
        <v>0.12</v>
      </c>
      <c r="I28" s="13" t="n">
        <v>0.12</v>
      </c>
      <c r="J28" s="13" t="n">
        <v>0.12</v>
      </c>
      <c r="K28" s="13" t="n">
        <v>0.12</v>
      </c>
      <c r="L28" s="13" t="n">
        <v>0.12</v>
      </c>
      <c r="M28" s="13" t="n">
        <v>0.12</v>
      </c>
      <c r="N28" s="13" t="n">
        <v>0.12</v>
      </c>
      <c r="O28" s="13" t="n">
        <v>0.12</v>
      </c>
      <c r="P28" s="14">
        <f>SUM(D28:O28)</f>
        <v/>
      </c>
      <c r="Q28" s="15" t="inlineStr"/>
    </row>
    <row r="29" ht="17" customHeight="1">
      <c r="C29" s="16" t="inlineStr">
        <is>
          <t>品牌内容费用</t>
        </is>
      </c>
      <c r="D29" s="17">
        <f>D17*D28</f>
        <v/>
      </c>
      <c r="E29" s="17">
        <f>E17*E28</f>
        <v/>
      </c>
      <c r="F29" s="17">
        <f>F17*F28</f>
        <v/>
      </c>
      <c r="G29" s="17">
        <f>G17*G28</f>
        <v/>
      </c>
      <c r="H29" s="17">
        <f>H17*H28</f>
        <v/>
      </c>
      <c r="I29" s="17">
        <f>I17*I28</f>
        <v/>
      </c>
      <c r="J29" s="17">
        <f>J17*J28</f>
        <v/>
      </c>
      <c r="K29" s="17">
        <f>K17*K28</f>
        <v/>
      </c>
      <c r="L29" s="17">
        <f>L17*L28</f>
        <v/>
      </c>
      <c r="M29" s="17">
        <f>M17*M28</f>
        <v/>
      </c>
      <c r="N29" s="17">
        <f>N17*N28</f>
        <v/>
      </c>
      <c r="O29" s="17">
        <f>O17*O28</f>
        <v/>
      </c>
      <c r="P29" s="18">
        <f>SUM(D29:O29)</f>
        <v/>
      </c>
      <c r="Q29" s="19" t="inlineStr"/>
    </row>
    <row r="30" ht="17" customHeight="1">
      <c r="C30" s="12" t="inlineStr">
        <is>
          <t>站内投放费率</t>
        </is>
      </c>
      <c r="D30" s="13" t="n">
        <v>0.1</v>
      </c>
      <c r="E30" s="13" t="n">
        <v>0.1</v>
      </c>
      <c r="F30" s="13" t="n">
        <v>0.1</v>
      </c>
      <c r="G30" s="13" t="n">
        <v>0.1</v>
      </c>
      <c r="H30" s="13" t="n">
        <v>0.1</v>
      </c>
      <c r="I30" s="13" t="n">
        <v>0.1</v>
      </c>
      <c r="J30" s="13" t="n">
        <v>0.1</v>
      </c>
      <c r="K30" s="13" t="n">
        <v>0.1</v>
      </c>
      <c r="L30" s="13" t="n">
        <v>0.1</v>
      </c>
      <c r="M30" s="13" t="n">
        <v>0.1</v>
      </c>
      <c r="N30" s="13" t="n">
        <v>0.1</v>
      </c>
      <c r="O30" s="13" t="n">
        <v>0.1</v>
      </c>
      <c r="P30" s="14">
        <f>SUM(D30:O30)</f>
        <v/>
      </c>
      <c r="Q30" s="15" t="inlineStr"/>
    </row>
    <row r="31" ht="17" customHeight="1">
      <c r="C31" s="12" t="inlineStr">
        <is>
          <t>千川投放费率</t>
        </is>
      </c>
      <c r="D31" s="13" t="n">
        <v>0.06</v>
      </c>
      <c r="E31" s="13" t="n">
        <v>0.06</v>
      </c>
      <c r="F31" s="13" t="n">
        <v>0.06</v>
      </c>
      <c r="G31" s="13" t="n">
        <v>0.06</v>
      </c>
      <c r="H31" s="13" t="n">
        <v>0.06</v>
      </c>
      <c r="I31" s="13" t="n">
        <v>0.06</v>
      </c>
      <c r="J31" s="13" t="n">
        <v>0.06</v>
      </c>
      <c r="K31" s="13" t="n">
        <v>0.06</v>
      </c>
      <c r="L31" s="13" t="n">
        <v>0.06</v>
      </c>
      <c r="M31" s="13" t="n">
        <v>0.06</v>
      </c>
      <c r="N31" s="13" t="n">
        <v>0.06</v>
      </c>
      <c r="O31" s="13" t="n">
        <v>0.06</v>
      </c>
      <c r="P31" s="14">
        <f>SUM(D31:O31)</f>
        <v/>
      </c>
      <c r="Q31" s="15" t="inlineStr"/>
    </row>
    <row r="32" ht="17" customHeight="1">
      <c r="C32" s="12" t="inlineStr">
        <is>
          <t>站外投放费率</t>
        </is>
      </c>
      <c r="D32" s="13" t="n">
        <v>0.02</v>
      </c>
      <c r="E32" s="13" t="n">
        <v>0.02</v>
      </c>
      <c r="F32" s="13" t="n">
        <v>0.02</v>
      </c>
      <c r="G32" s="13" t="n">
        <v>0.02</v>
      </c>
      <c r="H32" s="13" t="n">
        <v>0.02</v>
      </c>
      <c r="I32" s="13" t="n">
        <v>0.02</v>
      </c>
      <c r="J32" s="13" t="n">
        <v>0.02</v>
      </c>
      <c r="K32" s="13" t="n">
        <v>0.02</v>
      </c>
      <c r="L32" s="13" t="n">
        <v>0.02</v>
      </c>
      <c r="M32" s="13" t="n">
        <v>0.02</v>
      </c>
      <c r="N32" s="13" t="n">
        <v>0.02</v>
      </c>
      <c r="O32" s="13" t="n">
        <v>0.02</v>
      </c>
      <c r="P32" s="14">
        <f>SUM(D32:O32)</f>
        <v/>
      </c>
      <c r="Q32" s="15" t="inlineStr"/>
    </row>
    <row r="33" ht="17" customHeight="1">
      <c r="C33" s="16" t="inlineStr">
        <is>
          <t>效果广告合计</t>
        </is>
      </c>
      <c r="D33" s="17">
        <f>(D30+D31+D32)*D17</f>
        <v/>
      </c>
      <c r="E33" s="17">
        <f>(E30+E31+E32)*E17</f>
        <v/>
      </c>
      <c r="F33" s="17">
        <f>(F30+F31+F32)*F17</f>
        <v/>
      </c>
      <c r="G33" s="17">
        <f>(G30+G31+G32)*G17</f>
        <v/>
      </c>
      <c r="H33" s="17">
        <f>(H30+H31+H32)*H17</f>
        <v/>
      </c>
      <c r="I33" s="17">
        <f>(I30+I31+I32)*I17</f>
        <v/>
      </c>
      <c r="J33" s="17">
        <f>(J30+J31+J32)*J17</f>
        <v/>
      </c>
      <c r="K33" s="17">
        <f>(K30+K31+K32)*K17</f>
        <v/>
      </c>
      <c r="L33" s="17">
        <f>(L30+L31+L32)*L17</f>
        <v/>
      </c>
      <c r="M33" s="17">
        <f>(M30+M31+M32)*M17</f>
        <v/>
      </c>
      <c r="N33" s="17">
        <f>(N30+N31+N32)*N17</f>
        <v/>
      </c>
      <c r="O33" s="17">
        <f>(O30+O31+O32)*O17</f>
        <v/>
      </c>
      <c r="P33" s="18">
        <f>SUM(D33:O33)</f>
        <v/>
      </c>
      <c r="Q33" s="19" t="inlineStr"/>
    </row>
    <row r="34" ht="17" customHeight="1">
      <c r="C34" s="12" t="inlineStr">
        <is>
          <t>线上运营费率（直播+赠品）</t>
        </is>
      </c>
      <c r="D34" s="13" t="n">
        <v>0.03</v>
      </c>
      <c r="E34" s="13" t="n">
        <v>0.03</v>
      </c>
      <c r="F34" s="13" t="n">
        <v>0.03</v>
      </c>
      <c r="G34" s="13" t="n">
        <v>0.03</v>
      </c>
      <c r="H34" s="13" t="n">
        <v>0.03</v>
      </c>
      <c r="I34" s="13" t="n">
        <v>0.03</v>
      </c>
      <c r="J34" s="13" t="n">
        <v>0.03</v>
      </c>
      <c r="K34" s="13" t="n">
        <v>0.03</v>
      </c>
      <c r="L34" s="13" t="n">
        <v>0.03</v>
      </c>
      <c r="M34" s="13" t="n">
        <v>0.03</v>
      </c>
      <c r="N34" s="13" t="n">
        <v>0.03</v>
      </c>
      <c r="O34" s="13" t="n">
        <v>0.03</v>
      </c>
      <c r="P34" s="14">
        <f>SUM(D34:O34)</f>
        <v/>
      </c>
      <c r="Q34" s="15" t="inlineStr"/>
    </row>
    <row r="35" ht="17" customHeight="1">
      <c r="C35" s="16" t="inlineStr">
        <is>
          <t>线上运营费用</t>
        </is>
      </c>
      <c r="D35" s="17">
        <f>D17*D34</f>
        <v/>
      </c>
      <c r="E35" s="17">
        <f>E17*E34</f>
        <v/>
      </c>
      <c r="F35" s="17">
        <f>F17*F34</f>
        <v/>
      </c>
      <c r="G35" s="17">
        <f>G17*G34</f>
        <v/>
      </c>
      <c r="H35" s="17">
        <f>H17*H34</f>
        <v/>
      </c>
      <c r="I35" s="17">
        <f>I17*I34</f>
        <v/>
      </c>
      <c r="J35" s="17">
        <f>J17*J34</f>
        <v/>
      </c>
      <c r="K35" s="17">
        <f>K17*K34</f>
        <v/>
      </c>
      <c r="L35" s="17">
        <f>L17*L34</f>
        <v/>
      </c>
      <c r="M35" s="17">
        <f>M17*M34</f>
        <v/>
      </c>
      <c r="N35" s="17">
        <f>N17*N34</f>
        <v/>
      </c>
      <c r="O35" s="17">
        <f>O17*O34</f>
        <v/>
      </c>
      <c r="P35" s="18">
        <f>SUM(D35:O35)</f>
        <v/>
      </c>
      <c r="Q35" s="19" t="inlineStr"/>
    </row>
    <row r="36" ht="17" customHeight="1">
      <c r="C36" s="7" t="inlineStr">
        <is>
          <t>线下市场/渠道费用（预算）</t>
        </is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9">
        <f>SUM(D36:O36)</f>
        <v/>
      </c>
      <c r="Q36" s="10" t="inlineStr"/>
    </row>
    <row r="37" ht="17" customHeight="1">
      <c r="C37" s="12" t="inlineStr">
        <is>
          <t>平台佣金费率</t>
        </is>
      </c>
      <c r="D37" s="13" t="n">
        <v>0.05</v>
      </c>
      <c r="E37" s="13" t="n">
        <v>0.05</v>
      </c>
      <c r="F37" s="13" t="n">
        <v>0.05</v>
      </c>
      <c r="G37" s="13" t="n">
        <v>0.05</v>
      </c>
      <c r="H37" s="13" t="n">
        <v>0.05</v>
      </c>
      <c r="I37" s="13" t="n">
        <v>0.05</v>
      </c>
      <c r="J37" s="13" t="n">
        <v>0.05</v>
      </c>
      <c r="K37" s="13" t="n">
        <v>0.05</v>
      </c>
      <c r="L37" s="13" t="n">
        <v>0.05</v>
      </c>
      <c r="M37" s="13" t="n">
        <v>0.05</v>
      </c>
      <c r="N37" s="13" t="n">
        <v>0.05</v>
      </c>
      <c r="O37" s="13" t="n">
        <v>0.05</v>
      </c>
      <c r="P37" s="14">
        <f>SUM(D37:O37)</f>
        <v/>
      </c>
      <c r="Q37" s="15" t="inlineStr"/>
    </row>
    <row r="38" ht="17" customHeight="1">
      <c r="C38" s="16" t="inlineStr">
        <is>
          <t>平台佣金</t>
        </is>
      </c>
      <c r="D38" s="17">
        <f>D17*D37</f>
        <v/>
      </c>
      <c r="E38" s="17">
        <f>E17*E37</f>
        <v/>
      </c>
      <c r="F38" s="17">
        <f>F17*F37</f>
        <v/>
      </c>
      <c r="G38" s="17">
        <f>G17*G37</f>
        <v/>
      </c>
      <c r="H38" s="17">
        <f>H17*H37</f>
        <v/>
      </c>
      <c r="I38" s="17">
        <f>I17*I37</f>
        <v/>
      </c>
      <c r="J38" s="17">
        <f>J17*J37</f>
        <v/>
      </c>
      <c r="K38" s="17">
        <f>K17*K37</f>
        <v/>
      </c>
      <c r="L38" s="17">
        <f>L17*L37</f>
        <v/>
      </c>
      <c r="M38" s="17">
        <f>M17*M37</f>
        <v/>
      </c>
      <c r="N38" s="17">
        <f>N17*N37</f>
        <v/>
      </c>
      <c r="O38" s="17">
        <f>O17*O37</f>
        <v/>
      </c>
      <c r="P38" s="18">
        <f>SUM(D38:O38)</f>
        <v/>
      </c>
      <c r="Q38" s="19" t="inlineStr"/>
    </row>
    <row r="39" ht="17" customHeight="1">
      <c r="C39" s="12" t="inlineStr">
        <is>
          <t>平台其他费率</t>
        </is>
      </c>
      <c r="D39" s="13" t="n">
        <v>0.014</v>
      </c>
      <c r="E39" s="13" t="n">
        <v>0.014</v>
      </c>
      <c r="F39" s="13" t="n">
        <v>0.014</v>
      </c>
      <c r="G39" s="13" t="n">
        <v>0.014</v>
      </c>
      <c r="H39" s="13" t="n">
        <v>0.014</v>
      </c>
      <c r="I39" s="13" t="n">
        <v>0.014</v>
      </c>
      <c r="J39" s="13" t="n">
        <v>0.014</v>
      </c>
      <c r="K39" s="13" t="n">
        <v>0.014</v>
      </c>
      <c r="L39" s="13" t="n">
        <v>0.014</v>
      </c>
      <c r="M39" s="13" t="n">
        <v>0.014</v>
      </c>
      <c r="N39" s="13" t="n">
        <v>0.014</v>
      </c>
      <c r="O39" s="13" t="n">
        <v>0.014</v>
      </c>
      <c r="P39" s="14">
        <f>SUM(D39:O39)</f>
        <v/>
      </c>
      <c r="Q39" s="15" t="inlineStr"/>
    </row>
    <row r="40" ht="17" customHeight="1">
      <c r="C40" s="16" t="inlineStr">
        <is>
          <t>平台其他费用</t>
        </is>
      </c>
      <c r="D40" s="17">
        <f>D17*D39</f>
        <v/>
      </c>
      <c r="E40" s="17">
        <f>E17*E39</f>
        <v/>
      </c>
      <c r="F40" s="17">
        <f>F17*F39</f>
        <v/>
      </c>
      <c r="G40" s="17">
        <f>G17*G39</f>
        <v/>
      </c>
      <c r="H40" s="17">
        <f>H17*H39</f>
        <v/>
      </c>
      <c r="I40" s="17">
        <f>I17*I39</f>
        <v/>
      </c>
      <c r="J40" s="17">
        <f>J17*J39</f>
        <v/>
      </c>
      <c r="K40" s="17">
        <f>K17*K39</f>
        <v/>
      </c>
      <c r="L40" s="17">
        <f>L17*L39</f>
        <v/>
      </c>
      <c r="M40" s="17">
        <f>M17*M39</f>
        <v/>
      </c>
      <c r="N40" s="17">
        <f>N17*N39</f>
        <v/>
      </c>
      <c r="O40" s="17">
        <f>O17*O39</f>
        <v/>
      </c>
      <c r="P40" s="18">
        <f>SUM(D40:O40)</f>
        <v/>
      </c>
      <c r="Q40" s="19" t="inlineStr"/>
    </row>
    <row r="41" ht="17" customHeight="1">
      <c r="C41" s="12" t="inlineStr">
        <is>
          <t>售后费率</t>
        </is>
      </c>
      <c r="D41" s="13" t="n">
        <v>0.03</v>
      </c>
      <c r="E41" s="13" t="n">
        <v>0.03</v>
      </c>
      <c r="F41" s="13" t="n">
        <v>0.03</v>
      </c>
      <c r="G41" s="13" t="n">
        <v>0.03</v>
      </c>
      <c r="H41" s="13" t="n">
        <v>0.03</v>
      </c>
      <c r="I41" s="13" t="n">
        <v>0.03</v>
      </c>
      <c r="J41" s="13" t="n">
        <v>0.03</v>
      </c>
      <c r="K41" s="13" t="n">
        <v>0.03</v>
      </c>
      <c r="L41" s="13" t="n">
        <v>0.03</v>
      </c>
      <c r="M41" s="13" t="n">
        <v>0.03</v>
      </c>
      <c r="N41" s="13" t="n">
        <v>0.03</v>
      </c>
      <c r="O41" s="13" t="n">
        <v>0.03</v>
      </c>
      <c r="P41" s="14">
        <f>SUM(D41:O41)</f>
        <v/>
      </c>
      <c r="Q41" s="15" t="inlineStr"/>
    </row>
    <row r="42" ht="17" customHeight="1">
      <c r="C42" s="16" t="inlineStr">
        <is>
          <t>售后费用</t>
        </is>
      </c>
      <c r="D42" s="17">
        <f>D17*D41</f>
        <v/>
      </c>
      <c r="E42" s="17">
        <f>E17*E41</f>
        <v/>
      </c>
      <c r="F42" s="17">
        <f>F17*F41</f>
        <v/>
      </c>
      <c r="G42" s="17">
        <f>G17*G41</f>
        <v/>
      </c>
      <c r="H42" s="17">
        <f>H17*H41</f>
        <v/>
      </c>
      <c r="I42" s="17">
        <f>I17*I41</f>
        <v/>
      </c>
      <c r="J42" s="17">
        <f>J17*J41</f>
        <v/>
      </c>
      <c r="K42" s="17">
        <f>K17*K41</f>
        <v/>
      </c>
      <c r="L42" s="17">
        <f>L17*L41</f>
        <v/>
      </c>
      <c r="M42" s="17">
        <f>M17*M41</f>
        <v/>
      </c>
      <c r="N42" s="17">
        <f>N17*N41</f>
        <v/>
      </c>
      <c r="O42" s="17">
        <f>O17*O41</f>
        <v/>
      </c>
      <c r="P42" s="18">
        <f>SUM(D42:O42)</f>
        <v/>
      </c>
      <c r="Q42" s="19" t="inlineStr"/>
    </row>
    <row r="43" ht="17" customHeight="1">
      <c r="C43" s="12" t="inlineStr">
        <is>
          <t>店铺运营综合费率</t>
        </is>
      </c>
      <c r="D43" s="13" t="n">
        <v>0.098</v>
      </c>
      <c r="E43" s="13" t="n">
        <v>0.098</v>
      </c>
      <c r="F43" s="13" t="n">
        <v>0.098</v>
      </c>
      <c r="G43" s="13" t="n">
        <v>0.098</v>
      </c>
      <c r="H43" s="13" t="n">
        <v>0.098</v>
      </c>
      <c r="I43" s="13" t="n">
        <v>0.098</v>
      </c>
      <c r="J43" s="13" t="n">
        <v>0.098</v>
      </c>
      <c r="K43" s="13" t="n">
        <v>0.098</v>
      </c>
      <c r="L43" s="13" t="n">
        <v>0.098</v>
      </c>
      <c r="M43" s="13" t="n">
        <v>0.098</v>
      </c>
      <c r="N43" s="13" t="n">
        <v>0.098</v>
      </c>
      <c r="O43" s="13" t="n">
        <v>0.098</v>
      </c>
      <c r="P43" s="14">
        <f>SUM(D43:O43)</f>
        <v/>
      </c>
      <c r="Q43" s="15" t="inlineStr"/>
    </row>
    <row r="44" ht="17" customHeight="1">
      <c r="C44" s="16" t="inlineStr">
        <is>
          <t>店铺运营费用</t>
        </is>
      </c>
      <c r="D44" s="17">
        <f>D17*D43</f>
        <v/>
      </c>
      <c r="E44" s="17">
        <f>E17*E43</f>
        <v/>
      </c>
      <c r="F44" s="17">
        <f>F17*F43</f>
        <v/>
      </c>
      <c r="G44" s="17">
        <f>G17*G43</f>
        <v/>
      </c>
      <c r="H44" s="17">
        <f>H17*H43</f>
        <v/>
      </c>
      <c r="I44" s="17">
        <f>I17*I43</f>
        <v/>
      </c>
      <c r="J44" s="17">
        <f>J17*J43</f>
        <v/>
      </c>
      <c r="K44" s="17">
        <f>K17*K43</f>
        <v/>
      </c>
      <c r="L44" s="17">
        <f>L17*L43</f>
        <v/>
      </c>
      <c r="M44" s="17">
        <f>M17*M43</f>
        <v/>
      </c>
      <c r="N44" s="17">
        <f>N17*N43</f>
        <v/>
      </c>
      <c r="O44" s="17">
        <f>O17*O43</f>
        <v/>
      </c>
      <c r="P44" s="18">
        <f>SUM(D44:O44)</f>
        <v/>
      </c>
      <c r="Q44" s="19" t="inlineStr"/>
    </row>
    <row r="45" ht="17" customHeight="1">
      <c r="C45" s="20" t="inlineStr">
        <is>
          <t>A&amp;P 合计</t>
        </is>
      </c>
      <c r="D45" s="21">
        <f>D29+D33+D35+D36+D38+D40+D42+D44</f>
        <v/>
      </c>
      <c r="E45" s="21">
        <f>E29+E33+E35+E36+E38+E40+E42+E44</f>
        <v/>
      </c>
      <c r="F45" s="21">
        <f>F29+F33+F35+F36+F38+F40+F42+F44</f>
        <v/>
      </c>
      <c r="G45" s="21">
        <f>G29+G33+G35+G36+G38+G40+G42+G44</f>
        <v/>
      </c>
      <c r="H45" s="21">
        <f>H29+H33+H35+H36+H38+H40+H42+H44</f>
        <v/>
      </c>
      <c r="I45" s="21">
        <f>I29+I33+I35+I36+I38+I40+I42+I44</f>
        <v/>
      </c>
      <c r="J45" s="21">
        <f>J29+J33+J35+J36+J38+J40+J42+J44</f>
        <v/>
      </c>
      <c r="K45" s="21">
        <f>K29+K33+K35+K36+K38+K40+K42+K44</f>
        <v/>
      </c>
      <c r="L45" s="21">
        <f>L29+L33+L35+L36+L38+L40+L42+L44</f>
        <v/>
      </c>
      <c r="M45" s="21">
        <f>M29+M33+M35+M36+M38+M40+M42+M44</f>
        <v/>
      </c>
      <c r="N45" s="21">
        <f>N29+N33+N35+N36+N38+N40+N42+N44</f>
        <v/>
      </c>
      <c r="O45" s="21">
        <f>O29+O33+O35+O36+O38+O40+O42+O44</f>
        <v/>
      </c>
      <c r="P45" s="21">
        <f>SUM(D45:O45)</f>
        <v/>
      </c>
      <c r="Q45" s="22" t="inlineStr"/>
    </row>
    <row r="46" ht="6" customHeight="1"/>
    <row r="47" ht="18" customHeight="1">
      <c r="C47" s="6" t="inlineStr">
        <is>
          <t xml:space="preserve">  五、店铺利润（渠道贡献）</t>
        </is>
      </c>
    </row>
    <row r="48" ht="17" customHeight="1">
      <c r="C48" s="20" t="inlineStr">
        <is>
          <t>店铺利润</t>
        </is>
      </c>
      <c r="D48" s="21">
        <f>D25-D45</f>
        <v/>
      </c>
      <c r="E48" s="21">
        <f>E25-E45</f>
        <v/>
      </c>
      <c r="F48" s="21">
        <f>F25-F45</f>
        <v/>
      </c>
      <c r="G48" s="21">
        <f>G25-G45</f>
        <v/>
      </c>
      <c r="H48" s="21">
        <f>H25-H45</f>
        <v/>
      </c>
      <c r="I48" s="21">
        <f>I25-I45</f>
        <v/>
      </c>
      <c r="J48" s="21">
        <f>J25-J45</f>
        <v/>
      </c>
      <c r="K48" s="21">
        <f>K25-K45</f>
        <v/>
      </c>
      <c r="L48" s="21">
        <f>L25-L45</f>
        <v/>
      </c>
      <c r="M48" s="21">
        <f>M25-M45</f>
        <v/>
      </c>
      <c r="N48" s="21">
        <f>N25-N45</f>
        <v/>
      </c>
      <c r="O48" s="21">
        <f>O25-O45</f>
        <v/>
      </c>
      <c r="P48" s="21">
        <f>SUM(D48:O48)</f>
        <v/>
      </c>
      <c r="Q48" s="22" t="inlineStr"/>
    </row>
    <row r="49" ht="6" customHeight="1"/>
    <row r="50" ht="18" customHeight="1">
      <c r="C50" s="6" t="inlineStr">
        <is>
          <t xml:space="preserve">  六、BU 可控 / 贡献层</t>
        </is>
      </c>
    </row>
    <row r="51" ht="17" customHeight="1">
      <c r="C51" s="7" t="inlineStr">
        <is>
          <t>销售管理费用（预算）</t>
        </is>
      </c>
      <c r="D51" s="8" t="n">
        <v>500000</v>
      </c>
      <c r="E51" s="8" t="n">
        <v>500000</v>
      </c>
      <c r="F51" s="8" t="n">
        <v>500000</v>
      </c>
      <c r="G51" s="8" t="n">
        <v>500000</v>
      </c>
      <c r="H51" s="8" t="n">
        <v>500000</v>
      </c>
      <c r="I51" s="8" t="n">
        <v>500000</v>
      </c>
      <c r="J51" s="8" t="n">
        <v>500000</v>
      </c>
      <c r="K51" s="8" t="n">
        <v>500000</v>
      </c>
      <c r="L51" s="8" t="n">
        <v>500000</v>
      </c>
      <c r="M51" s="8" t="n">
        <v>500000</v>
      </c>
      <c r="N51" s="8" t="n">
        <v>500000</v>
      </c>
      <c r="O51" s="8" t="n">
        <v>500000</v>
      </c>
      <c r="P51" s="9">
        <f>SUM(D51:O51)</f>
        <v/>
      </c>
      <c r="Q51" s="10" t="inlineStr"/>
    </row>
    <row r="52" ht="17" customHeight="1">
      <c r="C52" s="7" t="inlineStr">
        <is>
          <t>研发费用（预算）</t>
        </is>
      </c>
      <c r="D52" s="8" t="n">
        <v>3000000</v>
      </c>
      <c r="E52" s="8" t="n">
        <v>3000000</v>
      </c>
      <c r="F52" s="8" t="n">
        <v>3000000</v>
      </c>
      <c r="G52" s="8" t="n">
        <v>3000000</v>
      </c>
      <c r="H52" s="8" t="n">
        <v>3000000</v>
      </c>
      <c r="I52" s="8" t="n">
        <v>3000000</v>
      </c>
      <c r="J52" s="8" t="n">
        <v>3000000</v>
      </c>
      <c r="K52" s="8" t="n">
        <v>3000000</v>
      </c>
      <c r="L52" s="8" t="n">
        <v>3000000</v>
      </c>
      <c r="M52" s="8" t="n">
        <v>3000000</v>
      </c>
      <c r="N52" s="8" t="n">
        <v>3000000</v>
      </c>
      <c r="O52" s="8" t="n">
        <v>3000000</v>
      </c>
      <c r="P52" s="9">
        <f>SUM(D52:O52)</f>
        <v/>
      </c>
      <c r="Q52" s="10" t="inlineStr"/>
    </row>
    <row r="53" ht="17" customHeight="1">
      <c r="C53" s="16" t="inlineStr">
        <is>
          <t>BU可控费用合计</t>
        </is>
      </c>
      <c r="D53" s="17">
        <f>D51+D52</f>
        <v/>
      </c>
      <c r="E53" s="17">
        <f>E51+E52</f>
        <v/>
      </c>
      <c r="F53" s="17">
        <f>F51+F52</f>
        <v/>
      </c>
      <c r="G53" s="17">
        <f>G51+G52</f>
        <v/>
      </c>
      <c r="H53" s="17">
        <f>H51+H52</f>
        <v/>
      </c>
      <c r="I53" s="17">
        <f>I51+I52</f>
        <v/>
      </c>
      <c r="J53" s="17">
        <f>J51+J52</f>
        <v/>
      </c>
      <c r="K53" s="17">
        <f>K51+K52</f>
        <v/>
      </c>
      <c r="L53" s="17">
        <f>L51+L52</f>
        <v/>
      </c>
      <c r="M53" s="17">
        <f>M51+M52</f>
        <v/>
      </c>
      <c r="N53" s="17">
        <f>N51+N52</f>
        <v/>
      </c>
      <c r="O53" s="17">
        <f>O51+O52</f>
        <v/>
      </c>
      <c r="P53" s="18">
        <f>SUM(D53:O53)</f>
        <v/>
      </c>
      <c r="Q53" s="19" t="inlineStr"/>
    </row>
    <row r="54" ht="17" customHeight="1">
      <c r="C54" s="20" t="inlineStr">
        <is>
          <t>BU 可控利润</t>
        </is>
      </c>
      <c r="D54" s="21">
        <f>D48-D53</f>
        <v/>
      </c>
      <c r="E54" s="21">
        <f>E48-E53</f>
        <v/>
      </c>
      <c r="F54" s="21">
        <f>F48-F53</f>
        <v/>
      </c>
      <c r="G54" s="21">
        <f>G48-G53</f>
        <v/>
      </c>
      <c r="H54" s="21">
        <f>H48-H53</f>
        <v/>
      </c>
      <c r="I54" s="21">
        <f>I48-I53</f>
        <v/>
      </c>
      <c r="J54" s="21">
        <f>J48-J53</f>
        <v/>
      </c>
      <c r="K54" s="21">
        <f>K48-K53</f>
        <v/>
      </c>
      <c r="L54" s="21">
        <f>L48-L53</f>
        <v/>
      </c>
      <c r="M54" s="21">
        <f>M48-M53</f>
        <v/>
      </c>
      <c r="N54" s="21">
        <f>N48-N53</f>
        <v/>
      </c>
      <c r="O54" s="21">
        <f>O48-O53</f>
        <v/>
      </c>
      <c r="P54" s="21">
        <f>SUM(D54:O54)</f>
        <v/>
      </c>
      <c r="Q54" s="22" t="inlineStr"/>
    </row>
    <row r="55" ht="17" customHeight="1">
      <c r="C55" s="7" t="inlineStr">
        <is>
          <t>BU 贡献费用（预算）</t>
        </is>
      </c>
      <c r="D55" s="8" t="n">
        <v>2800000</v>
      </c>
      <c r="E55" s="8" t="n">
        <v>2800000</v>
      </c>
      <c r="F55" s="8" t="n">
        <v>2800000</v>
      </c>
      <c r="G55" s="8" t="n">
        <v>2800000</v>
      </c>
      <c r="H55" s="8" t="n">
        <v>2800000</v>
      </c>
      <c r="I55" s="8" t="n">
        <v>2800000</v>
      </c>
      <c r="J55" s="8" t="n">
        <v>2800000</v>
      </c>
      <c r="K55" s="8" t="n">
        <v>2800000</v>
      </c>
      <c r="L55" s="8" t="n">
        <v>2800000</v>
      </c>
      <c r="M55" s="8" t="n">
        <v>2800000</v>
      </c>
      <c r="N55" s="8" t="n">
        <v>2800000</v>
      </c>
      <c r="O55" s="8" t="n">
        <v>2800000</v>
      </c>
      <c r="P55" s="9">
        <f>SUM(D55:O55)</f>
        <v/>
      </c>
      <c r="Q55" s="10" t="inlineStr"/>
    </row>
    <row r="56" ht="17" customHeight="1">
      <c r="C56" s="20" t="inlineStr">
        <is>
          <t>BU 贡献利润</t>
        </is>
      </c>
      <c r="D56" s="21">
        <f>D54-D55</f>
        <v/>
      </c>
      <c r="E56" s="21">
        <f>E54-E55</f>
        <v/>
      </c>
      <c r="F56" s="21">
        <f>F54-F55</f>
        <v/>
      </c>
      <c r="G56" s="21">
        <f>G54-G55</f>
        <v/>
      </c>
      <c r="H56" s="21">
        <f>H54-H55</f>
        <v/>
      </c>
      <c r="I56" s="21">
        <f>I54-I55</f>
        <v/>
      </c>
      <c r="J56" s="21">
        <f>J54-J55</f>
        <v/>
      </c>
      <c r="K56" s="21">
        <f>K54-K55</f>
        <v/>
      </c>
      <c r="L56" s="21">
        <f>L54-L55</f>
        <v/>
      </c>
      <c r="M56" s="21">
        <f>M54-M55</f>
        <v/>
      </c>
      <c r="N56" s="21">
        <f>N54-N55</f>
        <v/>
      </c>
      <c r="O56" s="21">
        <f>O54-O55</f>
        <v/>
      </c>
      <c r="P56" s="21">
        <f>SUM(D56:O56)</f>
        <v/>
      </c>
      <c r="Q56" s="22" t="inlineStr"/>
    </row>
    <row r="57" ht="17" customHeight="1">
      <c r="C57" s="7" t="inlineStr">
        <is>
          <t>集团分摊费用（预算）</t>
        </is>
      </c>
      <c r="D57" s="8" t="n">
        <v>1200000</v>
      </c>
      <c r="E57" s="8" t="n">
        <v>1200000</v>
      </c>
      <c r="F57" s="8" t="n">
        <v>1200000</v>
      </c>
      <c r="G57" s="8" t="n">
        <v>1200000</v>
      </c>
      <c r="H57" s="8" t="n">
        <v>1200000</v>
      </c>
      <c r="I57" s="8" t="n">
        <v>1200000</v>
      </c>
      <c r="J57" s="8" t="n">
        <v>1200000</v>
      </c>
      <c r="K57" s="8" t="n">
        <v>1200000</v>
      </c>
      <c r="L57" s="8" t="n">
        <v>1200000</v>
      </c>
      <c r="M57" s="8" t="n">
        <v>1200000</v>
      </c>
      <c r="N57" s="8" t="n">
        <v>1200000</v>
      </c>
      <c r="O57" s="8" t="n">
        <v>1200000</v>
      </c>
      <c r="P57" s="9">
        <f>SUM(D57:O57)</f>
        <v/>
      </c>
      <c r="Q57" s="10" t="inlineStr"/>
    </row>
    <row r="58" ht="17" customHeight="1">
      <c r="C58" s="20" t="inlineStr">
        <is>
          <t>净利润</t>
        </is>
      </c>
      <c r="D58" s="21">
        <f>D56-D57</f>
        <v/>
      </c>
      <c r="E58" s="21">
        <f>E56-E57</f>
        <v/>
      </c>
      <c r="F58" s="21">
        <f>F56-F57</f>
        <v/>
      </c>
      <c r="G58" s="21">
        <f>G56-G57</f>
        <v/>
      </c>
      <c r="H58" s="21">
        <f>H56-H57</f>
        <v/>
      </c>
      <c r="I58" s="21">
        <f>I56-I57</f>
        <v/>
      </c>
      <c r="J58" s="21">
        <f>J56-J57</f>
        <v/>
      </c>
      <c r="K58" s="21">
        <f>K56-K57</f>
        <v/>
      </c>
      <c r="L58" s="21">
        <f>L56-L57</f>
        <v/>
      </c>
      <c r="M58" s="21">
        <f>M56-M57</f>
        <v/>
      </c>
      <c r="N58" s="21">
        <f>N56-N57</f>
        <v/>
      </c>
      <c r="O58" s="21">
        <f>O56-O57</f>
        <v/>
      </c>
      <c r="P58" s="21">
        <f>SUM(D58:O58)</f>
        <v/>
      </c>
      <c r="Q58" s="22" t="inlineStr"/>
    </row>
  </sheetData>
  <mergeCells count="7">
    <mergeCell ref="C27:R27"/>
    <mergeCell ref="C2:R2"/>
    <mergeCell ref="C19:R19"/>
    <mergeCell ref="C47:R47"/>
    <mergeCell ref="C50:R50"/>
    <mergeCell ref="C4:R4"/>
    <mergeCell ref="C12:R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C2:R58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" customWidth="1" min="2" max="2"/>
    <col width="2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9" customWidth="1" min="17" max="17"/>
    <col width="28" customWidth="1" min="18" max="18"/>
  </cols>
  <sheetData>
    <row r="1" ht="8" customHeight="1"/>
    <row r="2" ht="28" customHeight="1">
      <c r="C2" s="4" t="inlineStr">
        <is>
          <t>抖音自播 — 年度 BP</t>
        </is>
      </c>
    </row>
    <row r="3" ht="20" customHeight="1">
      <c r="C3" s="5" t="inlineStr">
        <is>
          <t>科目</t>
        </is>
      </c>
      <c r="D3" s="5" t="inlineStr">
        <is>
          <t>1月</t>
        </is>
      </c>
      <c r="E3" s="5" t="inlineStr">
        <is>
          <t>2月</t>
        </is>
      </c>
      <c r="F3" s="5" t="inlineStr">
        <is>
          <t>3月</t>
        </is>
      </c>
      <c r="G3" s="5" t="inlineStr">
        <is>
          <t>4月</t>
        </is>
      </c>
      <c r="H3" s="5" t="inlineStr">
        <is>
          <t>5月</t>
        </is>
      </c>
      <c r="I3" s="5" t="inlineStr">
        <is>
          <t>6月</t>
        </is>
      </c>
      <c r="J3" s="5" t="inlineStr">
        <is>
          <t>7月</t>
        </is>
      </c>
      <c r="K3" s="5" t="inlineStr">
        <is>
          <t>8月</t>
        </is>
      </c>
      <c r="L3" s="5" t="inlineStr">
        <is>
          <t>9月</t>
        </is>
      </c>
      <c r="M3" s="5" t="inlineStr">
        <is>
          <t>10月</t>
        </is>
      </c>
      <c r="N3" s="5" t="inlineStr">
        <is>
          <t>11月</t>
        </is>
      </c>
      <c r="O3" s="5" t="inlineStr">
        <is>
          <t>12月</t>
        </is>
      </c>
      <c r="P3" s="5" t="inlineStr">
        <is>
          <t>合计</t>
        </is>
      </c>
      <c r="Q3" s="5" t="inlineStr">
        <is>
          <t>费比</t>
        </is>
      </c>
    </row>
    <row r="4" ht="18" customHeight="1">
      <c r="C4" s="6" t="inlineStr">
        <is>
          <t xml:space="preserve">  一、GMV 层</t>
        </is>
      </c>
    </row>
    <row r="5" ht="17" customHeight="1">
      <c r="C5" s="7" t="inlineStr">
        <is>
          <t>自补前 GMV（月度目标）</t>
        </is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9">
        <f>SUM(D5:O5)</f>
        <v/>
      </c>
      <c r="Q5" s="10" t="inlineStr"/>
      <c r="R5" s="11" t="inlineStr">
        <is>
          <t>渠道填写</t>
        </is>
      </c>
    </row>
    <row r="6" ht="17" customHeight="1">
      <c r="C6" s="12" t="inlineStr">
        <is>
          <t>国补/自补费用率</t>
        </is>
      </c>
      <c r="D6" s="13" t="n">
        <v>0.1</v>
      </c>
      <c r="E6" s="13" t="n">
        <v>0.1</v>
      </c>
      <c r="F6" s="13" t="n">
        <v>0.1</v>
      </c>
      <c r="G6" s="13" t="n">
        <v>0.1</v>
      </c>
      <c r="H6" s="13" t="n">
        <v>0.1</v>
      </c>
      <c r="I6" s="13" t="n">
        <v>0.1</v>
      </c>
      <c r="J6" s="13" t="n">
        <v>0.1</v>
      </c>
      <c r="K6" s="13" t="n">
        <v>0.1</v>
      </c>
      <c r="L6" s="13" t="n">
        <v>0.1</v>
      </c>
      <c r="M6" s="13" t="n">
        <v>0.1</v>
      </c>
      <c r="N6" s="13" t="n">
        <v>0.1</v>
      </c>
      <c r="O6" s="13" t="n">
        <v>0.1</v>
      </c>
      <c r="P6" s="14">
        <f>SUM(D6:O6)</f>
        <v/>
      </c>
      <c r="Q6" s="15" t="inlineStr"/>
    </row>
    <row r="7" ht="17" customHeight="1">
      <c r="C7" s="16" t="inlineStr">
        <is>
          <t>国补/自补费用</t>
        </is>
      </c>
      <c r="D7" s="17">
        <f>D5*D6</f>
        <v/>
      </c>
      <c r="E7" s="17">
        <f>E5*E6</f>
        <v/>
      </c>
      <c r="F7" s="17">
        <f>F5*F6</f>
        <v/>
      </c>
      <c r="G7" s="17">
        <f>G5*G6</f>
        <v/>
      </c>
      <c r="H7" s="17">
        <f>H5*H6</f>
        <v/>
      </c>
      <c r="I7" s="17">
        <f>I5*I6</f>
        <v/>
      </c>
      <c r="J7" s="17">
        <f>J5*J6</f>
        <v/>
      </c>
      <c r="K7" s="17">
        <f>K5*K6</f>
        <v/>
      </c>
      <c r="L7" s="17">
        <f>L5*L6</f>
        <v/>
      </c>
      <c r="M7" s="17">
        <f>M5*M6</f>
        <v/>
      </c>
      <c r="N7" s="17">
        <f>N5*N6</f>
        <v/>
      </c>
      <c r="O7" s="17">
        <f>O5*O6</f>
        <v/>
      </c>
      <c r="P7" s="18">
        <f>SUM(D7:O7)</f>
        <v/>
      </c>
      <c r="Q7" s="19" t="inlineStr"/>
    </row>
    <row r="8" ht="17" customHeight="1">
      <c r="C8" s="20" t="inlineStr">
        <is>
          <t>GMV（剔除国补）</t>
        </is>
      </c>
      <c r="D8" s="21">
        <f>D5-D7</f>
        <v/>
      </c>
      <c r="E8" s="21">
        <f>E5-E7</f>
        <v/>
      </c>
      <c r="F8" s="21">
        <f>F5-F7</f>
        <v/>
      </c>
      <c r="G8" s="21">
        <f>G5-G7</f>
        <v/>
      </c>
      <c r="H8" s="21">
        <f>H5-H7</f>
        <v/>
      </c>
      <c r="I8" s="21">
        <f>I5-I7</f>
        <v/>
      </c>
      <c r="J8" s="21">
        <f>J5-J7</f>
        <v/>
      </c>
      <c r="K8" s="21">
        <f>K5-K7</f>
        <v/>
      </c>
      <c r="L8" s="21">
        <f>L5-L7</f>
        <v/>
      </c>
      <c r="M8" s="21">
        <f>M5-M7</f>
        <v/>
      </c>
      <c r="N8" s="21">
        <f>N5-N7</f>
        <v/>
      </c>
      <c r="O8" s="21">
        <f>O5-O7</f>
        <v/>
      </c>
      <c r="P8" s="21">
        <f>SUM(D8:O8)</f>
        <v/>
      </c>
      <c r="Q8" s="22" t="inlineStr"/>
    </row>
    <row r="9" ht="17" customHeight="1">
      <c r="C9" s="12" t="inlineStr">
        <is>
          <t>退货率</t>
        </is>
      </c>
      <c r="D9" s="13" t="n">
        <v>0.19</v>
      </c>
      <c r="E9" s="13" t="n">
        <v>0.19</v>
      </c>
      <c r="F9" s="13" t="n">
        <v>0.19</v>
      </c>
      <c r="G9" s="13" t="n">
        <v>0.19</v>
      </c>
      <c r="H9" s="13" t="n">
        <v>0.19</v>
      </c>
      <c r="I9" s="13" t="n">
        <v>0.19</v>
      </c>
      <c r="J9" s="13" t="n">
        <v>0.19</v>
      </c>
      <c r="K9" s="13" t="n">
        <v>0.19</v>
      </c>
      <c r="L9" s="13" t="n">
        <v>0.19</v>
      </c>
      <c r="M9" s="13" t="n">
        <v>0.19</v>
      </c>
      <c r="N9" s="13" t="n">
        <v>0.19</v>
      </c>
      <c r="O9" s="13" t="n">
        <v>0.19</v>
      </c>
      <c r="P9" s="14">
        <f>SUM(D9:O9)</f>
        <v/>
      </c>
      <c r="Q9" s="15" t="inlineStr"/>
    </row>
    <row r="10" ht="17" customHeight="1">
      <c r="C10" s="20" t="inlineStr">
        <is>
          <t>GSV（去退货）</t>
        </is>
      </c>
      <c r="D10" s="21">
        <f>D8*(1-D9)</f>
        <v/>
      </c>
      <c r="E10" s="21">
        <f>E8*(1-E9)</f>
        <v/>
      </c>
      <c r="F10" s="21">
        <f>F8*(1-F9)</f>
        <v/>
      </c>
      <c r="G10" s="21">
        <f>G8*(1-G9)</f>
        <v/>
      </c>
      <c r="H10" s="21">
        <f>H8*(1-H9)</f>
        <v/>
      </c>
      <c r="I10" s="21">
        <f>I8*(1-I9)</f>
        <v/>
      </c>
      <c r="J10" s="21">
        <f>J8*(1-J9)</f>
        <v/>
      </c>
      <c r="K10" s="21">
        <f>K8*(1-K9)</f>
        <v/>
      </c>
      <c r="L10" s="21">
        <f>L8*(1-L9)</f>
        <v/>
      </c>
      <c r="M10" s="21">
        <f>M8*(1-M9)</f>
        <v/>
      </c>
      <c r="N10" s="21">
        <f>N8*(1-N9)</f>
        <v/>
      </c>
      <c r="O10" s="21">
        <f>O8*(1-O9)</f>
        <v/>
      </c>
      <c r="P10" s="21">
        <f>SUM(D10:O10)</f>
        <v/>
      </c>
      <c r="Q10" s="22" t="inlineStr"/>
    </row>
    <row r="11" ht="6" customHeight="1"/>
    <row r="12" ht="18" customHeight="1">
      <c r="C12" s="6" t="inlineStr">
        <is>
          <t xml:space="preserve">  二、营业收入层</t>
        </is>
      </c>
    </row>
    <row r="13" ht="17" customHeight="1">
      <c r="C13" s="12" t="inlineStr">
        <is>
          <t>合同折扣及返利费率（线下）</t>
        </is>
      </c>
      <c r="D13" s="13" t="n">
        <v>0.04</v>
      </c>
      <c r="E13" s="13" t="n">
        <v>0.04</v>
      </c>
      <c r="F13" s="13" t="n">
        <v>0.04</v>
      </c>
      <c r="G13" s="13" t="n">
        <v>0.04</v>
      </c>
      <c r="H13" s="13" t="n">
        <v>0.04</v>
      </c>
      <c r="I13" s="13" t="n">
        <v>0.04</v>
      </c>
      <c r="J13" s="13" t="n">
        <v>0.04</v>
      </c>
      <c r="K13" s="13" t="n">
        <v>0.04</v>
      </c>
      <c r="L13" s="13" t="n">
        <v>0.04</v>
      </c>
      <c r="M13" s="13" t="n">
        <v>0.04</v>
      </c>
      <c r="N13" s="13" t="n">
        <v>0.04</v>
      </c>
      <c r="O13" s="13" t="n">
        <v>0.04</v>
      </c>
      <c r="P13" s="14">
        <f>SUM(D13:O13)</f>
        <v/>
      </c>
      <c r="Q13" s="15" t="inlineStr"/>
    </row>
    <row r="14" ht="17" customHeight="1">
      <c r="C14" s="12" t="inlineStr">
        <is>
          <t>国补/自补折扣费率（线上）</t>
        </is>
      </c>
      <c r="D14" s="13" t="n">
        <v>0.1</v>
      </c>
      <c r="E14" s="13" t="n">
        <v>0.1</v>
      </c>
      <c r="F14" s="13" t="n">
        <v>0.1</v>
      </c>
      <c r="G14" s="13" t="n">
        <v>0.1</v>
      </c>
      <c r="H14" s="13" t="n">
        <v>0.1</v>
      </c>
      <c r="I14" s="13" t="n">
        <v>0.1</v>
      </c>
      <c r="J14" s="13" t="n">
        <v>0.1</v>
      </c>
      <c r="K14" s="13" t="n">
        <v>0.1</v>
      </c>
      <c r="L14" s="13" t="n">
        <v>0.1</v>
      </c>
      <c r="M14" s="13" t="n">
        <v>0.1</v>
      </c>
      <c r="N14" s="13" t="n">
        <v>0.1</v>
      </c>
      <c r="O14" s="13" t="n">
        <v>0.1</v>
      </c>
      <c r="P14" s="14">
        <f>SUM(D14:O14)</f>
        <v/>
      </c>
      <c r="Q14" s="15" t="inlineStr"/>
    </row>
    <row r="15" ht="17" customHeight="1">
      <c r="C15" s="12" t="inlineStr">
        <is>
          <t>红包/促销折扣费率</t>
        </is>
      </c>
      <c r="D15" s="13" t="n">
        <v>0.17</v>
      </c>
      <c r="E15" s="13" t="n">
        <v>0.17</v>
      </c>
      <c r="F15" s="13" t="n">
        <v>0.17</v>
      </c>
      <c r="G15" s="13" t="n">
        <v>0.17</v>
      </c>
      <c r="H15" s="13" t="n">
        <v>0.17</v>
      </c>
      <c r="I15" s="13" t="n">
        <v>0.17</v>
      </c>
      <c r="J15" s="13" t="n">
        <v>0.17</v>
      </c>
      <c r="K15" s="13" t="n">
        <v>0.17</v>
      </c>
      <c r="L15" s="13" t="n">
        <v>0.17</v>
      </c>
      <c r="M15" s="13" t="n">
        <v>0.17</v>
      </c>
      <c r="N15" s="13" t="n">
        <v>0.17</v>
      </c>
      <c r="O15" s="13" t="n">
        <v>0.17</v>
      </c>
      <c r="P15" s="14">
        <f>SUM(D15:O15)</f>
        <v/>
      </c>
      <c r="Q15" s="15" t="inlineStr"/>
    </row>
    <row r="16" ht="17" customHeight="1">
      <c r="C16" s="16" t="inlineStr">
        <is>
          <t>TTL折扣合计</t>
        </is>
      </c>
      <c r="D16" s="17">
        <f>(D13+D14+D15)*D10</f>
        <v/>
      </c>
      <c r="E16" s="17">
        <f>(E13+E14+E15)*E10</f>
        <v/>
      </c>
      <c r="F16" s="17">
        <f>(F13+F14+F15)*F10</f>
        <v/>
      </c>
      <c r="G16" s="17">
        <f>(G13+G14+G15)*G10</f>
        <v/>
      </c>
      <c r="H16" s="17">
        <f>(H13+H14+H15)*H10</f>
        <v/>
      </c>
      <c r="I16" s="17">
        <f>(I13+I14+I15)*I10</f>
        <v/>
      </c>
      <c r="J16" s="17">
        <f>(J13+J14+J15)*J10</f>
        <v/>
      </c>
      <c r="K16" s="17">
        <f>(K13+K14+K15)*K10</f>
        <v/>
      </c>
      <c r="L16" s="17">
        <f>(L13+L14+L15)*L10</f>
        <v/>
      </c>
      <c r="M16" s="17">
        <f>(M13+M14+M15)*M10</f>
        <v/>
      </c>
      <c r="N16" s="17">
        <f>(N13+N14+N15)*N10</f>
        <v/>
      </c>
      <c r="O16" s="17">
        <f>(O13+O14+O15)*O10</f>
        <v/>
      </c>
      <c r="P16" s="18">
        <f>SUM(D16:O16)</f>
        <v/>
      </c>
      <c r="Q16" s="19" t="inlineStr"/>
    </row>
    <row r="17" ht="17" customHeight="1">
      <c r="C17" s="20" t="inlineStr">
        <is>
          <t>营业收入（净销售收入）</t>
        </is>
      </c>
      <c r="D17" s="21">
        <f>D10-D16</f>
        <v/>
      </c>
      <c r="E17" s="21">
        <f>E10-E16</f>
        <v/>
      </c>
      <c r="F17" s="21">
        <f>F10-F16</f>
        <v/>
      </c>
      <c r="G17" s="21">
        <f>G10-G16</f>
        <v/>
      </c>
      <c r="H17" s="21">
        <f>H10-H16</f>
        <v/>
      </c>
      <c r="I17" s="21">
        <f>I10-I16</f>
        <v/>
      </c>
      <c r="J17" s="21">
        <f>J10-J16</f>
        <v/>
      </c>
      <c r="K17" s="21">
        <f>K10-K16</f>
        <v/>
      </c>
      <c r="L17" s="21">
        <f>L10-L16</f>
        <v/>
      </c>
      <c r="M17" s="21">
        <f>M10-M16</f>
        <v/>
      </c>
      <c r="N17" s="21">
        <f>N10-N16</f>
        <v/>
      </c>
      <c r="O17" s="21">
        <f>O10-O16</f>
        <v/>
      </c>
      <c r="P17" s="21">
        <f>SUM(D17:O17)</f>
        <v/>
      </c>
      <c r="Q17" s="22" t="inlineStr"/>
    </row>
    <row r="18" ht="6" customHeight="1"/>
    <row r="19" ht="18" customHeight="1">
      <c r="C19" s="6" t="inlineStr">
        <is>
          <t xml:space="preserve">  三、毛利层</t>
        </is>
      </c>
    </row>
    <row r="20" ht="17" customHeight="1">
      <c r="C20" s="12" t="inlineStr">
        <is>
          <t>标准主品及配件成本率</t>
        </is>
      </c>
      <c r="D20" s="13" t="n">
        <v>0.46</v>
      </c>
      <c r="E20" s="13" t="n">
        <v>0.46</v>
      </c>
      <c r="F20" s="13" t="n">
        <v>0.46</v>
      </c>
      <c r="G20" s="13" t="n">
        <v>0.46</v>
      </c>
      <c r="H20" s="13" t="n">
        <v>0.46</v>
      </c>
      <c r="I20" s="13" t="n">
        <v>0.46</v>
      </c>
      <c r="J20" s="13" t="n">
        <v>0.46</v>
      </c>
      <c r="K20" s="13" t="n">
        <v>0.46</v>
      </c>
      <c r="L20" s="13" t="n">
        <v>0.46</v>
      </c>
      <c r="M20" s="13" t="n">
        <v>0.46</v>
      </c>
      <c r="N20" s="13" t="n">
        <v>0.46</v>
      </c>
      <c r="O20" s="13" t="n">
        <v>0.46</v>
      </c>
      <c r="P20" s="14">
        <f>SUM(D20:O20)</f>
        <v/>
      </c>
      <c r="Q20" s="15" t="inlineStr"/>
    </row>
    <row r="21" ht="17" customHeight="1">
      <c r="C21" s="16" t="inlineStr">
        <is>
          <t>标准主品及配件成本</t>
        </is>
      </c>
      <c r="D21" s="17">
        <f>D17*D20</f>
        <v/>
      </c>
      <c r="E21" s="17">
        <f>E17*E20</f>
        <v/>
      </c>
      <c r="F21" s="17">
        <f>F17*F20</f>
        <v/>
      </c>
      <c r="G21" s="17">
        <f>G17*G20</f>
        <v/>
      </c>
      <c r="H21" s="17">
        <f>H17*H20</f>
        <v/>
      </c>
      <c r="I21" s="17">
        <f>I17*I20</f>
        <v/>
      </c>
      <c r="J21" s="17">
        <f>J17*J20</f>
        <v/>
      </c>
      <c r="K21" s="17">
        <f>K17*K20</f>
        <v/>
      </c>
      <c r="L21" s="17">
        <f>L17*L20</f>
        <v/>
      </c>
      <c r="M21" s="17">
        <f>M17*M20</f>
        <v/>
      </c>
      <c r="N21" s="17">
        <f>N17*N20</f>
        <v/>
      </c>
      <c r="O21" s="17">
        <f>O17*O20</f>
        <v/>
      </c>
      <c r="P21" s="18">
        <f>SUM(D21:O21)</f>
        <v/>
      </c>
      <c r="Q21" s="19" t="inlineStr"/>
    </row>
    <row r="22" ht="17" customHeight="1">
      <c r="C22" s="20" t="inlineStr">
        <is>
          <t>产品毛利</t>
        </is>
      </c>
      <c r="D22" s="21">
        <f>D17-D21</f>
        <v/>
      </c>
      <c r="E22" s="21">
        <f>E17-E21</f>
        <v/>
      </c>
      <c r="F22" s="21">
        <f>F17-F21</f>
        <v/>
      </c>
      <c r="G22" s="21">
        <f>G17-G21</f>
        <v/>
      </c>
      <c r="H22" s="21">
        <f>H17-H21</f>
        <v/>
      </c>
      <c r="I22" s="21">
        <f>I17-I21</f>
        <v/>
      </c>
      <c r="J22" s="21">
        <f>J17-J21</f>
        <v/>
      </c>
      <c r="K22" s="21">
        <f>K17-K21</f>
        <v/>
      </c>
      <c r="L22" s="21">
        <f>L17-L21</f>
        <v/>
      </c>
      <c r="M22" s="21">
        <f>M17-M21</f>
        <v/>
      </c>
      <c r="N22" s="21">
        <f>N17-N21</f>
        <v/>
      </c>
      <c r="O22" s="21">
        <f>O17-O21</f>
        <v/>
      </c>
      <c r="P22" s="21">
        <f>SUM(D22:O22)</f>
        <v/>
      </c>
      <c r="Q22" s="22" t="inlineStr"/>
    </row>
    <row r="23" ht="17" customHeight="1">
      <c r="C23" s="12" t="inlineStr">
        <is>
          <t>物流/仓储费率</t>
        </is>
      </c>
      <c r="D23" s="13" t="n">
        <v>0.025</v>
      </c>
      <c r="E23" s="13" t="n">
        <v>0.025</v>
      </c>
      <c r="F23" s="13" t="n">
        <v>0.025</v>
      </c>
      <c r="G23" s="13" t="n">
        <v>0.025</v>
      </c>
      <c r="H23" s="13" t="n">
        <v>0.025</v>
      </c>
      <c r="I23" s="13" t="n">
        <v>0.025</v>
      </c>
      <c r="J23" s="13" t="n">
        <v>0.025</v>
      </c>
      <c r="K23" s="13" t="n">
        <v>0.025</v>
      </c>
      <c r="L23" s="13" t="n">
        <v>0.025</v>
      </c>
      <c r="M23" s="13" t="n">
        <v>0.025</v>
      </c>
      <c r="N23" s="13" t="n">
        <v>0.025</v>
      </c>
      <c r="O23" s="13" t="n">
        <v>0.025</v>
      </c>
      <c r="P23" s="14">
        <f>SUM(D23:O23)</f>
        <v/>
      </c>
      <c r="Q23" s="15" t="inlineStr"/>
    </row>
    <row r="24" ht="17" customHeight="1">
      <c r="C24" s="16" t="inlineStr">
        <is>
          <t>物流/仓储费用</t>
        </is>
      </c>
      <c r="D24" s="17">
        <f>D17*D23</f>
        <v/>
      </c>
      <c r="E24" s="17">
        <f>E17*E23</f>
        <v/>
      </c>
      <c r="F24" s="17">
        <f>F17*F23</f>
        <v/>
      </c>
      <c r="G24" s="17">
        <f>G17*G23</f>
        <v/>
      </c>
      <c r="H24" s="17">
        <f>H17*H23</f>
        <v/>
      </c>
      <c r="I24" s="17">
        <f>I17*I23</f>
        <v/>
      </c>
      <c r="J24" s="17">
        <f>J17*J23</f>
        <v/>
      </c>
      <c r="K24" s="17">
        <f>K17*K23</f>
        <v/>
      </c>
      <c r="L24" s="17">
        <f>L17*L23</f>
        <v/>
      </c>
      <c r="M24" s="17">
        <f>M17*M23</f>
        <v/>
      </c>
      <c r="N24" s="17">
        <f>N17*N23</f>
        <v/>
      </c>
      <c r="O24" s="17">
        <f>O17*O23</f>
        <v/>
      </c>
      <c r="P24" s="18">
        <f>SUM(D24:O24)</f>
        <v/>
      </c>
      <c r="Q24" s="19" t="inlineStr"/>
    </row>
    <row r="25" ht="17" customHeight="1">
      <c r="C25" s="20" t="inlineStr">
        <is>
          <t>净毛利</t>
        </is>
      </c>
      <c r="D25" s="21">
        <f>D22-D24</f>
        <v/>
      </c>
      <c r="E25" s="21">
        <f>E22-E24</f>
        <v/>
      </c>
      <c r="F25" s="21">
        <f>F22-F24</f>
        <v/>
      </c>
      <c r="G25" s="21">
        <f>G22-G24</f>
        <v/>
      </c>
      <c r="H25" s="21">
        <f>H22-H24</f>
        <v/>
      </c>
      <c r="I25" s="21">
        <f>I22-I24</f>
        <v/>
      </c>
      <c r="J25" s="21">
        <f>J22-J24</f>
        <v/>
      </c>
      <c r="K25" s="21">
        <f>K22-K24</f>
        <v/>
      </c>
      <c r="L25" s="21">
        <f>L22-L24</f>
        <v/>
      </c>
      <c r="M25" s="21">
        <f>M22-M24</f>
        <v/>
      </c>
      <c r="N25" s="21">
        <f>N22-N24</f>
        <v/>
      </c>
      <c r="O25" s="21">
        <f>O22-O24</f>
        <v/>
      </c>
      <c r="P25" s="21">
        <f>SUM(D25:O25)</f>
        <v/>
      </c>
      <c r="Q25" s="22" t="inlineStr"/>
    </row>
    <row r="26" ht="6" customHeight="1"/>
    <row r="27" ht="18" customHeight="1">
      <c r="C27" s="6" t="inlineStr">
        <is>
          <t xml:space="preserve">  四、A&amp;P 营销与运营费用</t>
        </is>
      </c>
    </row>
    <row r="28" ht="17" customHeight="1">
      <c r="C28" s="12" t="inlineStr">
        <is>
          <t>品牌/内容/达人费率</t>
        </is>
      </c>
      <c r="D28" s="13" t="n">
        <v>0.03</v>
      </c>
      <c r="E28" s="13" t="n">
        <v>0.03</v>
      </c>
      <c r="F28" s="13" t="n">
        <v>0.03</v>
      </c>
      <c r="G28" s="13" t="n">
        <v>0.03</v>
      </c>
      <c r="H28" s="13" t="n">
        <v>0.03</v>
      </c>
      <c r="I28" s="13" t="n">
        <v>0.03</v>
      </c>
      <c r="J28" s="13" t="n">
        <v>0.03</v>
      </c>
      <c r="K28" s="13" t="n">
        <v>0.03</v>
      </c>
      <c r="L28" s="13" t="n">
        <v>0.03</v>
      </c>
      <c r="M28" s="13" t="n">
        <v>0.03</v>
      </c>
      <c r="N28" s="13" t="n">
        <v>0.03</v>
      </c>
      <c r="O28" s="13" t="n">
        <v>0.03</v>
      </c>
      <c r="P28" s="14">
        <f>SUM(D28:O28)</f>
        <v/>
      </c>
      <c r="Q28" s="15" t="inlineStr"/>
    </row>
    <row r="29" ht="17" customHeight="1">
      <c r="C29" s="16" t="inlineStr">
        <is>
          <t>品牌内容费用</t>
        </is>
      </c>
      <c r="D29" s="17">
        <f>D17*D28</f>
        <v/>
      </c>
      <c r="E29" s="17">
        <f>E17*E28</f>
        <v/>
      </c>
      <c r="F29" s="17">
        <f>F17*F28</f>
        <v/>
      </c>
      <c r="G29" s="17">
        <f>G17*G28</f>
        <v/>
      </c>
      <c r="H29" s="17">
        <f>H17*H28</f>
        <v/>
      </c>
      <c r="I29" s="17">
        <f>I17*I28</f>
        <v/>
      </c>
      <c r="J29" s="17">
        <f>J17*J28</f>
        <v/>
      </c>
      <c r="K29" s="17">
        <f>K17*K28</f>
        <v/>
      </c>
      <c r="L29" s="17">
        <f>L17*L28</f>
        <v/>
      </c>
      <c r="M29" s="17">
        <f>M17*M28</f>
        <v/>
      </c>
      <c r="N29" s="17">
        <f>N17*N28</f>
        <v/>
      </c>
      <c r="O29" s="17">
        <f>O17*O28</f>
        <v/>
      </c>
      <c r="P29" s="18">
        <f>SUM(D29:O29)</f>
        <v/>
      </c>
      <c r="Q29" s="19" t="inlineStr"/>
    </row>
    <row r="30" ht="17" customHeight="1">
      <c r="C30" s="12" t="inlineStr">
        <is>
          <t>站内投放费率</t>
        </is>
      </c>
      <c r="D30" s="13" t="n">
        <v>0</v>
      </c>
      <c r="E30" s="13" t="n">
        <v>0</v>
      </c>
      <c r="F30" s="13" t="n">
        <v>0</v>
      </c>
      <c r="G30" s="13" t="n">
        <v>0</v>
      </c>
      <c r="H30" s="13" t="n">
        <v>0</v>
      </c>
      <c r="I30" s="13" t="n">
        <v>0</v>
      </c>
      <c r="J30" s="13" t="n">
        <v>0</v>
      </c>
      <c r="K30" s="13" t="n">
        <v>0</v>
      </c>
      <c r="L30" s="13" t="n">
        <v>0</v>
      </c>
      <c r="M30" s="13" t="n">
        <v>0</v>
      </c>
      <c r="N30" s="13" t="n">
        <v>0</v>
      </c>
      <c r="O30" s="13" t="n">
        <v>0</v>
      </c>
      <c r="P30" s="14">
        <f>SUM(D30:O30)</f>
        <v/>
      </c>
      <c r="Q30" s="15" t="inlineStr"/>
    </row>
    <row r="31" ht="17" customHeight="1">
      <c r="C31" s="12" t="inlineStr">
        <is>
          <t>千川投放费率</t>
        </is>
      </c>
      <c r="D31" s="13" t="n">
        <v>0.12</v>
      </c>
      <c r="E31" s="13" t="n">
        <v>0.12</v>
      </c>
      <c r="F31" s="13" t="n">
        <v>0.12</v>
      </c>
      <c r="G31" s="13" t="n">
        <v>0.12</v>
      </c>
      <c r="H31" s="13" t="n">
        <v>0.12</v>
      </c>
      <c r="I31" s="13" t="n">
        <v>0.12</v>
      </c>
      <c r="J31" s="13" t="n">
        <v>0.12</v>
      </c>
      <c r="K31" s="13" t="n">
        <v>0.12</v>
      </c>
      <c r="L31" s="13" t="n">
        <v>0.12</v>
      </c>
      <c r="M31" s="13" t="n">
        <v>0.12</v>
      </c>
      <c r="N31" s="13" t="n">
        <v>0.12</v>
      </c>
      <c r="O31" s="13" t="n">
        <v>0.12</v>
      </c>
      <c r="P31" s="14">
        <f>SUM(D31:O31)</f>
        <v/>
      </c>
      <c r="Q31" s="15" t="inlineStr"/>
    </row>
    <row r="32" ht="17" customHeight="1">
      <c r="C32" s="12" t="inlineStr">
        <is>
          <t>站外投放费率</t>
        </is>
      </c>
      <c r="D32" s="13" t="n">
        <v>0.02</v>
      </c>
      <c r="E32" s="13" t="n">
        <v>0.02</v>
      </c>
      <c r="F32" s="13" t="n">
        <v>0.02</v>
      </c>
      <c r="G32" s="13" t="n">
        <v>0.02</v>
      </c>
      <c r="H32" s="13" t="n">
        <v>0.02</v>
      </c>
      <c r="I32" s="13" t="n">
        <v>0.02</v>
      </c>
      <c r="J32" s="13" t="n">
        <v>0.02</v>
      </c>
      <c r="K32" s="13" t="n">
        <v>0.02</v>
      </c>
      <c r="L32" s="13" t="n">
        <v>0.02</v>
      </c>
      <c r="M32" s="13" t="n">
        <v>0.02</v>
      </c>
      <c r="N32" s="13" t="n">
        <v>0.02</v>
      </c>
      <c r="O32" s="13" t="n">
        <v>0.02</v>
      </c>
      <c r="P32" s="14">
        <f>SUM(D32:O32)</f>
        <v/>
      </c>
      <c r="Q32" s="15" t="inlineStr"/>
    </row>
    <row r="33" ht="17" customHeight="1">
      <c r="C33" s="16" t="inlineStr">
        <is>
          <t>效果广告合计</t>
        </is>
      </c>
      <c r="D33" s="17">
        <f>(D30+D31+D32)*D17</f>
        <v/>
      </c>
      <c r="E33" s="17">
        <f>(E30+E31+E32)*E17</f>
        <v/>
      </c>
      <c r="F33" s="17">
        <f>(F30+F31+F32)*F17</f>
        <v/>
      </c>
      <c r="G33" s="17">
        <f>(G30+G31+G32)*G17</f>
        <v/>
      </c>
      <c r="H33" s="17">
        <f>(H30+H31+H32)*H17</f>
        <v/>
      </c>
      <c r="I33" s="17">
        <f>(I30+I31+I32)*I17</f>
        <v/>
      </c>
      <c r="J33" s="17">
        <f>(J30+J31+J32)*J17</f>
        <v/>
      </c>
      <c r="K33" s="17">
        <f>(K30+K31+K32)*K17</f>
        <v/>
      </c>
      <c r="L33" s="17">
        <f>(L30+L31+L32)*L17</f>
        <v/>
      </c>
      <c r="M33" s="17">
        <f>(M30+M31+M32)*M17</f>
        <v/>
      </c>
      <c r="N33" s="17">
        <f>(N30+N31+N32)*N17</f>
        <v/>
      </c>
      <c r="O33" s="17">
        <f>(O30+O31+O32)*O17</f>
        <v/>
      </c>
      <c r="P33" s="18">
        <f>SUM(D33:O33)</f>
        <v/>
      </c>
      <c r="Q33" s="19" t="inlineStr"/>
    </row>
    <row r="34" ht="17" customHeight="1">
      <c r="C34" s="12" t="inlineStr">
        <is>
          <t>线上运营费率（直播+赠品）</t>
        </is>
      </c>
      <c r="D34" s="13" t="n">
        <v>0.03</v>
      </c>
      <c r="E34" s="13" t="n">
        <v>0.03</v>
      </c>
      <c r="F34" s="13" t="n">
        <v>0.03</v>
      </c>
      <c r="G34" s="13" t="n">
        <v>0.03</v>
      </c>
      <c r="H34" s="13" t="n">
        <v>0.03</v>
      </c>
      <c r="I34" s="13" t="n">
        <v>0.03</v>
      </c>
      <c r="J34" s="13" t="n">
        <v>0.03</v>
      </c>
      <c r="K34" s="13" t="n">
        <v>0.03</v>
      </c>
      <c r="L34" s="13" t="n">
        <v>0.03</v>
      </c>
      <c r="M34" s="13" t="n">
        <v>0.03</v>
      </c>
      <c r="N34" s="13" t="n">
        <v>0.03</v>
      </c>
      <c r="O34" s="13" t="n">
        <v>0.03</v>
      </c>
      <c r="P34" s="14">
        <f>SUM(D34:O34)</f>
        <v/>
      </c>
      <c r="Q34" s="15" t="inlineStr"/>
    </row>
    <row r="35" ht="17" customHeight="1">
      <c r="C35" s="16" t="inlineStr">
        <is>
          <t>线上运营费用</t>
        </is>
      </c>
      <c r="D35" s="17">
        <f>D17*D34</f>
        <v/>
      </c>
      <c r="E35" s="17">
        <f>E17*E34</f>
        <v/>
      </c>
      <c r="F35" s="17">
        <f>F17*F34</f>
        <v/>
      </c>
      <c r="G35" s="17">
        <f>G17*G34</f>
        <v/>
      </c>
      <c r="H35" s="17">
        <f>H17*H34</f>
        <v/>
      </c>
      <c r="I35" s="17">
        <f>I17*I34</f>
        <v/>
      </c>
      <c r="J35" s="17">
        <f>J17*J34</f>
        <v/>
      </c>
      <c r="K35" s="17">
        <f>K17*K34</f>
        <v/>
      </c>
      <c r="L35" s="17">
        <f>L17*L34</f>
        <v/>
      </c>
      <c r="M35" s="17">
        <f>M17*M34</f>
        <v/>
      </c>
      <c r="N35" s="17">
        <f>N17*N34</f>
        <v/>
      </c>
      <c r="O35" s="17">
        <f>O17*O34</f>
        <v/>
      </c>
      <c r="P35" s="18">
        <f>SUM(D35:O35)</f>
        <v/>
      </c>
      <c r="Q35" s="19" t="inlineStr"/>
    </row>
    <row r="36" ht="17" customHeight="1">
      <c r="C36" s="7" t="inlineStr">
        <is>
          <t>线下市场/渠道费用（预算）</t>
        </is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9">
        <f>SUM(D36:O36)</f>
        <v/>
      </c>
      <c r="Q36" s="10" t="inlineStr"/>
    </row>
    <row r="37" ht="17" customHeight="1">
      <c r="C37" s="12" t="inlineStr">
        <is>
          <t>平台佣金费率</t>
        </is>
      </c>
      <c r="D37" s="13" t="n">
        <v>0.06</v>
      </c>
      <c r="E37" s="13" t="n">
        <v>0.06</v>
      </c>
      <c r="F37" s="13" t="n">
        <v>0.06</v>
      </c>
      <c r="G37" s="13" t="n">
        <v>0.06</v>
      </c>
      <c r="H37" s="13" t="n">
        <v>0.06</v>
      </c>
      <c r="I37" s="13" t="n">
        <v>0.06</v>
      </c>
      <c r="J37" s="13" t="n">
        <v>0.06</v>
      </c>
      <c r="K37" s="13" t="n">
        <v>0.06</v>
      </c>
      <c r="L37" s="13" t="n">
        <v>0.06</v>
      </c>
      <c r="M37" s="13" t="n">
        <v>0.06</v>
      </c>
      <c r="N37" s="13" t="n">
        <v>0.06</v>
      </c>
      <c r="O37" s="13" t="n">
        <v>0.06</v>
      </c>
      <c r="P37" s="14">
        <f>SUM(D37:O37)</f>
        <v/>
      </c>
      <c r="Q37" s="15" t="inlineStr"/>
    </row>
    <row r="38" ht="17" customHeight="1">
      <c r="C38" s="16" t="inlineStr">
        <is>
          <t>平台佣金</t>
        </is>
      </c>
      <c r="D38" s="17">
        <f>D17*D37</f>
        <v/>
      </c>
      <c r="E38" s="17">
        <f>E17*E37</f>
        <v/>
      </c>
      <c r="F38" s="17">
        <f>F17*F37</f>
        <v/>
      </c>
      <c r="G38" s="17">
        <f>G17*G37</f>
        <v/>
      </c>
      <c r="H38" s="17">
        <f>H17*H37</f>
        <v/>
      </c>
      <c r="I38" s="17">
        <f>I17*I37</f>
        <v/>
      </c>
      <c r="J38" s="17">
        <f>J17*J37</f>
        <v/>
      </c>
      <c r="K38" s="17">
        <f>K17*K37</f>
        <v/>
      </c>
      <c r="L38" s="17">
        <f>L17*L37</f>
        <v/>
      </c>
      <c r="M38" s="17">
        <f>M17*M37</f>
        <v/>
      </c>
      <c r="N38" s="17">
        <f>N17*N37</f>
        <v/>
      </c>
      <c r="O38" s="17">
        <f>O17*O37</f>
        <v/>
      </c>
      <c r="P38" s="18">
        <f>SUM(D38:O38)</f>
        <v/>
      </c>
      <c r="Q38" s="19" t="inlineStr"/>
    </row>
    <row r="39" ht="17" customHeight="1">
      <c r="C39" s="12" t="inlineStr">
        <is>
          <t>平台其他费率</t>
        </is>
      </c>
      <c r="D39" s="13" t="n">
        <v>0.014</v>
      </c>
      <c r="E39" s="13" t="n">
        <v>0.014</v>
      </c>
      <c r="F39" s="13" t="n">
        <v>0.014</v>
      </c>
      <c r="G39" s="13" t="n">
        <v>0.014</v>
      </c>
      <c r="H39" s="13" t="n">
        <v>0.014</v>
      </c>
      <c r="I39" s="13" t="n">
        <v>0.014</v>
      </c>
      <c r="J39" s="13" t="n">
        <v>0.014</v>
      </c>
      <c r="K39" s="13" t="n">
        <v>0.014</v>
      </c>
      <c r="L39" s="13" t="n">
        <v>0.014</v>
      </c>
      <c r="M39" s="13" t="n">
        <v>0.014</v>
      </c>
      <c r="N39" s="13" t="n">
        <v>0.014</v>
      </c>
      <c r="O39" s="13" t="n">
        <v>0.014</v>
      </c>
      <c r="P39" s="14">
        <f>SUM(D39:O39)</f>
        <v/>
      </c>
      <c r="Q39" s="15" t="inlineStr"/>
    </row>
    <row r="40" ht="17" customHeight="1">
      <c r="C40" s="16" t="inlineStr">
        <is>
          <t>平台其他费用</t>
        </is>
      </c>
      <c r="D40" s="17">
        <f>D17*D39</f>
        <v/>
      </c>
      <c r="E40" s="17">
        <f>E17*E39</f>
        <v/>
      </c>
      <c r="F40" s="17">
        <f>F17*F39</f>
        <v/>
      </c>
      <c r="G40" s="17">
        <f>G17*G39</f>
        <v/>
      </c>
      <c r="H40" s="17">
        <f>H17*H39</f>
        <v/>
      </c>
      <c r="I40" s="17">
        <f>I17*I39</f>
        <v/>
      </c>
      <c r="J40" s="17">
        <f>J17*J39</f>
        <v/>
      </c>
      <c r="K40" s="17">
        <f>K17*K39</f>
        <v/>
      </c>
      <c r="L40" s="17">
        <f>L17*L39</f>
        <v/>
      </c>
      <c r="M40" s="17">
        <f>M17*M39</f>
        <v/>
      </c>
      <c r="N40" s="17">
        <f>N17*N39</f>
        <v/>
      </c>
      <c r="O40" s="17">
        <f>O17*O39</f>
        <v/>
      </c>
      <c r="P40" s="18">
        <f>SUM(D40:O40)</f>
        <v/>
      </c>
      <c r="Q40" s="19" t="inlineStr"/>
    </row>
    <row r="41" ht="17" customHeight="1">
      <c r="C41" s="12" t="inlineStr">
        <is>
          <t>售后费率</t>
        </is>
      </c>
      <c r="D41" s="13" t="n">
        <v>0.03</v>
      </c>
      <c r="E41" s="13" t="n">
        <v>0.03</v>
      </c>
      <c r="F41" s="13" t="n">
        <v>0.03</v>
      </c>
      <c r="G41" s="13" t="n">
        <v>0.03</v>
      </c>
      <c r="H41" s="13" t="n">
        <v>0.03</v>
      </c>
      <c r="I41" s="13" t="n">
        <v>0.03</v>
      </c>
      <c r="J41" s="13" t="n">
        <v>0.03</v>
      </c>
      <c r="K41" s="13" t="n">
        <v>0.03</v>
      </c>
      <c r="L41" s="13" t="n">
        <v>0.03</v>
      </c>
      <c r="M41" s="13" t="n">
        <v>0.03</v>
      </c>
      <c r="N41" s="13" t="n">
        <v>0.03</v>
      </c>
      <c r="O41" s="13" t="n">
        <v>0.03</v>
      </c>
      <c r="P41" s="14">
        <f>SUM(D41:O41)</f>
        <v/>
      </c>
      <c r="Q41" s="15" t="inlineStr"/>
    </row>
    <row r="42" ht="17" customHeight="1">
      <c r="C42" s="16" t="inlineStr">
        <is>
          <t>售后费用</t>
        </is>
      </c>
      <c r="D42" s="17">
        <f>D17*D41</f>
        <v/>
      </c>
      <c r="E42" s="17">
        <f>E17*E41</f>
        <v/>
      </c>
      <c r="F42" s="17">
        <f>F17*F41</f>
        <v/>
      </c>
      <c r="G42" s="17">
        <f>G17*G41</f>
        <v/>
      </c>
      <c r="H42" s="17">
        <f>H17*H41</f>
        <v/>
      </c>
      <c r="I42" s="17">
        <f>I17*I41</f>
        <v/>
      </c>
      <c r="J42" s="17">
        <f>J17*J41</f>
        <v/>
      </c>
      <c r="K42" s="17">
        <f>K17*K41</f>
        <v/>
      </c>
      <c r="L42" s="17">
        <f>L17*L41</f>
        <v/>
      </c>
      <c r="M42" s="17">
        <f>M17*M41</f>
        <v/>
      </c>
      <c r="N42" s="17">
        <f>N17*N41</f>
        <v/>
      </c>
      <c r="O42" s="17">
        <f>O17*O41</f>
        <v/>
      </c>
      <c r="P42" s="18">
        <f>SUM(D42:O42)</f>
        <v/>
      </c>
      <c r="Q42" s="19" t="inlineStr"/>
    </row>
    <row r="43" ht="17" customHeight="1">
      <c r="C43" s="12" t="inlineStr">
        <is>
          <t>店铺运营综合费率</t>
        </is>
      </c>
      <c r="D43" s="13" t="n">
        <v>0.098</v>
      </c>
      <c r="E43" s="13" t="n">
        <v>0.098</v>
      </c>
      <c r="F43" s="13" t="n">
        <v>0.098</v>
      </c>
      <c r="G43" s="13" t="n">
        <v>0.098</v>
      </c>
      <c r="H43" s="13" t="n">
        <v>0.098</v>
      </c>
      <c r="I43" s="13" t="n">
        <v>0.098</v>
      </c>
      <c r="J43" s="13" t="n">
        <v>0.098</v>
      </c>
      <c r="K43" s="13" t="n">
        <v>0.098</v>
      </c>
      <c r="L43" s="13" t="n">
        <v>0.098</v>
      </c>
      <c r="M43" s="13" t="n">
        <v>0.098</v>
      </c>
      <c r="N43" s="13" t="n">
        <v>0.098</v>
      </c>
      <c r="O43" s="13" t="n">
        <v>0.098</v>
      </c>
      <c r="P43" s="14">
        <f>SUM(D43:O43)</f>
        <v/>
      </c>
      <c r="Q43" s="15" t="inlineStr"/>
    </row>
    <row r="44" ht="17" customHeight="1">
      <c r="C44" s="16" t="inlineStr">
        <is>
          <t>店铺运营费用</t>
        </is>
      </c>
      <c r="D44" s="17">
        <f>D17*D43</f>
        <v/>
      </c>
      <c r="E44" s="17">
        <f>E17*E43</f>
        <v/>
      </c>
      <c r="F44" s="17">
        <f>F17*F43</f>
        <v/>
      </c>
      <c r="G44" s="17">
        <f>G17*G43</f>
        <v/>
      </c>
      <c r="H44" s="17">
        <f>H17*H43</f>
        <v/>
      </c>
      <c r="I44" s="17">
        <f>I17*I43</f>
        <v/>
      </c>
      <c r="J44" s="17">
        <f>J17*J43</f>
        <v/>
      </c>
      <c r="K44" s="17">
        <f>K17*K43</f>
        <v/>
      </c>
      <c r="L44" s="17">
        <f>L17*L43</f>
        <v/>
      </c>
      <c r="M44" s="17">
        <f>M17*M43</f>
        <v/>
      </c>
      <c r="N44" s="17">
        <f>N17*N43</f>
        <v/>
      </c>
      <c r="O44" s="17">
        <f>O17*O43</f>
        <v/>
      </c>
      <c r="P44" s="18">
        <f>SUM(D44:O44)</f>
        <v/>
      </c>
      <c r="Q44" s="19" t="inlineStr"/>
    </row>
    <row r="45" ht="17" customHeight="1">
      <c r="C45" s="20" t="inlineStr">
        <is>
          <t>A&amp;P 合计</t>
        </is>
      </c>
      <c r="D45" s="21">
        <f>D29+D33+D35+D36+D38+D40+D42+D44</f>
        <v/>
      </c>
      <c r="E45" s="21">
        <f>E29+E33+E35+E36+E38+E40+E42+E44</f>
        <v/>
      </c>
      <c r="F45" s="21">
        <f>F29+F33+F35+F36+F38+F40+F42+F44</f>
        <v/>
      </c>
      <c r="G45" s="21">
        <f>G29+G33+G35+G36+G38+G40+G42+G44</f>
        <v/>
      </c>
      <c r="H45" s="21">
        <f>H29+H33+H35+H36+H38+H40+H42+H44</f>
        <v/>
      </c>
      <c r="I45" s="21">
        <f>I29+I33+I35+I36+I38+I40+I42+I44</f>
        <v/>
      </c>
      <c r="J45" s="21">
        <f>J29+J33+J35+J36+J38+J40+J42+J44</f>
        <v/>
      </c>
      <c r="K45" s="21">
        <f>K29+K33+K35+K36+K38+K40+K42+K44</f>
        <v/>
      </c>
      <c r="L45" s="21">
        <f>L29+L33+L35+L36+L38+L40+L42+L44</f>
        <v/>
      </c>
      <c r="M45" s="21">
        <f>M29+M33+M35+M36+M38+M40+M42+M44</f>
        <v/>
      </c>
      <c r="N45" s="21">
        <f>N29+N33+N35+N36+N38+N40+N42+N44</f>
        <v/>
      </c>
      <c r="O45" s="21">
        <f>O29+O33+O35+O36+O38+O40+O42+O44</f>
        <v/>
      </c>
      <c r="P45" s="21">
        <f>SUM(D45:O45)</f>
        <v/>
      </c>
      <c r="Q45" s="22" t="inlineStr"/>
    </row>
    <row r="46" ht="6" customHeight="1"/>
    <row r="47" ht="18" customHeight="1">
      <c r="C47" s="6" t="inlineStr">
        <is>
          <t xml:space="preserve">  五、店铺利润（渠道贡献）</t>
        </is>
      </c>
    </row>
    <row r="48" ht="17" customHeight="1">
      <c r="C48" s="20" t="inlineStr">
        <is>
          <t>店铺利润</t>
        </is>
      </c>
      <c r="D48" s="21">
        <f>D25-D45</f>
        <v/>
      </c>
      <c r="E48" s="21">
        <f>E25-E45</f>
        <v/>
      </c>
      <c r="F48" s="21">
        <f>F25-F45</f>
        <v/>
      </c>
      <c r="G48" s="21">
        <f>G25-G45</f>
        <v/>
      </c>
      <c r="H48" s="21">
        <f>H25-H45</f>
        <v/>
      </c>
      <c r="I48" s="21">
        <f>I25-I45</f>
        <v/>
      </c>
      <c r="J48" s="21">
        <f>J25-J45</f>
        <v/>
      </c>
      <c r="K48" s="21">
        <f>K25-K45</f>
        <v/>
      </c>
      <c r="L48" s="21">
        <f>L25-L45</f>
        <v/>
      </c>
      <c r="M48" s="21">
        <f>M25-M45</f>
        <v/>
      </c>
      <c r="N48" s="21">
        <f>N25-N45</f>
        <v/>
      </c>
      <c r="O48" s="21">
        <f>O25-O45</f>
        <v/>
      </c>
      <c r="P48" s="21">
        <f>SUM(D48:O48)</f>
        <v/>
      </c>
      <c r="Q48" s="22" t="inlineStr"/>
    </row>
    <row r="49" ht="6" customHeight="1"/>
    <row r="50" ht="18" customHeight="1">
      <c r="C50" s="6" t="inlineStr">
        <is>
          <t xml:space="preserve">  六、BU 可控 / 贡献层</t>
        </is>
      </c>
    </row>
    <row r="51" ht="17" customHeight="1">
      <c r="C51" s="7" t="inlineStr">
        <is>
          <t>销售管理费用（预算）</t>
        </is>
      </c>
      <c r="D51" s="8" t="n">
        <v>500000</v>
      </c>
      <c r="E51" s="8" t="n">
        <v>500000</v>
      </c>
      <c r="F51" s="8" t="n">
        <v>500000</v>
      </c>
      <c r="G51" s="8" t="n">
        <v>500000</v>
      </c>
      <c r="H51" s="8" t="n">
        <v>500000</v>
      </c>
      <c r="I51" s="8" t="n">
        <v>500000</v>
      </c>
      <c r="J51" s="8" t="n">
        <v>500000</v>
      </c>
      <c r="K51" s="8" t="n">
        <v>500000</v>
      </c>
      <c r="L51" s="8" t="n">
        <v>500000</v>
      </c>
      <c r="M51" s="8" t="n">
        <v>500000</v>
      </c>
      <c r="N51" s="8" t="n">
        <v>500000</v>
      </c>
      <c r="O51" s="8" t="n">
        <v>500000</v>
      </c>
      <c r="P51" s="9">
        <f>SUM(D51:O51)</f>
        <v/>
      </c>
      <c r="Q51" s="10" t="inlineStr"/>
    </row>
    <row r="52" ht="17" customHeight="1">
      <c r="C52" s="7" t="inlineStr">
        <is>
          <t>研发费用（预算）</t>
        </is>
      </c>
      <c r="D52" s="8" t="n">
        <v>3000000</v>
      </c>
      <c r="E52" s="8" t="n">
        <v>3000000</v>
      </c>
      <c r="F52" s="8" t="n">
        <v>3000000</v>
      </c>
      <c r="G52" s="8" t="n">
        <v>3000000</v>
      </c>
      <c r="H52" s="8" t="n">
        <v>3000000</v>
      </c>
      <c r="I52" s="8" t="n">
        <v>3000000</v>
      </c>
      <c r="J52" s="8" t="n">
        <v>3000000</v>
      </c>
      <c r="K52" s="8" t="n">
        <v>3000000</v>
      </c>
      <c r="L52" s="8" t="n">
        <v>3000000</v>
      </c>
      <c r="M52" s="8" t="n">
        <v>3000000</v>
      </c>
      <c r="N52" s="8" t="n">
        <v>3000000</v>
      </c>
      <c r="O52" s="8" t="n">
        <v>3000000</v>
      </c>
      <c r="P52" s="9">
        <f>SUM(D52:O52)</f>
        <v/>
      </c>
      <c r="Q52" s="10" t="inlineStr"/>
    </row>
    <row r="53" ht="17" customHeight="1">
      <c r="C53" s="16" t="inlineStr">
        <is>
          <t>BU可控费用合计</t>
        </is>
      </c>
      <c r="D53" s="17">
        <f>D51+D52</f>
        <v/>
      </c>
      <c r="E53" s="17">
        <f>E51+E52</f>
        <v/>
      </c>
      <c r="F53" s="17">
        <f>F51+F52</f>
        <v/>
      </c>
      <c r="G53" s="17">
        <f>G51+G52</f>
        <v/>
      </c>
      <c r="H53" s="17">
        <f>H51+H52</f>
        <v/>
      </c>
      <c r="I53" s="17">
        <f>I51+I52</f>
        <v/>
      </c>
      <c r="J53" s="17">
        <f>J51+J52</f>
        <v/>
      </c>
      <c r="K53" s="17">
        <f>K51+K52</f>
        <v/>
      </c>
      <c r="L53" s="17">
        <f>L51+L52</f>
        <v/>
      </c>
      <c r="M53" s="17">
        <f>M51+M52</f>
        <v/>
      </c>
      <c r="N53" s="17">
        <f>N51+N52</f>
        <v/>
      </c>
      <c r="O53" s="17">
        <f>O51+O52</f>
        <v/>
      </c>
      <c r="P53" s="18">
        <f>SUM(D53:O53)</f>
        <v/>
      </c>
      <c r="Q53" s="19" t="inlineStr"/>
    </row>
    <row r="54" ht="17" customHeight="1">
      <c r="C54" s="20" t="inlineStr">
        <is>
          <t>BU 可控利润</t>
        </is>
      </c>
      <c r="D54" s="21">
        <f>D48-D53</f>
        <v/>
      </c>
      <c r="E54" s="21">
        <f>E48-E53</f>
        <v/>
      </c>
      <c r="F54" s="21">
        <f>F48-F53</f>
        <v/>
      </c>
      <c r="G54" s="21">
        <f>G48-G53</f>
        <v/>
      </c>
      <c r="H54" s="21">
        <f>H48-H53</f>
        <v/>
      </c>
      <c r="I54" s="21">
        <f>I48-I53</f>
        <v/>
      </c>
      <c r="J54" s="21">
        <f>J48-J53</f>
        <v/>
      </c>
      <c r="K54" s="21">
        <f>K48-K53</f>
        <v/>
      </c>
      <c r="L54" s="21">
        <f>L48-L53</f>
        <v/>
      </c>
      <c r="M54" s="21">
        <f>M48-M53</f>
        <v/>
      </c>
      <c r="N54" s="21">
        <f>N48-N53</f>
        <v/>
      </c>
      <c r="O54" s="21">
        <f>O48-O53</f>
        <v/>
      </c>
      <c r="P54" s="21">
        <f>SUM(D54:O54)</f>
        <v/>
      </c>
      <c r="Q54" s="22" t="inlineStr"/>
    </row>
    <row r="55" ht="17" customHeight="1">
      <c r="C55" s="7" t="inlineStr">
        <is>
          <t>BU 贡献费用（预算）</t>
        </is>
      </c>
      <c r="D55" s="8" t="n">
        <v>2800000</v>
      </c>
      <c r="E55" s="8" t="n">
        <v>2800000</v>
      </c>
      <c r="F55" s="8" t="n">
        <v>2800000</v>
      </c>
      <c r="G55" s="8" t="n">
        <v>2800000</v>
      </c>
      <c r="H55" s="8" t="n">
        <v>2800000</v>
      </c>
      <c r="I55" s="8" t="n">
        <v>2800000</v>
      </c>
      <c r="J55" s="8" t="n">
        <v>2800000</v>
      </c>
      <c r="K55" s="8" t="n">
        <v>2800000</v>
      </c>
      <c r="L55" s="8" t="n">
        <v>2800000</v>
      </c>
      <c r="M55" s="8" t="n">
        <v>2800000</v>
      </c>
      <c r="N55" s="8" t="n">
        <v>2800000</v>
      </c>
      <c r="O55" s="8" t="n">
        <v>2800000</v>
      </c>
      <c r="P55" s="9">
        <f>SUM(D55:O55)</f>
        <v/>
      </c>
      <c r="Q55" s="10" t="inlineStr"/>
    </row>
    <row r="56" ht="17" customHeight="1">
      <c r="C56" s="20" t="inlineStr">
        <is>
          <t>BU 贡献利润</t>
        </is>
      </c>
      <c r="D56" s="21">
        <f>D54-D55</f>
        <v/>
      </c>
      <c r="E56" s="21">
        <f>E54-E55</f>
        <v/>
      </c>
      <c r="F56" s="21">
        <f>F54-F55</f>
        <v/>
      </c>
      <c r="G56" s="21">
        <f>G54-G55</f>
        <v/>
      </c>
      <c r="H56" s="21">
        <f>H54-H55</f>
        <v/>
      </c>
      <c r="I56" s="21">
        <f>I54-I55</f>
        <v/>
      </c>
      <c r="J56" s="21">
        <f>J54-J55</f>
        <v/>
      </c>
      <c r="K56" s="21">
        <f>K54-K55</f>
        <v/>
      </c>
      <c r="L56" s="21">
        <f>L54-L55</f>
        <v/>
      </c>
      <c r="M56" s="21">
        <f>M54-M55</f>
        <v/>
      </c>
      <c r="N56" s="21">
        <f>N54-N55</f>
        <v/>
      </c>
      <c r="O56" s="21">
        <f>O54-O55</f>
        <v/>
      </c>
      <c r="P56" s="21">
        <f>SUM(D56:O56)</f>
        <v/>
      </c>
      <c r="Q56" s="22" t="inlineStr"/>
    </row>
    <row r="57" ht="17" customHeight="1">
      <c r="C57" s="7" t="inlineStr">
        <is>
          <t>集团分摊费用（预算）</t>
        </is>
      </c>
      <c r="D57" s="8" t="n">
        <v>1200000</v>
      </c>
      <c r="E57" s="8" t="n">
        <v>1200000</v>
      </c>
      <c r="F57" s="8" t="n">
        <v>1200000</v>
      </c>
      <c r="G57" s="8" t="n">
        <v>1200000</v>
      </c>
      <c r="H57" s="8" t="n">
        <v>1200000</v>
      </c>
      <c r="I57" s="8" t="n">
        <v>1200000</v>
      </c>
      <c r="J57" s="8" t="n">
        <v>1200000</v>
      </c>
      <c r="K57" s="8" t="n">
        <v>1200000</v>
      </c>
      <c r="L57" s="8" t="n">
        <v>1200000</v>
      </c>
      <c r="M57" s="8" t="n">
        <v>1200000</v>
      </c>
      <c r="N57" s="8" t="n">
        <v>1200000</v>
      </c>
      <c r="O57" s="8" t="n">
        <v>1200000</v>
      </c>
      <c r="P57" s="9">
        <f>SUM(D57:O57)</f>
        <v/>
      </c>
      <c r="Q57" s="10" t="inlineStr"/>
    </row>
    <row r="58" ht="17" customHeight="1">
      <c r="C58" s="20" t="inlineStr">
        <is>
          <t>净利润</t>
        </is>
      </c>
      <c r="D58" s="21">
        <f>D56-D57</f>
        <v/>
      </c>
      <c r="E58" s="21">
        <f>E56-E57</f>
        <v/>
      </c>
      <c r="F58" s="21">
        <f>F56-F57</f>
        <v/>
      </c>
      <c r="G58" s="21">
        <f>G56-G57</f>
        <v/>
      </c>
      <c r="H58" s="21">
        <f>H56-H57</f>
        <v/>
      </c>
      <c r="I58" s="21">
        <f>I56-I57</f>
        <v/>
      </c>
      <c r="J58" s="21">
        <f>J56-J57</f>
        <v/>
      </c>
      <c r="K58" s="21">
        <f>K56-K57</f>
        <v/>
      </c>
      <c r="L58" s="21">
        <f>L56-L57</f>
        <v/>
      </c>
      <c r="M58" s="21">
        <f>M56-M57</f>
        <v/>
      </c>
      <c r="N58" s="21">
        <f>N56-N57</f>
        <v/>
      </c>
      <c r="O58" s="21">
        <f>O56-O57</f>
        <v/>
      </c>
      <c r="P58" s="21">
        <f>SUM(D58:O58)</f>
        <v/>
      </c>
      <c r="Q58" s="22" t="inlineStr"/>
    </row>
  </sheetData>
  <mergeCells count="7">
    <mergeCell ref="C27:R27"/>
    <mergeCell ref="C2:R2"/>
    <mergeCell ref="C19:R19"/>
    <mergeCell ref="C47:R47"/>
    <mergeCell ref="C50:R50"/>
    <mergeCell ref="C4:R4"/>
    <mergeCell ref="C12:R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C2:R58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" customWidth="1" min="2" max="2"/>
    <col width="2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9" customWidth="1" min="17" max="17"/>
    <col width="28" customWidth="1" min="18" max="18"/>
  </cols>
  <sheetData>
    <row r="1" ht="8" customHeight="1"/>
    <row r="2" ht="28" customHeight="1">
      <c r="C2" s="4" t="inlineStr">
        <is>
          <t>抖音达播 — 年度 BP</t>
        </is>
      </c>
    </row>
    <row r="3" ht="20" customHeight="1">
      <c r="C3" s="5" t="inlineStr">
        <is>
          <t>科目</t>
        </is>
      </c>
      <c r="D3" s="5" t="inlineStr">
        <is>
          <t>1月</t>
        </is>
      </c>
      <c r="E3" s="5" t="inlineStr">
        <is>
          <t>2月</t>
        </is>
      </c>
      <c r="F3" s="5" t="inlineStr">
        <is>
          <t>3月</t>
        </is>
      </c>
      <c r="G3" s="5" t="inlineStr">
        <is>
          <t>4月</t>
        </is>
      </c>
      <c r="H3" s="5" t="inlineStr">
        <is>
          <t>5月</t>
        </is>
      </c>
      <c r="I3" s="5" t="inlineStr">
        <is>
          <t>6月</t>
        </is>
      </c>
      <c r="J3" s="5" t="inlineStr">
        <is>
          <t>7月</t>
        </is>
      </c>
      <c r="K3" s="5" t="inlineStr">
        <is>
          <t>8月</t>
        </is>
      </c>
      <c r="L3" s="5" t="inlineStr">
        <is>
          <t>9月</t>
        </is>
      </c>
      <c r="M3" s="5" t="inlineStr">
        <is>
          <t>10月</t>
        </is>
      </c>
      <c r="N3" s="5" t="inlineStr">
        <is>
          <t>11月</t>
        </is>
      </c>
      <c r="O3" s="5" t="inlineStr">
        <is>
          <t>12月</t>
        </is>
      </c>
      <c r="P3" s="5" t="inlineStr">
        <is>
          <t>合计</t>
        </is>
      </c>
      <c r="Q3" s="5" t="inlineStr">
        <is>
          <t>费比</t>
        </is>
      </c>
    </row>
    <row r="4" ht="18" customHeight="1">
      <c r="C4" s="6" t="inlineStr">
        <is>
          <t xml:space="preserve">  一、GMV 层</t>
        </is>
      </c>
    </row>
    <row r="5" ht="17" customHeight="1">
      <c r="C5" s="7" t="inlineStr">
        <is>
          <t>自补前 GMV（月度目标）</t>
        </is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9">
        <f>SUM(D5:O5)</f>
        <v/>
      </c>
      <c r="Q5" s="10" t="inlineStr"/>
      <c r="R5" s="11" t="inlineStr">
        <is>
          <t>渠道填写</t>
        </is>
      </c>
    </row>
    <row r="6" ht="17" customHeight="1">
      <c r="C6" s="12" t="inlineStr">
        <is>
          <t>国补/自补费用率</t>
        </is>
      </c>
      <c r="D6" s="13" t="n">
        <v>0.1</v>
      </c>
      <c r="E6" s="13" t="n">
        <v>0.1</v>
      </c>
      <c r="F6" s="13" t="n">
        <v>0.1</v>
      </c>
      <c r="G6" s="13" t="n">
        <v>0.1</v>
      </c>
      <c r="H6" s="13" t="n">
        <v>0.1</v>
      </c>
      <c r="I6" s="13" t="n">
        <v>0.1</v>
      </c>
      <c r="J6" s="13" t="n">
        <v>0.1</v>
      </c>
      <c r="K6" s="13" t="n">
        <v>0.1</v>
      </c>
      <c r="L6" s="13" t="n">
        <v>0.1</v>
      </c>
      <c r="M6" s="13" t="n">
        <v>0.1</v>
      </c>
      <c r="N6" s="13" t="n">
        <v>0.1</v>
      </c>
      <c r="O6" s="13" t="n">
        <v>0.1</v>
      </c>
      <c r="P6" s="14">
        <f>SUM(D6:O6)</f>
        <v/>
      </c>
      <c r="Q6" s="15" t="inlineStr"/>
    </row>
    <row r="7" ht="17" customHeight="1">
      <c r="C7" s="16" t="inlineStr">
        <is>
          <t>国补/自补费用</t>
        </is>
      </c>
      <c r="D7" s="17">
        <f>D5*D6</f>
        <v/>
      </c>
      <c r="E7" s="17">
        <f>E5*E6</f>
        <v/>
      </c>
      <c r="F7" s="17">
        <f>F5*F6</f>
        <v/>
      </c>
      <c r="G7" s="17">
        <f>G5*G6</f>
        <v/>
      </c>
      <c r="H7" s="17">
        <f>H5*H6</f>
        <v/>
      </c>
      <c r="I7" s="17">
        <f>I5*I6</f>
        <v/>
      </c>
      <c r="J7" s="17">
        <f>J5*J6</f>
        <v/>
      </c>
      <c r="K7" s="17">
        <f>K5*K6</f>
        <v/>
      </c>
      <c r="L7" s="17">
        <f>L5*L6</f>
        <v/>
      </c>
      <c r="M7" s="17">
        <f>M5*M6</f>
        <v/>
      </c>
      <c r="N7" s="17">
        <f>N5*N6</f>
        <v/>
      </c>
      <c r="O7" s="17">
        <f>O5*O6</f>
        <v/>
      </c>
      <c r="P7" s="18">
        <f>SUM(D7:O7)</f>
        <v/>
      </c>
      <c r="Q7" s="19" t="inlineStr"/>
    </row>
    <row r="8" ht="17" customHeight="1">
      <c r="C8" s="20" t="inlineStr">
        <is>
          <t>GMV（剔除国补）</t>
        </is>
      </c>
      <c r="D8" s="21">
        <f>D5-D7</f>
        <v/>
      </c>
      <c r="E8" s="21">
        <f>E5-E7</f>
        <v/>
      </c>
      <c r="F8" s="21">
        <f>F5-F7</f>
        <v/>
      </c>
      <c r="G8" s="21">
        <f>G5-G7</f>
        <v/>
      </c>
      <c r="H8" s="21">
        <f>H5-H7</f>
        <v/>
      </c>
      <c r="I8" s="21">
        <f>I5-I7</f>
        <v/>
      </c>
      <c r="J8" s="21">
        <f>J5-J7</f>
        <v/>
      </c>
      <c r="K8" s="21">
        <f>K5-K7</f>
        <v/>
      </c>
      <c r="L8" s="21">
        <f>L5-L7</f>
        <v/>
      </c>
      <c r="M8" s="21">
        <f>M5-M7</f>
        <v/>
      </c>
      <c r="N8" s="21">
        <f>N5-N7</f>
        <v/>
      </c>
      <c r="O8" s="21">
        <f>O5-O7</f>
        <v/>
      </c>
      <c r="P8" s="21">
        <f>SUM(D8:O8)</f>
        <v/>
      </c>
      <c r="Q8" s="22" t="inlineStr"/>
    </row>
    <row r="9" ht="17" customHeight="1">
      <c r="C9" s="12" t="inlineStr">
        <is>
          <t>退货率</t>
        </is>
      </c>
      <c r="D9" s="13" t="n">
        <v>0.19</v>
      </c>
      <c r="E9" s="13" t="n">
        <v>0.19</v>
      </c>
      <c r="F9" s="13" t="n">
        <v>0.19</v>
      </c>
      <c r="G9" s="13" t="n">
        <v>0.19</v>
      </c>
      <c r="H9" s="13" t="n">
        <v>0.19</v>
      </c>
      <c r="I9" s="13" t="n">
        <v>0.19</v>
      </c>
      <c r="J9" s="13" t="n">
        <v>0.19</v>
      </c>
      <c r="K9" s="13" t="n">
        <v>0.19</v>
      </c>
      <c r="L9" s="13" t="n">
        <v>0.19</v>
      </c>
      <c r="M9" s="13" t="n">
        <v>0.19</v>
      </c>
      <c r="N9" s="13" t="n">
        <v>0.19</v>
      </c>
      <c r="O9" s="13" t="n">
        <v>0.19</v>
      </c>
      <c r="P9" s="14">
        <f>SUM(D9:O9)</f>
        <v/>
      </c>
      <c r="Q9" s="15" t="inlineStr"/>
    </row>
    <row r="10" ht="17" customHeight="1">
      <c r="C10" s="20" t="inlineStr">
        <is>
          <t>GSV（去退货）</t>
        </is>
      </c>
      <c r="D10" s="21">
        <f>D8*(1-D9)</f>
        <v/>
      </c>
      <c r="E10" s="21">
        <f>E8*(1-E9)</f>
        <v/>
      </c>
      <c r="F10" s="21">
        <f>F8*(1-F9)</f>
        <v/>
      </c>
      <c r="G10" s="21">
        <f>G8*(1-G9)</f>
        <v/>
      </c>
      <c r="H10" s="21">
        <f>H8*(1-H9)</f>
        <v/>
      </c>
      <c r="I10" s="21">
        <f>I8*(1-I9)</f>
        <v/>
      </c>
      <c r="J10" s="21">
        <f>J8*(1-J9)</f>
        <v/>
      </c>
      <c r="K10" s="21">
        <f>K8*(1-K9)</f>
        <v/>
      </c>
      <c r="L10" s="21">
        <f>L8*(1-L9)</f>
        <v/>
      </c>
      <c r="M10" s="21">
        <f>M8*(1-M9)</f>
        <v/>
      </c>
      <c r="N10" s="21">
        <f>N8*(1-N9)</f>
        <v/>
      </c>
      <c r="O10" s="21">
        <f>O8*(1-O9)</f>
        <v/>
      </c>
      <c r="P10" s="21">
        <f>SUM(D10:O10)</f>
        <v/>
      </c>
      <c r="Q10" s="22" t="inlineStr"/>
    </row>
    <row r="11" ht="6" customHeight="1"/>
    <row r="12" ht="18" customHeight="1">
      <c r="C12" s="6" t="inlineStr">
        <is>
          <t xml:space="preserve">  二、营业收入层</t>
        </is>
      </c>
    </row>
    <row r="13" ht="17" customHeight="1">
      <c r="C13" s="12" t="inlineStr">
        <is>
          <t>合同折扣及返利费率（线下）</t>
        </is>
      </c>
      <c r="D13" s="13" t="n">
        <v>0.04</v>
      </c>
      <c r="E13" s="13" t="n">
        <v>0.04</v>
      </c>
      <c r="F13" s="13" t="n">
        <v>0.04</v>
      </c>
      <c r="G13" s="13" t="n">
        <v>0.04</v>
      </c>
      <c r="H13" s="13" t="n">
        <v>0.04</v>
      </c>
      <c r="I13" s="13" t="n">
        <v>0.04</v>
      </c>
      <c r="J13" s="13" t="n">
        <v>0.04</v>
      </c>
      <c r="K13" s="13" t="n">
        <v>0.04</v>
      </c>
      <c r="L13" s="13" t="n">
        <v>0.04</v>
      </c>
      <c r="M13" s="13" t="n">
        <v>0.04</v>
      </c>
      <c r="N13" s="13" t="n">
        <v>0.04</v>
      </c>
      <c r="O13" s="13" t="n">
        <v>0.04</v>
      </c>
      <c r="P13" s="14">
        <f>SUM(D13:O13)</f>
        <v/>
      </c>
      <c r="Q13" s="15" t="inlineStr"/>
    </row>
    <row r="14" ht="17" customHeight="1">
      <c r="C14" s="12" t="inlineStr">
        <is>
          <t>国补/自补折扣费率（线上）</t>
        </is>
      </c>
      <c r="D14" s="13" t="n">
        <v>0.1</v>
      </c>
      <c r="E14" s="13" t="n">
        <v>0.1</v>
      </c>
      <c r="F14" s="13" t="n">
        <v>0.1</v>
      </c>
      <c r="G14" s="13" t="n">
        <v>0.1</v>
      </c>
      <c r="H14" s="13" t="n">
        <v>0.1</v>
      </c>
      <c r="I14" s="13" t="n">
        <v>0.1</v>
      </c>
      <c r="J14" s="13" t="n">
        <v>0.1</v>
      </c>
      <c r="K14" s="13" t="n">
        <v>0.1</v>
      </c>
      <c r="L14" s="13" t="n">
        <v>0.1</v>
      </c>
      <c r="M14" s="13" t="n">
        <v>0.1</v>
      </c>
      <c r="N14" s="13" t="n">
        <v>0.1</v>
      </c>
      <c r="O14" s="13" t="n">
        <v>0.1</v>
      </c>
      <c r="P14" s="14">
        <f>SUM(D14:O14)</f>
        <v/>
      </c>
      <c r="Q14" s="15" t="inlineStr"/>
    </row>
    <row r="15" ht="17" customHeight="1">
      <c r="C15" s="12" t="inlineStr">
        <is>
          <t>红包/促销折扣费率</t>
        </is>
      </c>
      <c r="D15" s="13" t="n">
        <v>0.17</v>
      </c>
      <c r="E15" s="13" t="n">
        <v>0.17</v>
      </c>
      <c r="F15" s="13" t="n">
        <v>0.17</v>
      </c>
      <c r="G15" s="13" t="n">
        <v>0.17</v>
      </c>
      <c r="H15" s="13" t="n">
        <v>0.17</v>
      </c>
      <c r="I15" s="13" t="n">
        <v>0.17</v>
      </c>
      <c r="J15" s="13" t="n">
        <v>0.17</v>
      </c>
      <c r="K15" s="13" t="n">
        <v>0.17</v>
      </c>
      <c r="L15" s="13" t="n">
        <v>0.17</v>
      </c>
      <c r="M15" s="13" t="n">
        <v>0.17</v>
      </c>
      <c r="N15" s="13" t="n">
        <v>0.17</v>
      </c>
      <c r="O15" s="13" t="n">
        <v>0.17</v>
      </c>
      <c r="P15" s="14">
        <f>SUM(D15:O15)</f>
        <v/>
      </c>
      <c r="Q15" s="15" t="inlineStr"/>
    </row>
    <row r="16" ht="17" customHeight="1">
      <c r="C16" s="16" t="inlineStr">
        <is>
          <t>TTL折扣合计</t>
        </is>
      </c>
      <c r="D16" s="17">
        <f>(D13+D14+D15)*D10</f>
        <v/>
      </c>
      <c r="E16" s="17">
        <f>(E13+E14+E15)*E10</f>
        <v/>
      </c>
      <c r="F16" s="17">
        <f>(F13+F14+F15)*F10</f>
        <v/>
      </c>
      <c r="G16" s="17">
        <f>(G13+G14+G15)*G10</f>
        <v/>
      </c>
      <c r="H16" s="17">
        <f>(H13+H14+H15)*H10</f>
        <v/>
      </c>
      <c r="I16" s="17">
        <f>(I13+I14+I15)*I10</f>
        <v/>
      </c>
      <c r="J16" s="17">
        <f>(J13+J14+J15)*J10</f>
        <v/>
      </c>
      <c r="K16" s="17">
        <f>(K13+K14+K15)*K10</f>
        <v/>
      </c>
      <c r="L16" s="17">
        <f>(L13+L14+L15)*L10</f>
        <v/>
      </c>
      <c r="M16" s="17">
        <f>(M13+M14+M15)*M10</f>
        <v/>
      </c>
      <c r="N16" s="17">
        <f>(N13+N14+N15)*N10</f>
        <v/>
      </c>
      <c r="O16" s="17">
        <f>(O13+O14+O15)*O10</f>
        <v/>
      </c>
      <c r="P16" s="18">
        <f>SUM(D16:O16)</f>
        <v/>
      </c>
      <c r="Q16" s="19" t="inlineStr"/>
    </row>
    <row r="17" ht="17" customHeight="1">
      <c r="C17" s="20" t="inlineStr">
        <is>
          <t>营业收入（净销售收入）</t>
        </is>
      </c>
      <c r="D17" s="21">
        <f>D10-D16</f>
        <v/>
      </c>
      <c r="E17" s="21">
        <f>E10-E16</f>
        <v/>
      </c>
      <c r="F17" s="21">
        <f>F10-F16</f>
        <v/>
      </c>
      <c r="G17" s="21">
        <f>G10-G16</f>
        <v/>
      </c>
      <c r="H17" s="21">
        <f>H10-H16</f>
        <v/>
      </c>
      <c r="I17" s="21">
        <f>I10-I16</f>
        <v/>
      </c>
      <c r="J17" s="21">
        <f>J10-J16</f>
        <v/>
      </c>
      <c r="K17" s="21">
        <f>K10-K16</f>
        <v/>
      </c>
      <c r="L17" s="21">
        <f>L10-L16</f>
        <v/>
      </c>
      <c r="M17" s="21">
        <f>M10-M16</f>
        <v/>
      </c>
      <c r="N17" s="21">
        <f>N10-N16</f>
        <v/>
      </c>
      <c r="O17" s="21">
        <f>O10-O16</f>
        <v/>
      </c>
      <c r="P17" s="21">
        <f>SUM(D17:O17)</f>
        <v/>
      </c>
      <c r="Q17" s="22" t="inlineStr"/>
    </row>
    <row r="18" ht="6" customHeight="1"/>
    <row r="19" ht="18" customHeight="1">
      <c r="C19" s="6" t="inlineStr">
        <is>
          <t xml:space="preserve">  三、毛利层</t>
        </is>
      </c>
    </row>
    <row r="20" ht="17" customHeight="1">
      <c r="C20" s="12" t="inlineStr">
        <is>
          <t>标准主品及配件成本率</t>
        </is>
      </c>
      <c r="D20" s="13" t="n">
        <v>0.46</v>
      </c>
      <c r="E20" s="13" t="n">
        <v>0.46</v>
      </c>
      <c r="F20" s="13" t="n">
        <v>0.46</v>
      </c>
      <c r="G20" s="13" t="n">
        <v>0.46</v>
      </c>
      <c r="H20" s="13" t="n">
        <v>0.46</v>
      </c>
      <c r="I20" s="13" t="n">
        <v>0.46</v>
      </c>
      <c r="J20" s="13" t="n">
        <v>0.46</v>
      </c>
      <c r="K20" s="13" t="n">
        <v>0.46</v>
      </c>
      <c r="L20" s="13" t="n">
        <v>0.46</v>
      </c>
      <c r="M20" s="13" t="n">
        <v>0.46</v>
      </c>
      <c r="N20" s="13" t="n">
        <v>0.46</v>
      </c>
      <c r="O20" s="13" t="n">
        <v>0.46</v>
      </c>
      <c r="P20" s="14">
        <f>SUM(D20:O20)</f>
        <v/>
      </c>
      <c r="Q20" s="15" t="inlineStr"/>
    </row>
    <row r="21" ht="17" customHeight="1">
      <c r="C21" s="16" t="inlineStr">
        <is>
          <t>标准主品及配件成本</t>
        </is>
      </c>
      <c r="D21" s="17">
        <f>D17*D20</f>
        <v/>
      </c>
      <c r="E21" s="17">
        <f>E17*E20</f>
        <v/>
      </c>
      <c r="F21" s="17">
        <f>F17*F20</f>
        <v/>
      </c>
      <c r="G21" s="17">
        <f>G17*G20</f>
        <v/>
      </c>
      <c r="H21" s="17">
        <f>H17*H20</f>
        <v/>
      </c>
      <c r="I21" s="17">
        <f>I17*I20</f>
        <v/>
      </c>
      <c r="J21" s="17">
        <f>J17*J20</f>
        <v/>
      </c>
      <c r="K21" s="17">
        <f>K17*K20</f>
        <v/>
      </c>
      <c r="L21" s="17">
        <f>L17*L20</f>
        <v/>
      </c>
      <c r="M21" s="17">
        <f>M17*M20</f>
        <v/>
      </c>
      <c r="N21" s="17">
        <f>N17*N20</f>
        <v/>
      </c>
      <c r="O21" s="17">
        <f>O17*O20</f>
        <v/>
      </c>
      <c r="P21" s="18">
        <f>SUM(D21:O21)</f>
        <v/>
      </c>
      <c r="Q21" s="19" t="inlineStr"/>
    </row>
    <row r="22" ht="17" customHeight="1">
      <c r="C22" s="20" t="inlineStr">
        <is>
          <t>产品毛利</t>
        </is>
      </c>
      <c r="D22" s="21">
        <f>D17-D21</f>
        <v/>
      </c>
      <c r="E22" s="21">
        <f>E17-E21</f>
        <v/>
      </c>
      <c r="F22" s="21">
        <f>F17-F21</f>
        <v/>
      </c>
      <c r="G22" s="21">
        <f>G17-G21</f>
        <v/>
      </c>
      <c r="H22" s="21">
        <f>H17-H21</f>
        <v/>
      </c>
      <c r="I22" s="21">
        <f>I17-I21</f>
        <v/>
      </c>
      <c r="J22" s="21">
        <f>J17-J21</f>
        <v/>
      </c>
      <c r="K22" s="21">
        <f>K17-K21</f>
        <v/>
      </c>
      <c r="L22" s="21">
        <f>L17-L21</f>
        <v/>
      </c>
      <c r="M22" s="21">
        <f>M17-M21</f>
        <v/>
      </c>
      <c r="N22" s="21">
        <f>N17-N21</f>
        <v/>
      </c>
      <c r="O22" s="21">
        <f>O17-O21</f>
        <v/>
      </c>
      <c r="P22" s="21">
        <f>SUM(D22:O22)</f>
        <v/>
      </c>
      <c r="Q22" s="22" t="inlineStr"/>
    </row>
    <row r="23" ht="17" customHeight="1">
      <c r="C23" s="12" t="inlineStr">
        <is>
          <t>物流/仓储费率</t>
        </is>
      </c>
      <c r="D23" s="13" t="n">
        <v>0.025</v>
      </c>
      <c r="E23" s="13" t="n">
        <v>0.025</v>
      </c>
      <c r="F23" s="13" t="n">
        <v>0.025</v>
      </c>
      <c r="G23" s="13" t="n">
        <v>0.025</v>
      </c>
      <c r="H23" s="13" t="n">
        <v>0.025</v>
      </c>
      <c r="I23" s="13" t="n">
        <v>0.025</v>
      </c>
      <c r="J23" s="13" t="n">
        <v>0.025</v>
      </c>
      <c r="K23" s="13" t="n">
        <v>0.025</v>
      </c>
      <c r="L23" s="13" t="n">
        <v>0.025</v>
      </c>
      <c r="M23" s="13" t="n">
        <v>0.025</v>
      </c>
      <c r="N23" s="13" t="n">
        <v>0.025</v>
      </c>
      <c r="O23" s="13" t="n">
        <v>0.025</v>
      </c>
      <c r="P23" s="14">
        <f>SUM(D23:O23)</f>
        <v/>
      </c>
      <c r="Q23" s="15" t="inlineStr"/>
    </row>
    <row r="24" ht="17" customHeight="1">
      <c r="C24" s="16" t="inlineStr">
        <is>
          <t>物流/仓储费用</t>
        </is>
      </c>
      <c r="D24" s="17">
        <f>D17*D23</f>
        <v/>
      </c>
      <c r="E24" s="17">
        <f>E17*E23</f>
        <v/>
      </c>
      <c r="F24" s="17">
        <f>F17*F23</f>
        <v/>
      </c>
      <c r="G24" s="17">
        <f>G17*G23</f>
        <v/>
      </c>
      <c r="H24" s="17">
        <f>H17*H23</f>
        <v/>
      </c>
      <c r="I24" s="17">
        <f>I17*I23</f>
        <v/>
      </c>
      <c r="J24" s="17">
        <f>J17*J23</f>
        <v/>
      </c>
      <c r="K24" s="17">
        <f>K17*K23</f>
        <v/>
      </c>
      <c r="L24" s="17">
        <f>L17*L23</f>
        <v/>
      </c>
      <c r="M24" s="17">
        <f>M17*M23</f>
        <v/>
      </c>
      <c r="N24" s="17">
        <f>N17*N23</f>
        <v/>
      </c>
      <c r="O24" s="17">
        <f>O17*O23</f>
        <v/>
      </c>
      <c r="P24" s="18">
        <f>SUM(D24:O24)</f>
        <v/>
      </c>
      <c r="Q24" s="19" t="inlineStr"/>
    </row>
    <row r="25" ht="17" customHeight="1">
      <c r="C25" s="20" t="inlineStr">
        <is>
          <t>净毛利</t>
        </is>
      </c>
      <c r="D25" s="21">
        <f>D22-D24</f>
        <v/>
      </c>
      <c r="E25" s="21">
        <f>E22-E24</f>
        <v/>
      </c>
      <c r="F25" s="21">
        <f>F22-F24</f>
        <v/>
      </c>
      <c r="G25" s="21">
        <f>G22-G24</f>
        <v/>
      </c>
      <c r="H25" s="21">
        <f>H22-H24</f>
        <v/>
      </c>
      <c r="I25" s="21">
        <f>I22-I24</f>
        <v/>
      </c>
      <c r="J25" s="21">
        <f>J22-J24</f>
        <v/>
      </c>
      <c r="K25" s="21">
        <f>K22-K24</f>
        <v/>
      </c>
      <c r="L25" s="21">
        <f>L22-L24</f>
        <v/>
      </c>
      <c r="M25" s="21">
        <f>M22-M24</f>
        <v/>
      </c>
      <c r="N25" s="21">
        <f>N22-N24</f>
        <v/>
      </c>
      <c r="O25" s="21">
        <f>O22-O24</f>
        <v/>
      </c>
      <c r="P25" s="21">
        <f>SUM(D25:O25)</f>
        <v/>
      </c>
      <c r="Q25" s="22" t="inlineStr"/>
    </row>
    <row r="26" ht="6" customHeight="1"/>
    <row r="27" ht="18" customHeight="1">
      <c r="C27" s="6" t="inlineStr">
        <is>
          <t xml:space="preserve">  四、A&amp;P 营销与运营费用</t>
        </is>
      </c>
    </row>
    <row r="28" ht="17" customHeight="1">
      <c r="C28" s="12" t="inlineStr">
        <is>
          <t>品牌/内容/达人费率</t>
        </is>
      </c>
      <c r="D28" s="13" t="n">
        <v>0.15</v>
      </c>
      <c r="E28" s="13" t="n">
        <v>0.15</v>
      </c>
      <c r="F28" s="13" t="n">
        <v>0.15</v>
      </c>
      <c r="G28" s="13" t="n">
        <v>0.15</v>
      </c>
      <c r="H28" s="13" t="n">
        <v>0.15</v>
      </c>
      <c r="I28" s="13" t="n">
        <v>0.15</v>
      </c>
      <c r="J28" s="13" t="n">
        <v>0.15</v>
      </c>
      <c r="K28" s="13" t="n">
        <v>0.15</v>
      </c>
      <c r="L28" s="13" t="n">
        <v>0.15</v>
      </c>
      <c r="M28" s="13" t="n">
        <v>0.15</v>
      </c>
      <c r="N28" s="13" t="n">
        <v>0.15</v>
      </c>
      <c r="O28" s="13" t="n">
        <v>0.15</v>
      </c>
      <c r="P28" s="14">
        <f>SUM(D28:O28)</f>
        <v/>
      </c>
      <c r="Q28" s="15" t="inlineStr"/>
    </row>
    <row r="29" ht="17" customHeight="1">
      <c r="C29" s="16" t="inlineStr">
        <is>
          <t>品牌内容费用</t>
        </is>
      </c>
      <c r="D29" s="17">
        <f>D17*D28</f>
        <v/>
      </c>
      <c r="E29" s="17">
        <f>E17*E28</f>
        <v/>
      </c>
      <c r="F29" s="17">
        <f>F17*F28</f>
        <v/>
      </c>
      <c r="G29" s="17">
        <f>G17*G28</f>
        <v/>
      </c>
      <c r="H29" s="17">
        <f>H17*H28</f>
        <v/>
      </c>
      <c r="I29" s="17">
        <f>I17*I28</f>
        <v/>
      </c>
      <c r="J29" s="17">
        <f>J17*J28</f>
        <v/>
      </c>
      <c r="K29" s="17">
        <f>K17*K28</f>
        <v/>
      </c>
      <c r="L29" s="17">
        <f>L17*L28</f>
        <v/>
      </c>
      <c r="M29" s="17">
        <f>M17*M28</f>
        <v/>
      </c>
      <c r="N29" s="17">
        <f>N17*N28</f>
        <v/>
      </c>
      <c r="O29" s="17">
        <f>O17*O28</f>
        <v/>
      </c>
      <c r="P29" s="18">
        <f>SUM(D29:O29)</f>
        <v/>
      </c>
      <c r="Q29" s="19" t="inlineStr"/>
    </row>
    <row r="30" ht="17" customHeight="1">
      <c r="C30" s="12" t="inlineStr">
        <is>
          <t>站内投放费率</t>
        </is>
      </c>
      <c r="D30" s="13" t="n">
        <v>0</v>
      </c>
      <c r="E30" s="13" t="n">
        <v>0</v>
      </c>
      <c r="F30" s="13" t="n">
        <v>0</v>
      </c>
      <c r="G30" s="13" t="n">
        <v>0</v>
      </c>
      <c r="H30" s="13" t="n">
        <v>0</v>
      </c>
      <c r="I30" s="13" t="n">
        <v>0</v>
      </c>
      <c r="J30" s="13" t="n">
        <v>0</v>
      </c>
      <c r="K30" s="13" t="n">
        <v>0</v>
      </c>
      <c r="L30" s="13" t="n">
        <v>0</v>
      </c>
      <c r="M30" s="13" t="n">
        <v>0</v>
      </c>
      <c r="N30" s="13" t="n">
        <v>0</v>
      </c>
      <c r="O30" s="13" t="n">
        <v>0</v>
      </c>
      <c r="P30" s="14">
        <f>SUM(D30:O30)</f>
        <v/>
      </c>
      <c r="Q30" s="15" t="inlineStr"/>
    </row>
    <row r="31" ht="17" customHeight="1">
      <c r="C31" s="12" t="inlineStr">
        <is>
          <t>千川投放费率</t>
        </is>
      </c>
      <c r="D31" s="13" t="n">
        <v>0.08</v>
      </c>
      <c r="E31" s="13" t="n">
        <v>0.08</v>
      </c>
      <c r="F31" s="13" t="n">
        <v>0.08</v>
      </c>
      <c r="G31" s="13" t="n">
        <v>0.08</v>
      </c>
      <c r="H31" s="13" t="n">
        <v>0.08</v>
      </c>
      <c r="I31" s="13" t="n">
        <v>0.08</v>
      </c>
      <c r="J31" s="13" t="n">
        <v>0.08</v>
      </c>
      <c r="K31" s="13" t="n">
        <v>0.08</v>
      </c>
      <c r="L31" s="13" t="n">
        <v>0.08</v>
      </c>
      <c r="M31" s="13" t="n">
        <v>0.08</v>
      </c>
      <c r="N31" s="13" t="n">
        <v>0.08</v>
      </c>
      <c r="O31" s="13" t="n">
        <v>0.08</v>
      </c>
      <c r="P31" s="14">
        <f>SUM(D31:O31)</f>
        <v/>
      </c>
      <c r="Q31" s="15" t="inlineStr"/>
    </row>
    <row r="32" ht="17" customHeight="1">
      <c r="C32" s="12" t="inlineStr">
        <is>
          <t>站外投放费率</t>
        </is>
      </c>
      <c r="D32" s="13" t="n">
        <v>0.02</v>
      </c>
      <c r="E32" s="13" t="n">
        <v>0.02</v>
      </c>
      <c r="F32" s="13" t="n">
        <v>0.02</v>
      </c>
      <c r="G32" s="13" t="n">
        <v>0.02</v>
      </c>
      <c r="H32" s="13" t="n">
        <v>0.02</v>
      </c>
      <c r="I32" s="13" t="n">
        <v>0.02</v>
      </c>
      <c r="J32" s="13" t="n">
        <v>0.02</v>
      </c>
      <c r="K32" s="13" t="n">
        <v>0.02</v>
      </c>
      <c r="L32" s="13" t="n">
        <v>0.02</v>
      </c>
      <c r="M32" s="13" t="n">
        <v>0.02</v>
      </c>
      <c r="N32" s="13" t="n">
        <v>0.02</v>
      </c>
      <c r="O32" s="13" t="n">
        <v>0.02</v>
      </c>
      <c r="P32" s="14">
        <f>SUM(D32:O32)</f>
        <v/>
      </c>
      <c r="Q32" s="15" t="inlineStr"/>
    </row>
    <row r="33" ht="17" customHeight="1">
      <c r="C33" s="16" t="inlineStr">
        <is>
          <t>效果广告合计</t>
        </is>
      </c>
      <c r="D33" s="17">
        <f>(D30+D31+D32)*D17</f>
        <v/>
      </c>
      <c r="E33" s="17">
        <f>(E30+E31+E32)*E17</f>
        <v/>
      </c>
      <c r="F33" s="17">
        <f>(F30+F31+F32)*F17</f>
        <v/>
      </c>
      <c r="G33" s="17">
        <f>(G30+G31+G32)*G17</f>
        <v/>
      </c>
      <c r="H33" s="17">
        <f>(H30+H31+H32)*H17</f>
        <v/>
      </c>
      <c r="I33" s="17">
        <f>(I30+I31+I32)*I17</f>
        <v/>
      </c>
      <c r="J33" s="17">
        <f>(J30+J31+J32)*J17</f>
        <v/>
      </c>
      <c r="K33" s="17">
        <f>(K30+K31+K32)*K17</f>
        <v/>
      </c>
      <c r="L33" s="17">
        <f>(L30+L31+L32)*L17</f>
        <v/>
      </c>
      <c r="M33" s="17">
        <f>(M30+M31+M32)*M17</f>
        <v/>
      </c>
      <c r="N33" s="17">
        <f>(N30+N31+N32)*N17</f>
        <v/>
      </c>
      <c r="O33" s="17">
        <f>(O30+O31+O32)*O17</f>
        <v/>
      </c>
      <c r="P33" s="18">
        <f>SUM(D33:O33)</f>
        <v/>
      </c>
      <c r="Q33" s="19" t="inlineStr"/>
    </row>
    <row r="34" ht="17" customHeight="1">
      <c r="C34" s="12" t="inlineStr">
        <is>
          <t>线上运营费率（直播+赠品）</t>
        </is>
      </c>
      <c r="D34" s="13" t="n">
        <v>0.03</v>
      </c>
      <c r="E34" s="13" t="n">
        <v>0.03</v>
      </c>
      <c r="F34" s="13" t="n">
        <v>0.03</v>
      </c>
      <c r="G34" s="13" t="n">
        <v>0.03</v>
      </c>
      <c r="H34" s="13" t="n">
        <v>0.03</v>
      </c>
      <c r="I34" s="13" t="n">
        <v>0.03</v>
      </c>
      <c r="J34" s="13" t="n">
        <v>0.03</v>
      </c>
      <c r="K34" s="13" t="n">
        <v>0.03</v>
      </c>
      <c r="L34" s="13" t="n">
        <v>0.03</v>
      </c>
      <c r="M34" s="13" t="n">
        <v>0.03</v>
      </c>
      <c r="N34" s="13" t="n">
        <v>0.03</v>
      </c>
      <c r="O34" s="13" t="n">
        <v>0.03</v>
      </c>
      <c r="P34" s="14">
        <f>SUM(D34:O34)</f>
        <v/>
      </c>
      <c r="Q34" s="15" t="inlineStr"/>
    </row>
    <row r="35" ht="17" customHeight="1">
      <c r="C35" s="16" t="inlineStr">
        <is>
          <t>线上运营费用</t>
        </is>
      </c>
      <c r="D35" s="17">
        <f>D17*D34</f>
        <v/>
      </c>
      <c r="E35" s="17">
        <f>E17*E34</f>
        <v/>
      </c>
      <c r="F35" s="17">
        <f>F17*F34</f>
        <v/>
      </c>
      <c r="G35" s="17">
        <f>G17*G34</f>
        <v/>
      </c>
      <c r="H35" s="17">
        <f>H17*H34</f>
        <v/>
      </c>
      <c r="I35" s="17">
        <f>I17*I34</f>
        <v/>
      </c>
      <c r="J35" s="17">
        <f>J17*J34</f>
        <v/>
      </c>
      <c r="K35" s="17">
        <f>K17*K34</f>
        <v/>
      </c>
      <c r="L35" s="17">
        <f>L17*L34</f>
        <v/>
      </c>
      <c r="M35" s="17">
        <f>M17*M34</f>
        <v/>
      </c>
      <c r="N35" s="17">
        <f>N17*N34</f>
        <v/>
      </c>
      <c r="O35" s="17">
        <f>O17*O34</f>
        <v/>
      </c>
      <c r="P35" s="18">
        <f>SUM(D35:O35)</f>
        <v/>
      </c>
      <c r="Q35" s="19" t="inlineStr"/>
    </row>
    <row r="36" ht="17" customHeight="1">
      <c r="C36" s="7" t="inlineStr">
        <is>
          <t>线下市场/渠道费用（预算）</t>
        </is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9">
        <f>SUM(D36:O36)</f>
        <v/>
      </c>
      <c r="Q36" s="10" t="inlineStr"/>
    </row>
    <row r="37" ht="17" customHeight="1">
      <c r="C37" s="12" t="inlineStr">
        <is>
          <t>平台佣金费率</t>
        </is>
      </c>
      <c r="D37" s="13" t="n">
        <v>0.06</v>
      </c>
      <c r="E37" s="13" t="n">
        <v>0.06</v>
      </c>
      <c r="F37" s="13" t="n">
        <v>0.06</v>
      </c>
      <c r="G37" s="13" t="n">
        <v>0.06</v>
      </c>
      <c r="H37" s="13" t="n">
        <v>0.06</v>
      </c>
      <c r="I37" s="13" t="n">
        <v>0.06</v>
      </c>
      <c r="J37" s="13" t="n">
        <v>0.06</v>
      </c>
      <c r="K37" s="13" t="n">
        <v>0.06</v>
      </c>
      <c r="L37" s="13" t="n">
        <v>0.06</v>
      </c>
      <c r="M37" s="13" t="n">
        <v>0.06</v>
      </c>
      <c r="N37" s="13" t="n">
        <v>0.06</v>
      </c>
      <c r="O37" s="13" t="n">
        <v>0.06</v>
      </c>
      <c r="P37" s="14">
        <f>SUM(D37:O37)</f>
        <v/>
      </c>
      <c r="Q37" s="15" t="inlineStr"/>
    </row>
    <row r="38" ht="17" customHeight="1">
      <c r="C38" s="16" t="inlineStr">
        <is>
          <t>平台佣金</t>
        </is>
      </c>
      <c r="D38" s="17">
        <f>D17*D37</f>
        <v/>
      </c>
      <c r="E38" s="17">
        <f>E17*E37</f>
        <v/>
      </c>
      <c r="F38" s="17">
        <f>F17*F37</f>
        <v/>
      </c>
      <c r="G38" s="17">
        <f>G17*G37</f>
        <v/>
      </c>
      <c r="H38" s="17">
        <f>H17*H37</f>
        <v/>
      </c>
      <c r="I38" s="17">
        <f>I17*I37</f>
        <v/>
      </c>
      <c r="J38" s="17">
        <f>J17*J37</f>
        <v/>
      </c>
      <c r="K38" s="17">
        <f>K17*K37</f>
        <v/>
      </c>
      <c r="L38" s="17">
        <f>L17*L37</f>
        <v/>
      </c>
      <c r="M38" s="17">
        <f>M17*M37</f>
        <v/>
      </c>
      <c r="N38" s="17">
        <f>N17*N37</f>
        <v/>
      </c>
      <c r="O38" s="17">
        <f>O17*O37</f>
        <v/>
      </c>
      <c r="P38" s="18">
        <f>SUM(D38:O38)</f>
        <v/>
      </c>
      <c r="Q38" s="19" t="inlineStr"/>
    </row>
    <row r="39" ht="17" customHeight="1">
      <c r="C39" s="12" t="inlineStr">
        <is>
          <t>平台其他费率</t>
        </is>
      </c>
      <c r="D39" s="13" t="n">
        <v>0.014</v>
      </c>
      <c r="E39" s="13" t="n">
        <v>0.014</v>
      </c>
      <c r="F39" s="13" t="n">
        <v>0.014</v>
      </c>
      <c r="G39" s="13" t="n">
        <v>0.014</v>
      </c>
      <c r="H39" s="13" t="n">
        <v>0.014</v>
      </c>
      <c r="I39" s="13" t="n">
        <v>0.014</v>
      </c>
      <c r="J39" s="13" t="n">
        <v>0.014</v>
      </c>
      <c r="K39" s="13" t="n">
        <v>0.014</v>
      </c>
      <c r="L39" s="13" t="n">
        <v>0.014</v>
      </c>
      <c r="M39" s="13" t="n">
        <v>0.014</v>
      </c>
      <c r="N39" s="13" t="n">
        <v>0.014</v>
      </c>
      <c r="O39" s="13" t="n">
        <v>0.014</v>
      </c>
      <c r="P39" s="14">
        <f>SUM(D39:O39)</f>
        <v/>
      </c>
      <c r="Q39" s="15" t="inlineStr"/>
    </row>
    <row r="40" ht="17" customHeight="1">
      <c r="C40" s="16" t="inlineStr">
        <is>
          <t>平台其他费用</t>
        </is>
      </c>
      <c r="D40" s="17">
        <f>D17*D39</f>
        <v/>
      </c>
      <c r="E40" s="17">
        <f>E17*E39</f>
        <v/>
      </c>
      <c r="F40" s="17">
        <f>F17*F39</f>
        <v/>
      </c>
      <c r="G40" s="17">
        <f>G17*G39</f>
        <v/>
      </c>
      <c r="H40" s="17">
        <f>H17*H39</f>
        <v/>
      </c>
      <c r="I40" s="17">
        <f>I17*I39</f>
        <v/>
      </c>
      <c r="J40" s="17">
        <f>J17*J39</f>
        <v/>
      </c>
      <c r="K40" s="17">
        <f>K17*K39</f>
        <v/>
      </c>
      <c r="L40" s="17">
        <f>L17*L39</f>
        <v/>
      </c>
      <c r="M40" s="17">
        <f>M17*M39</f>
        <v/>
      </c>
      <c r="N40" s="17">
        <f>N17*N39</f>
        <v/>
      </c>
      <c r="O40" s="17">
        <f>O17*O39</f>
        <v/>
      </c>
      <c r="P40" s="18">
        <f>SUM(D40:O40)</f>
        <v/>
      </c>
      <c r="Q40" s="19" t="inlineStr"/>
    </row>
    <row r="41" ht="17" customHeight="1">
      <c r="C41" s="12" t="inlineStr">
        <is>
          <t>售后费率</t>
        </is>
      </c>
      <c r="D41" s="13" t="n">
        <v>0.03</v>
      </c>
      <c r="E41" s="13" t="n">
        <v>0.03</v>
      </c>
      <c r="F41" s="13" t="n">
        <v>0.03</v>
      </c>
      <c r="G41" s="13" t="n">
        <v>0.03</v>
      </c>
      <c r="H41" s="13" t="n">
        <v>0.03</v>
      </c>
      <c r="I41" s="13" t="n">
        <v>0.03</v>
      </c>
      <c r="J41" s="13" t="n">
        <v>0.03</v>
      </c>
      <c r="K41" s="13" t="n">
        <v>0.03</v>
      </c>
      <c r="L41" s="13" t="n">
        <v>0.03</v>
      </c>
      <c r="M41" s="13" t="n">
        <v>0.03</v>
      </c>
      <c r="N41" s="13" t="n">
        <v>0.03</v>
      </c>
      <c r="O41" s="13" t="n">
        <v>0.03</v>
      </c>
      <c r="P41" s="14">
        <f>SUM(D41:O41)</f>
        <v/>
      </c>
      <c r="Q41" s="15" t="inlineStr"/>
    </row>
    <row r="42" ht="17" customHeight="1">
      <c r="C42" s="16" t="inlineStr">
        <is>
          <t>售后费用</t>
        </is>
      </c>
      <c r="D42" s="17">
        <f>D17*D41</f>
        <v/>
      </c>
      <c r="E42" s="17">
        <f>E17*E41</f>
        <v/>
      </c>
      <c r="F42" s="17">
        <f>F17*F41</f>
        <v/>
      </c>
      <c r="G42" s="17">
        <f>G17*G41</f>
        <v/>
      </c>
      <c r="H42" s="17">
        <f>H17*H41</f>
        <v/>
      </c>
      <c r="I42" s="17">
        <f>I17*I41</f>
        <v/>
      </c>
      <c r="J42" s="17">
        <f>J17*J41</f>
        <v/>
      </c>
      <c r="K42" s="17">
        <f>K17*K41</f>
        <v/>
      </c>
      <c r="L42" s="17">
        <f>L17*L41</f>
        <v/>
      </c>
      <c r="M42" s="17">
        <f>M17*M41</f>
        <v/>
      </c>
      <c r="N42" s="17">
        <f>N17*N41</f>
        <v/>
      </c>
      <c r="O42" s="17">
        <f>O17*O41</f>
        <v/>
      </c>
      <c r="P42" s="18">
        <f>SUM(D42:O42)</f>
        <v/>
      </c>
      <c r="Q42" s="19" t="inlineStr"/>
    </row>
    <row r="43" ht="17" customHeight="1">
      <c r="C43" s="12" t="inlineStr">
        <is>
          <t>店铺运营综合费率</t>
        </is>
      </c>
      <c r="D43" s="13" t="n">
        <v>0.098</v>
      </c>
      <c r="E43" s="13" t="n">
        <v>0.098</v>
      </c>
      <c r="F43" s="13" t="n">
        <v>0.098</v>
      </c>
      <c r="G43" s="13" t="n">
        <v>0.098</v>
      </c>
      <c r="H43" s="13" t="n">
        <v>0.098</v>
      </c>
      <c r="I43" s="13" t="n">
        <v>0.098</v>
      </c>
      <c r="J43" s="13" t="n">
        <v>0.098</v>
      </c>
      <c r="K43" s="13" t="n">
        <v>0.098</v>
      </c>
      <c r="L43" s="13" t="n">
        <v>0.098</v>
      </c>
      <c r="M43" s="13" t="n">
        <v>0.098</v>
      </c>
      <c r="N43" s="13" t="n">
        <v>0.098</v>
      </c>
      <c r="O43" s="13" t="n">
        <v>0.098</v>
      </c>
      <c r="P43" s="14">
        <f>SUM(D43:O43)</f>
        <v/>
      </c>
      <c r="Q43" s="15" t="inlineStr"/>
    </row>
    <row r="44" ht="17" customHeight="1">
      <c r="C44" s="16" t="inlineStr">
        <is>
          <t>店铺运营费用</t>
        </is>
      </c>
      <c r="D44" s="17">
        <f>D17*D43</f>
        <v/>
      </c>
      <c r="E44" s="17">
        <f>E17*E43</f>
        <v/>
      </c>
      <c r="F44" s="17">
        <f>F17*F43</f>
        <v/>
      </c>
      <c r="G44" s="17">
        <f>G17*G43</f>
        <v/>
      </c>
      <c r="H44" s="17">
        <f>H17*H43</f>
        <v/>
      </c>
      <c r="I44" s="17">
        <f>I17*I43</f>
        <v/>
      </c>
      <c r="J44" s="17">
        <f>J17*J43</f>
        <v/>
      </c>
      <c r="K44" s="17">
        <f>K17*K43</f>
        <v/>
      </c>
      <c r="L44" s="17">
        <f>L17*L43</f>
        <v/>
      </c>
      <c r="M44" s="17">
        <f>M17*M43</f>
        <v/>
      </c>
      <c r="N44" s="17">
        <f>N17*N43</f>
        <v/>
      </c>
      <c r="O44" s="17">
        <f>O17*O43</f>
        <v/>
      </c>
      <c r="P44" s="18">
        <f>SUM(D44:O44)</f>
        <v/>
      </c>
      <c r="Q44" s="19" t="inlineStr"/>
    </row>
    <row r="45" ht="17" customHeight="1">
      <c r="C45" s="20" t="inlineStr">
        <is>
          <t>A&amp;P 合计</t>
        </is>
      </c>
      <c r="D45" s="21">
        <f>D29+D33+D35+D36+D38+D40+D42+D44</f>
        <v/>
      </c>
      <c r="E45" s="21">
        <f>E29+E33+E35+E36+E38+E40+E42+E44</f>
        <v/>
      </c>
      <c r="F45" s="21">
        <f>F29+F33+F35+F36+F38+F40+F42+F44</f>
        <v/>
      </c>
      <c r="G45" s="21">
        <f>G29+G33+G35+G36+G38+G40+G42+G44</f>
        <v/>
      </c>
      <c r="H45" s="21">
        <f>H29+H33+H35+H36+H38+H40+H42+H44</f>
        <v/>
      </c>
      <c r="I45" s="21">
        <f>I29+I33+I35+I36+I38+I40+I42+I44</f>
        <v/>
      </c>
      <c r="J45" s="21">
        <f>J29+J33+J35+J36+J38+J40+J42+J44</f>
        <v/>
      </c>
      <c r="K45" s="21">
        <f>K29+K33+K35+K36+K38+K40+K42+K44</f>
        <v/>
      </c>
      <c r="L45" s="21">
        <f>L29+L33+L35+L36+L38+L40+L42+L44</f>
        <v/>
      </c>
      <c r="M45" s="21">
        <f>M29+M33+M35+M36+M38+M40+M42+M44</f>
        <v/>
      </c>
      <c r="N45" s="21">
        <f>N29+N33+N35+N36+N38+N40+N42+N44</f>
        <v/>
      </c>
      <c r="O45" s="21">
        <f>O29+O33+O35+O36+O38+O40+O42+O44</f>
        <v/>
      </c>
      <c r="P45" s="21">
        <f>SUM(D45:O45)</f>
        <v/>
      </c>
      <c r="Q45" s="22" t="inlineStr"/>
    </row>
    <row r="46" ht="6" customHeight="1"/>
    <row r="47" ht="18" customHeight="1">
      <c r="C47" s="6" t="inlineStr">
        <is>
          <t xml:space="preserve">  五、店铺利润（渠道贡献）</t>
        </is>
      </c>
    </row>
    <row r="48" ht="17" customHeight="1">
      <c r="C48" s="20" t="inlineStr">
        <is>
          <t>店铺利润</t>
        </is>
      </c>
      <c r="D48" s="21">
        <f>D25-D45</f>
        <v/>
      </c>
      <c r="E48" s="21">
        <f>E25-E45</f>
        <v/>
      </c>
      <c r="F48" s="21">
        <f>F25-F45</f>
        <v/>
      </c>
      <c r="G48" s="21">
        <f>G25-G45</f>
        <v/>
      </c>
      <c r="H48" s="21">
        <f>H25-H45</f>
        <v/>
      </c>
      <c r="I48" s="21">
        <f>I25-I45</f>
        <v/>
      </c>
      <c r="J48" s="21">
        <f>J25-J45</f>
        <v/>
      </c>
      <c r="K48" s="21">
        <f>K25-K45</f>
        <v/>
      </c>
      <c r="L48" s="21">
        <f>L25-L45</f>
        <v/>
      </c>
      <c r="M48" s="21">
        <f>M25-M45</f>
        <v/>
      </c>
      <c r="N48" s="21">
        <f>N25-N45</f>
        <v/>
      </c>
      <c r="O48" s="21">
        <f>O25-O45</f>
        <v/>
      </c>
      <c r="P48" s="21">
        <f>SUM(D48:O48)</f>
        <v/>
      </c>
      <c r="Q48" s="22" t="inlineStr"/>
    </row>
    <row r="49" ht="6" customHeight="1"/>
    <row r="50" ht="18" customHeight="1">
      <c r="C50" s="6" t="inlineStr">
        <is>
          <t xml:space="preserve">  六、BU 可控 / 贡献层</t>
        </is>
      </c>
    </row>
    <row r="51" ht="17" customHeight="1">
      <c r="C51" s="7" t="inlineStr">
        <is>
          <t>销售管理费用（预算）</t>
        </is>
      </c>
      <c r="D51" s="8" t="n">
        <v>500000</v>
      </c>
      <c r="E51" s="8" t="n">
        <v>500000</v>
      </c>
      <c r="F51" s="8" t="n">
        <v>500000</v>
      </c>
      <c r="G51" s="8" t="n">
        <v>500000</v>
      </c>
      <c r="H51" s="8" t="n">
        <v>500000</v>
      </c>
      <c r="I51" s="8" t="n">
        <v>500000</v>
      </c>
      <c r="J51" s="8" t="n">
        <v>500000</v>
      </c>
      <c r="K51" s="8" t="n">
        <v>500000</v>
      </c>
      <c r="L51" s="8" t="n">
        <v>500000</v>
      </c>
      <c r="M51" s="8" t="n">
        <v>500000</v>
      </c>
      <c r="N51" s="8" t="n">
        <v>500000</v>
      </c>
      <c r="O51" s="8" t="n">
        <v>500000</v>
      </c>
      <c r="P51" s="9">
        <f>SUM(D51:O51)</f>
        <v/>
      </c>
      <c r="Q51" s="10" t="inlineStr"/>
    </row>
    <row r="52" ht="17" customHeight="1">
      <c r="C52" s="7" t="inlineStr">
        <is>
          <t>研发费用（预算）</t>
        </is>
      </c>
      <c r="D52" s="8" t="n">
        <v>3000000</v>
      </c>
      <c r="E52" s="8" t="n">
        <v>3000000</v>
      </c>
      <c r="F52" s="8" t="n">
        <v>3000000</v>
      </c>
      <c r="G52" s="8" t="n">
        <v>3000000</v>
      </c>
      <c r="H52" s="8" t="n">
        <v>3000000</v>
      </c>
      <c r="I52" s="8" t="n">
        <v>3000000</v>
      </c>
      <c r="J52" s="8" t="n">
        <v>3000000</v>
      </c>
      <c r="K52" s="8" t="n">
        <v>3000000</v>
      </c>
      <c r="L52" s="8" t="n">
        <v>3000000</v>
      </c>
      <c r="M52" s="8" t="n">
        <v>3000000</v>
      </c>
      <c r="N52" s="8" t="n">
        <v>3000000</v>
      </c>
      <c r="O52" s="8" t="n">
        <v>3000000</v>
      </c>
      <c r="P52" s="9">
        <f>SUM(D52:O52)</f>
        <v/>
      </c>
      <c r="Q52" s="10" t="inlineStr"/>
    </row>
    <row r="53" ht="17" customHeight="1">
      <c r="C53" s="16" t="inlineStr">
        <is>
          <t>BU可控费用合计</t>
        </is>
      </c>
      <c r="D53" s="17">
        <f>D51+D52</f>
        <v/>
      </c>
      <c r="E53" s="17">
        <f>E51+E52</f>
        <v/>
      </c>
      <c r="F53" s="17">
        <f>F51+F52</f>
        <v/>
      </c>
      <c r="G53" s="17">
        <f>G51+G52</f>
        <v/>
      </c>
      <c r="H53" s="17">
        <f>H51+H52</f>
        <v/>
      </c>
      <c r="I53" s="17">
        <f>I51+I52</f>
        <v/>
      </c>
      <c r="J53" s="17">
        <f>J51+J52</f>
        <v/>
      </c>
      <c r="K53" s="17">
        <f>K51+K52</f>
        <v/>
      </c>
      <c r="L53" s="17">
        <f>L51+L52</f>
        <v/>
      </c>
      <c r="M53" s="17">
        <f>M51+M52</f>
        <v/>
      </c>
      <c r="N53" s="17">
        <f>N51+N52</f>
        <v/>
      </c>
      <c r="O53" s="17">
        <f>O51+O52</f>
        <v/>
      </c>
      <c r="P53" s="18">
        <f>SUM(D53:O53)</f>
        <v/>
      </c>
      <c r="Q53" s="19" t="inlineStr"/>
    </row>
    <row r="54" ht="17" customHeight="1">
      <c r="C54" s="20" t="inlineStr">
        <is>
          <t>BU 可控利润</t>
        </is>
      </c>
      <c r="D54" s="21">
        <f>D48-D53</f>
        <v/>
      </c>
      <c r="E54" s="21">
        <f>E48-E53</f>
        <v/>
      </c>
      <c r="F54" s="21">
        <f>F48-F53</f>
        <v/>
      </c>
      <c r="G54" s="21">
        <f>G48-G53</f>
        <v/>
      </c>
      <c r="H54" s="21">
        <f>H48-H53</f>
        <v/>
      </c>
      <c r="I54" s="21">
        <f>I48-I53</f>
        <v/>
      </c>
      <c r="J54" s="21">
        <f>J48-J53</f>
        <v/>
      </c>
      <c r="K54" s="21">
        <f>K48-K53</f>
        <v/>
      </c>
      <c r="L54" s="21">
        <f>L48-L53</f>
        <v/>
      </c>
      <c r="M54" s="21">
        <f>M48-M53</f>
        <v/>
      </c>
      <c r="N54" s="21">
        <f>N48-N53</f>
        <v/>
      </c>
      <c r="O54" s="21">
        <f>O48-O53</f>
        <v/>
      </c>
      <c r="P54" s="21">
        <f>SUM(D54:O54)</f>
        <v/>
      </c>
      <c r="Q54" s="22" t="inlineStr"/>
    </row>
    <row r="55" ht="17" customHeight="1">
      <c r="C55" s="7" t="inlineStr">
        <is>
          <t>BU 贡献费用（预算）</t>
        </is>
      </c>
      <c r="D55" s="8" t="n">
        <v>2800000</v>
      </c>
      <c r="E55" s="8" t="n">
        <v>2800000</v>
      </c>
      <c r="F55" s="8" t="n">
        <v>2800000</v>
      </c>
      <c r="G55" s="8" t="n">
        <v>2800000</v>
      </c>
      <c r="H55" s="8" t="n">
        <v>2800000</v>
      </c>
      <c r="I55" s="8" t="n">
        <v>2800000</v>
      </c>
      <c r="J55" s="8" t="n">
        <v>2800000</v>
      </c>
      <c r="K55" s="8" t="n">
        <v>2800000</v>
      </c>
      <c r="L55" s="8" t="n">
        <v>2800000</v>
      </c>
      <c r="M55" s="8" t="n">
        <v>2800000</v>
      </c>
      <c r="N55" s="8" t="n">
        <v>2800000</v>
      </c>
      <c r="O55" s="8" t="n">
        <v>2800000</v>
      </c>
      <c r="P55" s="9">
        <f>SUM(D55:O55)</f>
        <v/>
      </c>
      <c r="Q55" s="10" t="inlineStr"/>
    </row>
    <row r="56" ht="17" customHeight="1">
      <c r="C56" s="20" t="inlineStr">
        <is>
          <t>BU 贡献利润</t>
        </is>
      </c>
      <c r="D56" s="21">
        <f>D54-D55</f>
        <v/>
      </c>
      <c r="E56" s="21">
        <f>E54-E55</f>
        <v/>
      </c>
      <c r="F56" s="21">
        <f>F54-F55</f>
        <v/>
      </c>
      <c r="G56" s="21">
        <f>G54-G55</f>
        <v/>
      </c>
      <c r="H56" s="21">
        <f>H54-H55</f>
        <v/>
      </c>
      <c r="I56" s="21">
        <f>I54-I55</f>
        <v/>
      </c>
      <c r="J56" s="21">
        <f>J54-J55</f>
        <v/>
      </c>
      <c r="K56" s="21">
        <f>K54-K55</f>
        <v/>
      </c>
      <c r="L56" s="21">
        <f>L54-L55</f>
        <v/>
      </c>
      <c r="M56" s="21">
        <f>M54-M55</f>
        <v/>
      </c>
      <c r="N56" s="21">
        <f>N54-N55</f>
        <v/>
      </c>
      <c r="O56" s="21">
        <f>O54-O55</f>
        <v/>
      </c>
      <c r="P56" s="21">
        <f>SUM(D56:O56)</f>
        <v/>
      </c>
      <c r="Q56" s="22" t="inlineStr"/>
    </row>
    <row r="57" ht="17" customHeight="1">
      <c r="C57" s="7" t="inlineStr">
        <is>
          <t>集团分摊费用（预算）</t>
        </is>
      </c>
      <c r="D57" s="8" t="n">
        <v>1200000</v>
      </c>
      <c r="E57" s="8" t="n">
        <v>1200000</v>
      </c>
      <c r="F57" s="8" t="n">
        <v>1200000</v>
      </c>
      <c r="G57" s="8" t="n">
        <v>1200000</v>
      </c>
      <c r="H57" s="8" t="n">
        <v>1200000</v>
      </c>
      <c r="I57" s="8" t="n">
        <v>1200000</v>
      </c>
      <c r="J57" s="8" t="n">
        <v>1200000</v>
      </c>
      <c r="K57" s="8" t="n">
        <v>1200000</v>
      </c>
      <c r="L57" s="8" t="n">
        <v>1200000</v>
      </c>
      <c r="M57" s="8" t="n">
        <v>1200000</v>
      </c>
      <c r="N57" s="8" t="n">
        <v>1200000</v>
      </c>
      <c r="O57" s="8" t="n">
        <v>1200000</v>
      </c>
      <c r="P57" s="9">
        <f>SUM(D57:O57)</f>
        <v/>
      </c>
      <c r="Q57" s="10" t="inlineStr"/>
    </row>
    <row r="58" ht="17" customHeight="1">
      <c r="C58" s="20" t="inlineStr">
        <is>
          <t>净利润</t>
        </is>
      </c>
      <c r="D58" s="21">
        <f>D56-D57</f>
        <v/>
      </c>
      <c r="E58" s="21">
        <f>E56-E57</f>
        <v/>
      </c>
      <c r="F58" s="21">
        <f>F56-F57</f>
        <v/>
      </c>
      <c r="G58" s="21">
        <f>G56-G57</f>
        <v/>
      </c>
      <c r="H58" s="21">
        <f>H56-H57</f>
        <v/>
      </c>
      <c r="I58" s="21">
        <f>I56-I57</f>
        <v/>
      </c>
      <c r="J58" s="21">
        <f>J56-J57</f>
        <v/>
      </c>
      <c r="K58" s="21">
        <f>K56-K57</f>
        <v/>
      </c>
      <c r="L58" s="21">
        <f>L56-L57</f>
        <v/>
      </c>
      <c r="M58" s="21">
        <f>M56-M57</f>
        <v/>
      </c>
      <c r="N58" s="21">
        <f>N56-N57</f>
        <v/>
      </c>
      <c r="O58" s="21">
        <f>O56-O57</f>
        <v/>
      </c>
      <c r="P58" s="21">
        <f>SUM(D58:O58)</f>
        <v/>
      </c>
      <c r="Q58" s="22" t="inlineStr"/>
    </row>
  </sheetData>
  <mergeCells count="7">
    <mergeCell ref="C27:R27"/>
    <mergeCell ref="C2:R2"/>
    <mergeCell ref="C19:R19"/>
    <mergeCell ref="C47:R47"/>
    <mergeCell ref="C50:R50"/>
    <mergeCell ref="C4:R4"/>
    <mergeCell ref="C12:R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C2:R58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" customWidth="1" min="2" max="2"/>
    <col width="2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9" customWidth="1" min="17" max="17"/>
    <col width="28" customWidth="1" min="18" max="18"/>
  </cols>
  <sheetData>
    <row r="1" ht="8" customHeight="1"/>
    <row r="2" ht="28" customHeight="1">
      <c r="C2" s="4" t="inlineStr">
        <is>
          <t>快手 — 年度 BP</t>
        </is>
      </c>
    </row>
    <row r="3" ht="20" customHeight="1">
      <c r="C3" s="5" t="inlineStr">
        <is>
          <t>科目</t>
        </is>
      </c>
      <c r="D3" s="5" t="inlineStr">
        <is>
          <t>1月</t>
        </is>
      </c>
      <c r="E3" s="5" t="inlineStr">
        <is>
          <t>2月</t>
        </is>
      </c>
      <c r="F3" s="5" t="inlineStr">
        <is>
          <t>3月</t>
        </is>
      </c>
      <c r="G3" s="5" t="inlineStr">
        <is>
          <t>4月</t>
        </is>
      </c>
      <c r="H3" s="5" t="inlineStr">
        <is>
          <t>5月</t>
        </is>
      </c>
      <c r="I3" s="5" t="inlineStr">
        <is>
          <t>6月</t>
        </is>
      </c>
      <c r="J3" s="5" t="inlineStr">
        <is>
          <t>7月</t>
        </is>
      </c>
      <c r="K3" s="5" t="inlineStr">
        <is>
          <t>8月</t>
        </is>
      </c>
      <c r="L3" s="5" t="inlineStr">
        <is>
          <t>9月</t>
        </is>
      </c>
      <c r="M3" s="5" t="inlineStr">
        <is>
          <t>10月</t>
        </is>
      </c>
      <c r="N3" s="5" t="inlineStr">
        <is>
          <t>11月</t>
        </is>
      </c>
      <c r="O3" s="5" t="inlineStr">
        <is>
          <t>12月</t>
        </is>
      </c>
      <c r="P3" s="5" t="inlineStr">
        <is>
          <t>合计</t>
        </is>
      </c>
      <c r="Q3" s="5" t="inlineStr">
        <is>
          <t>费比</t>
        </is>
      </c>
    </row>
    <row r="4" ht="18" customHeight="1">
      <c r="C4" s="6" t="inlineStr">
        <is>
          <t xml:space="preserve">  一、GMV 层</t>
        </is>
      </c>
    </row>
    <row r="5" ht="17" customHeight="1">
      <c r="C5" s="7" t="inlineStr">
        <is>
          <t>自补前 GMV（月度目标）</t>
        </is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9">
        <f>SUM(D5:O5)</f>
        <v/>
      </c>
      <c r="Q5" s="10" t="inlineStr"/>
      <c r="R5" s="11" t="inlineStr">
        <is>
          <t>渠道填写</t>
        </is>
      </c>
    </row>
    <row r="6" ht="17" customHeight="1">
      <c r="C6" s="12" t="inlineStr">
        <is>
          <t>国补/自补费用率</t>
        </is>
      </c>
      <c r="D6" s="13" t="n">
        <v>0.1</v>
      </c>
      <c r="E6" s="13" t="n">
        <v>0.1</v>
      </c>
      <c r="F6" s="13" t="n">
        <v>0.1</v>
      </c>
      <c r="G6" s="13" t="n">
        <v>0.1</v>
      </c>
      <c r="H6" s="13" t="n">
        <v>0.1</v>
      </c>
      <c r="I6" s="13" t="n">
        <v>0.1</v>
      </c>
      <c r="J6" s="13" t="n">
        <v>0.1</v>
      </c>
      <c r="K6" s="13" t="n">
        <v>0.1</v>
      </c>
      <c r="L6" s="13" t="n">
        <v>0.1</v>
      </c>
      <c r="M6" s="13" t="n">
        <v>0.1</v>
      </c>
      <c r="N6" s="13" t="n">
        <v>0.1</v>
      </c>
      <c r="O6" s="13" t="n">
        <v>0.1</v>
      </c>
      <c r="P6" s="14">
        <f>SUM(D6:O6)</f>
        <v/>
      </c>
      <c r="Q6" s="15" t="inlineStr"/>
    </row>
    <row r="7" ht="17" customHeight="1">
      <c r="C7" s="16" t="inlineStr">
        <is>
          <t>国补/自补费用</t>
        </is>
      </c>
      <c r="D7" s="17">
        <f>D5*D6</f>
        <v/>
      </c>
      <c r="E7" s="17">
        <f>E5*E6</f>
        <v/>
      </c>
      <c r="F7" s="17">
        <f>F5*F6</f>
        <v/>
      </c>
      <c r="G7" s="17">
        <f>G5*G6</f>
        <v/>
      </c>
      <c r="H7" s="17">
        <f>H5*H6</f>
        <v/>
      </c>
      <c r="I7" s="17">
        <f>I5*I6</f>
        <v/>
      </c>
      <c r="J7" s="17">
        <f>J5*J6</f>
        <v/>
      </c>
      <c r="K7" s="17">
        <f>K5*K6</f>
        <v/>
      </c>
      <c r="L7" s="17">
        <f>L5*L6</f>
        <v/>
      </c>
      <c r="M7" s="17">
        <f>M5*M6</f>
        <v/>
      </c>
      <c r="N7" s="17">
        <f>N5*N6</f>
        <v/>
      </c>
      <c r="O7" s="17">
        <f>O5*O6</f>
        <v/>
      </c>
      <c r="P7" s="18">
        <f>SUM(D7:O7)</f>
        <v/>
      </c>
      <c r="Q7" s="19" t="inlineStr"/>
    </row>
    <row r="8" ht="17" customHeight="1">
      <c r="C8" s="20" t="inlineStr">
        <is>
          <t>GMV（剔除国补）</t>
        </is>
      </c>
      <c r="D8" s="21">
        <f>D5-D7</f>
        <v/>
      </c>
      <c r="E8" s="21">
        <f>E5-E7</f>
        <v/>
      </c>
      <c r="F8" s="21">
        <f>F5-F7</f>
        <v/>
      </c>
      <c r="G8" s="21">
        <f>G5-G7</f>
        <v/>
      </c>
      <c r="H8" s="21">
        <f>H5-H7</f>
        <v/>
      </c>
      <c r="I8" s="21">
        <f>I5-I7</f>
        <v/>
      </c>
      <c r="J8" s="21">
        <f>J5-J7</f>
        <v/>
      </c>
      <c r="K8" s="21">
        <f>K5-K7</f>
        <v/>
      </c>
      <c r="L8" s="21">
        <f>L5-L7</f>
        <v/>
      </c>
      <c r="M8" s="21">
        <f>M5-M7</f>
        <v/>
      </c>
      <c r="N8" s="21">
        <f>N5-N7</f>
        <v/>
      </c>
      <c r="O8" s="21">
        <f>O5-O7</f>
        <v/>
      </c>
      <c r="P8" s="21">
        <f>SUM(D8:O8)</f>
        <v/>
      </c>
      <c r="Q8" s="22" t="inlineStr"/>
    </row>
    <row r="9" ht="17" customHeight="1">
      <c r="C9" s="12" t="inlineStr">
        <is>
          <t>退货率</t>
        </is>
      </c>
      <c r="D9" s="13" t="n">
        <v>0.19</v>
      </c>
      <c r="E9" s="13" t="n">
        <v>0.19</v>
      </c>
      <c r="F9" s="13" t="n">
        <v>0.19</v>
      </c>
      <c r="G9" s="13" t="n">
        <v>0.19</v>
      </c>
      <c r="H9" s="13" t="n">
        <v>0.19</v>
      </c>
      <c r="I9" s="13" t="n">
        <v>0.19</v>
      </c>
      <c r="J9" s="13" t="n">
        <v>0.19</v>
      </c>
      <c r="K9" s="13" t="n">
        <v>0.19</v>
      </c>
      <c r="L9" s="13" t="n">
        <v>0.19</v>
      </c>
      <c r="M9" s="13" t="n">
        <v>0.19</v>
      </c>
      <c r="N9" s="13" t="n">
        <v>0.19</v>
      </c>
      <c r="O9" s="13" t="n">
        <v>0.19</v>
      </c>
      <c r="P9" s="14">
        <f>SUM(D9:O9)</f>
        <v/>
      </c>
      <c r="Q9" s="15" t="inlineStr"/>
    </row>
    <row r="10" ht="17" customHeight="1">
      <c r="C10" s="20" t="inlineStr">
        <is>
          <t>GSV（去退货）</t>
        </is>
      </c>
      <c r="D10" s="21">
        <f>D8*(1-D9)</f>
        <v/>
      </c>
      <c r="E10" s="21">
        <f>E8*(1-E9)</f>
        <v/>
      </c>
      <c r="F10" s="21">
        <f>F8*(1-F9)</f>
        <v/>
      </c>
      <c r="G10" s="21">
        <f>G8*(1-G9)</f>
        <v/>
      </c>
      <c r="H10" s="21">
        <f>H8*(1-H9)</f>
        <v/>
      </c>
      <c r="I10" s="21">
        <f>I8*(1-I9)</f>
        <v/>
      </c>
      <c r="J10" s="21">
        <f>J8*(1-J9)</f>
        <v/>
      </c>
      <c r="K10" s="21">
        <f>K8*(1-K9)</f>
        <v/>
      </c>
      <c r="L10" s="21">
        <f>L8*(1-L9)</f>
        <v/>
      </c>
      <c r="M10" s="21">
        <f>M8*(1-M9)</f>
        <v/>
      </c>
      <c r="N10" s="21">
        <f>N8*(1-N9)</f>
        <v/>
      </c>
      <c r="O10" s="21">
        <f>O8*(1-O9)</f>
        <v/>
      </c>
      <c r="P10" s="21">
        <f>SUM(D10:O10)</f>
        <v/>
      </c>
      <c r="Q10" s="22" t="inlineStr"/>
    </row>
    <row r="11" ht="6" customHeight="1"/>
    <row r="12" ht="18" customHeight="1">
      <c r="C12" s="6" t="inlineStr">
        <is>
          <t xml:space="preserve">  二、营业收入层</t>
        </is>
      </c>
    </row>
    <row r="13" ht="17" customHeight="1">
      <c r="C13" s="12" t="inlineStr">
        <is>
          <t>合同折扣及返利费率（线下）</t>
        </is>
      </c>
      <c r="D13" s="13" t="n">
        <v>0.04</v>
      </c>
      <c r="E13" s="13" t="n">
        <v>0.04</v>
      </c>
      <c r="F13" s="13" t="n">
        <v>0.04</v>
      </c>
      <c r="G13" s="13" t="n">
        <v>0.04</v>
      </c>
      <c r="H13" s="13" t="n">
        <v>0.04</v>
      </c>
      <c r="I13" s="13" t="n">
        <v>0.04</v>
      </c>
      <c r="J13" s="13" t="n">
        <v>0.04</v>
      </c>
      <c r="K13" s="13" t="n">
        <v>0.04</v>
      </c>
      <c r="L13" s="13" t="n">
        <v>0.04</v>
      </c>
      <c r="M13" s="13" t="n">
        <v>0.04</v>
      </c>
      <c r="N13" s="13" t="n">
        <v>0.04</v>
      </c>
      <c r="O13" s="13" t="n">
        <v>0.04</v>
      </c>
      <c r="P13" s="14">
        <f>SUM(D13:O13)</f>
        <v/>
      </c>
      <c r="Q13" s="15" t="inlineStr"/>
    </row>
    <row r="14" ht="17" customHeight="1">
      <c r="C14" s="12" t="inlineStr">
        <is>
          <t>国补/自补折扣费率（线上）</t>
        </is>
      </c>
      <c r="D14" s="13" t="n">
        <v>0.1</v>
      </c>
      <c r="E14" s="13" t="n">
        <v>0.1</v>
      </c>
      <c r="F14" s="13" t="n">
        <v>0.1</v>
      </c>
      <c r="G14" s="13" t="n">
        <v>0.1</v>
      </c>
      <c r="H14" s="13" t="n">
        <v>0.1</v>
      </c>
      <c r="I14" s="13" t="n">
        <v>0.1</v>
      </c>
      <c r="J14" s="13" t="n">
        <v>0.1</v>
      </c>
      <c r="K14" s="13" t="n">
        <v>0.1</v>
      </c>
      <c r="L14" s="13" t="n">
        <v>0.1</v>
      </c>
      <c r="M14" s="13" t="n">
        <v>0.1</v>
      </c>
      <c r="N14" s="13" t="n">
        <v>0.1</v>
      </c>
      <c r="O14" s="13" t="n">
        <v>0.1</v>
      </c>
      <c r="P14" s="14">
        <f>SUM(D14:O14)</f>
        <v/>
      </c>
      <c r="Q14" s="15" t="inlineStr"/>
    </row>
    <row r="15" ht="17" customHeight="1">
      <c r="C15" s="12" t="inlineStr">
        <is>
          <t>红包/促销折扣费率</t>
        </is>
      </c>
      <c r="D15" s="13" t="n">
        <v>0.17</v>
      </c>
      <c r="E15" s="13" t="n">
        <v>0.17</v>
      </c>
      <c r="F15" s="13" t="n">
        <v>0.17</v>
      </c>
      <c r="G15" s="13" t="n">
        <v>0.17</v>
      </c>
      <c r="H15" s="13" t="n">
        <v>0.17</v>
      </c>
      <c r="I15" s="13" t="n">
        <v>0.17</v>
      </c>
      <c r="J15" s="13" t="n">
        <v>0.17</v>
      </c>
      <c r="K15" s="13" t="n">
        <v>0.17</v>
      </c>
      <c r="L15" s="13" t="n">
        <v>0.17</v>
      </c>
      <c r="M15" s="13" t="n">
        <v>0.17</v>
      </c>
      <c r="N15" s="13" t="n">
        <v>0.17</v>
      </c>
      <c r="O15" s="13" t="n">
        <v>0.17</v>
      </c>
      <c r="P15" s="14">
        <f>SUM(D15:O15)</f>
        <v/>
      </c>
      <c r="Q15" s="15" t="inlineStr"/>
    </row>
    <row r="16" ht="17" customHeight="1">
      <c r="C16" s="16" t="inlineStr">
        <is>
          <t>TTL折扣合计</t>
        </is>
      </c>
      <c r="D16" s="17">
        <f>(D13+D14+D15)*D10</f>
        <v/>
      </c>
      <c r="E16" s="17">
        <f>(E13+E14+E15)*E10</f>
        <v/>
      </c>
      <c r="F16" s="17">
        <f>(F13+F14+F15)*F10</f>
        <v/>
      </c>
      <c r="G16" s="17">
        <f>(G13+G14+G15)*G10</f>
        <v/>
      </c>
      <c r="H16" s="17">
        <f>(H13+H14+H15)*H10</f>
        <v/>
      </c>
      <c r="I16" s="17">
        <f>(I13+I14+I15)*I10</f>
        <v/>
      </c>
      <c r="J16" s="17">
        <f>(J13+J14+J15)*J10</f>
        <v/>
      </c>
      <c r="K16" s="17">
        <f>(K13+K14+K15)*K10</f>
        <v/>
      </c>
      <c r="L16" s="17">
        <f>(L13+L14+L15)*L10</f>
        <v/>
      </c>
      <c r="M16" s="17">
        <f>(M13+M14+M15)*M10</f>
        <v/>
      </c>
      <c r="N16" s="17">
        <f>(N13+N14+N15)*N10</f>
        <v/>
      </c>
      <c r="O16" s="17">
        <f>(O13+O14+O15)*O10</f>
        <v/>
      </c>
      <c r="P16" s="18">
        <f>SUM(D16:O16)</f>
        <v/>
      </c>
      <c r="Q16" s="19" t="inlineStr"/>
    </row>
    <row r="17" ht="17" customHeight="1">
      <c r="C17" s="20" t="inlineStr">
        <is>
          <t>营业收入（净销售收入）</t>
        </is>
      </c>
      <c r="D17" s="21">
        <f>D10-D16</f>
        <v/>
      </c>
      <c r="E17" s="21">
        <f>E10-E16</f>
        <v/>
      </c>
      <c r="F17" s="21">
        <f>F10-F16</f>
        <v/>
      </c>
      <c r="G17" s="21">
        <f>G10-G16</f>
        <v/>
      </c>
      <c r="H17" s="21">
        <f>H10-H16</f>
        <v/>
      </c>
      <c r="I17" s="21">
        <f>I10-I16</f>
        <v/>
      </c>
      <c r="J17" s="21">
        <f>J10-J16</f>
        <v/>
      </c>
      <c r="K17" s="21">
        <f>K10-K16</f>
        <v/>
      </c>
      <c r="L17" s="21">
        <f>L10-L16</f>
        <v/>
      </c>
      <c r="M17" s="21">
        <f>M10-M16</f>
        <v/>
      </c>
      <c r="N17" s="21">
        <f>N10-N16</f>
        <v/>
      </c>
      <c r="O17" s="21">
        <f>O10-O16</f>
        <v/>
      </c>
      <c r="P17" s="21">
        <f>SUM(D17:O17)</f>
        <v/>
      </c>
      <c r="Q17" s="22" t="inlineStr"/>
    </row>
    <row r="18" ht="6" customHeight="1"/>
    <row r="19" ht="18" customHeight="1">
      <c r="C19" s="6" t="inlineStr">
        <is>
          <t xml:space="preserve">  三、毛利层</t>
        </is>
      </c>
    </row>
    <row r="20" ht="17" customHeight="1">
      <c r="C20" s="12" t="inlineStr">
        <is>
          <t>标准主品及配件成本率</t>
        </is>
      </c>
      <c r="D20" s="13" t="n">
        <v>0.46</v>
      </c>
      <c r="E20" s="13" t="n">
        <v>0.46</v>
      </c>
      <c r="F20" s="13" t="n">
        <v>0.46</v>
      </c>
      <c r="G20" s="13" t="n">
        <v>0.46</v>
      </c>
      <c r="H20" s="13" t="n">
        <v>0.46</v>
      </c>
      <c r="I20" s="13" t="n">
        <v>0.46</v>
      </c>
      <c r="J20" s="13" t="n">
        <v>0.46</v>
      </c>
      <c r="K20" s="13" t="n">
        <v>0.46</v>
      </c>
      <c r="L20" s="13" t="n">
        <v>0.46</v>
      </c>
      <c r="M20" s="13" t="n">
        <v>0.46</v>
      </c>
      <c r="N20" s="13" t="n">
        <v>0.46</v>
      </c>
      <c r="O20" s="13" t="n">
        <v>0.46</v>
      </c>
      <c r="P20" s="14">
        <f>SUM(D20:O20)</f>
        <v/>
      </c>
      <c r="Q20" s="15" t="inlineStr"/>
    </row>
    <row r="21" ht="17" customHeight="1">
      <c r="C21" s="16" t="inlineStr">
        <is>
          <t>标准主品及配件成本</t>
        </is>
      </c>
      <c r="D21" s="17">
        <f>D17*D20</f>
        <v/>
      </c>
      <c r="E21" s="17">
        <f>E17*E20</f>
        <v/>
      </c>
      <c r="F21" s="17">
        <f>F17*F20</f>
        <v/>
      </c>
      <c r="G21" s="17">
        <f>G17*G20</f>
        <v/>
      </c>
      <c r="H21" s="17">
        <f>H17*H20</f>
        <v/>
      </c>
      <c r="I21" s="17">
        <f>I17*I20</f>
        <v/>
      </c>
      <c r="J21" s="17">
        <f>J17*J20</f>
        <v/>
      </c>
      <c r="K21" s="17">
        <f>K17*K20</f>
        <v/>
      </c>
      <c r="L21" s="17">
        <f>L17*L20</f>
        <v/>
      </c>
      <c r="M21" s="17">
        <f>M17*M20</f>
        <v/>
      </c>
      <c r="N21" s="17">
        <f>N17*N20</f>
        <v/>
      </c>
      <c r="O21" s="17">
        <f>O17*O20</f>
        <v/>
      </c>
      <c r="P21" s="18">
        <f>SUM(D21:O21)</f>
        <v/>
      </c>
      <c r="Q21" s="19" t="inlineStr"/>
    </row>
    <row r="22" ht="17" customHeight="1">
      <c r="C22" s="20" t="inlineStr">
        <is>
          <t>产品毛利</t>
        </is>
      </c>
      <c r="D22" s="21">
        <f>D17-D21</f>
        <v/>
      </c>
      <c r="E22" s="21">
        <f>E17-E21</f>
        <v/>
      </c>
      <c r="F22" s="21">
        <f>F17-F21</f>
        <v/>
      </c>
      <c r="G22" s="21">
        <f>G17-G21</f>
        <v/>
      </c>
      <c r="H22" s="21">
        <f>H17-H21</f>
        <v/>
      </c>
      <c r="I22" s="21">
        <f>I17-I21</f>
        <v/>
      </c>
      <c r="J22" s="21">
        <f>J17-J21</f>
        <v/>
      </c>
      <c r="K22" s="21">
        <f>K17-K21</f>
        <v/>
      </c>
      <c r="L22" s="21">
        <f>L17-L21</f>
        <v/>
      </c>
      <c r="M22" s="21">
        <f>M17-M21</f>
        <v/>
      </c>
      <c r="N22" s="21">
        <f>N17-N21</f>
        <v/>
      </c>
      <c r="O22" s="21">
        <f>O17-O21</f>
        <v/>
      </c>
      <c r="P22" s="21">
        <f>SUM(D22:O22)</f>
        <v/>
      </c>
      <c r="Q22" s="22" t="inlineStr"/>
    </row>
    <row r="23" ht="17" customHeight="1">
      <c r="C23" s="12" t="inlineStr">
        <is>
          <t>物流/仓储费率</t>
        </is>
      </c>
      <c r="D23" s="13" t="n">
        <v>0.025</v>
      </c>
      <c r="E23" s="13" t="n">
        <v>0.025</v>
      </c>
      <c r="F23" s="13" t="n">
        <v>0.025</v>
      </c>
      <c r="G23" s="13" t="n">
        <v>0.025</v>
      </c>
      <c r="H23" s="13" t="n">
        <v>0.025</v>
      </c>
      <c r="I23" s="13" t="n">
        <v>0.025</v>
      </c>
      <c r="J23" s="13" t="n">
        <v>0.025</v>
      </c>
      <c r="K23" s="13" t="n">
        <v>0.025</v>
      </c>
      <c r="L23" s="13" t="n">
        <v>0.025</v>
      </c>
      <c r="M23" s="13" t="n">
        <v>0.025</v>
      </c>
      <c r="N23" s="13" t="n">
        <v>0.025</v>
      </c>
      <c r="O23" s="13" t="n">
        <v>0.025</v>
      </c>
      <c r="P23" s="14">
        <f>SUM(D23:O23)</f>
        <v/>
      </c>
      <c r="Q23" s="15" t="inlineStr"/>
    </row>
    <row r="24" ht="17" customHeight="1">
      <c r="C24" s="16" t="inlineStr">
        <is>
          <t>物流/仓储费用</t>
        </is>
      </c>
      <c r="D24" s="17">
        <f>D17*D23</f>
        <v/>
      </c>
      <c r="E24" s="17">
        <f>E17*E23</f>
        <v/>
      </c>
      <c r="F24" s="17">
        <f>F17*F23</f>
        <v/>
      </c>
      <c r="G24" s="17">
        <f>G17*G23</f>
        <v/>
      </c>
      <c r="H24" s="17">
        <f>H17*H23</f>
        <v/>
      </c>
      <c r="I24" s="17">
        <f>I17*I23</f>
        <v/>
      </c>
      <c r="J24" s="17">
        <f>J17*J23</f>
        <v/>
      </c>
      <c r="K24" s="17">
        <f>K17*K23</f>
        <v/>
      </c>
      <c r="L24" s="17">
        <f>L17*L23</f>
        <v/>
      </c>
      <c r="M24" s="17">
        <f>M17*M23</f>
        <v/>
      </c>
      <c r="N24" s="17">
        <f>N17*N23</f>
        <v/>
      </c>
      <c r="O24" s="17">
        <f>O17*O23</f>
        <v/>
      </c>
      <c r="P24" s="18">
        <f>SUM(D24:O24)</f>
        <v/>
      </c>
      <c r="Q24" s="19" t="inlineStr"/>
    </row>
    <row r="25" ht="17" customHeight="1">
      <c r="C25" s="20" t="inlineStr">
        <is>
          <t>净毛利</t>
        </is>
      </c>
      <c r="D25" s="21">
        <f>D22-D24</f>
        <v/>
      </c>
      <c r="E25" s="21">
        <f>E22-E24</f>
        <v/>
      </c>
      <c r="F25" s="21">
        <f>F22-F24</f>
        <v/>
      </c>
      <c r="G25" s="21">
        <f>G22-G24</f>
        <v/>
      </c>
      <c r="H25" s="21">
        <f>H22-H24</f>
        <v/>
      </c>
      <c r="I25" s="21">
        <f>I22-I24</f>
        <v/>
      </c>
      <c r="J25" s="21">
        <f>J22-J24</f>
        <v/>
      </c>
      <c r="K25" s="21">
        <f>K22-K24</f>
        <v/>
      </c>
      <c r="L25" s="21">
        <f>L22-L24</f>
        <v/>
      </c>
      <c r="M25" s="21">
        <f>M22-M24</f>
        <v/>
      </c>
      <c r="N25" s="21">
        <f>N22-N24</f>
        <v/>
      </c>
      <c r="O25" s="21">
        <f>O22-O24</f>
        <v/>
      </c>
      <c r="P25" s="21">
        <f>SUM(D25:O25)</f>
        <v/>
      </c>
      <c r="Q25" s="22" t="inlineStr"/>
    </row>
    <row r="26" ht="6" customHeight="1"/>
    <row r="27" ht="18" customHeight="1">
      <c r="C27" s="6" t="inlineStr">
        <is>
          <t xml:space="preserve">  四、A&amp;P 营销与运营费用</t>
        </is>
      </c>
    </row>
    <row r="28" ht="17" customHeight="1">
      <c r="C28" s="12" t="inlineStr">
        <is>
          <t>品牌/内容/达人费率</t>
        </is>
      </c>
      <c r="D28" s="13" t="n">
        <v>0.08</v>
      </c>
      <c r="E28" s="13" t="n">
        <v>0.08</v>
      </c>
      <c r="F28" s="13" t="n">
        <v>0.08</v>
      </c>
      <c r="G28" s="13" t="n">
        <v>0.08</v>
      </c>
      <c r="H28" s="13" t="n">
        <v>0.08</v>
      </c>
      <c r="I28" s="13" t="n">
        <v>0.08</v>
      </c>
      <c r="J28" s="13" t="n">
        <v>0.08</v>
      </c>
      <c r="K28" s="13" t="n">
        <v>0.08</v>
      </c>
      <c r="L28" s="13" t="n">
        <v>0.08</v>
      </c>
      <c r="M28" s="13" t="n">
        <v>0.08</v>
      </c>
      <c r="N28" s="13" t="n">
        <v>0.08</v>
      </c>
      <c r="O28" s="13" t="n">
        <v>0.08</v>
      </c>
      <c r="P28" s="14">
        <f>SUM(D28:O28)</f>
        <v/>
      </c>
      <c r="Q28" s="15" t="inlineStr"/>
    </row>
    <row r="29" ht="17" customHeight="1">
      <c r="C29" s="16" t="inlineStr">
        <is>
          <t>品牌内容费用</t>
        </is>
      </c>
      <c r="D29" s="17">
        <f>D17*D28</f>
        <v/>
      </c>
      <c r="E29" s="17">
        <f>E17*E28</f>
        <v/>
      </c>
      <c r="F29" s="17">
        <f>F17*F28</f>
        <v/>
      </c>
      <c r="G29" s="17">
        <f>G17*G28</f>
        <v/>
      </c>
      <c r="H29" s="17">
        <f>H17*H28</f>
        <v/>
      </c>
      <c r="I29" s="17">
        <f>I17*I28</f>
        <v/>
      </c>
      <c r="J29" s="17">
        <f>J17*J28</f>
        <v/>
      </c>
      <c r="K29" s="17">
        <f>K17*K28</f>
        <v/>
      </c>
      <c r="L29" s="17">
        <f>L17*L28</f>
        <v/>
      </c>
      <c r="M29" s="17">
        <f>M17*M28</f>
        <v/>
      </c>
      <c r="N29" s="17">
        <f>N17*N28</f>
        <v/>
      </c>
      <c r="O29" s="17">
        <f>O17*O28</f>
        <v/>
      </c>
      <c r="P29" s="18">
        <f>SUM(D29:O29)</f>
        <v/>
      </c>
      <c r="Q29" s="19" t="inlineStr"/>
    </row>
    <row r="30" ht="17" customHeight="1">
      <c r="C30" s="12" t="inlineStr">
        <is>
          <t>站内投放费率</t>
        </is>
      </c>
      <c r="D30" s="13" t="n">
        <v>0.14</v>
      </c>
      <c r="E30" s="13" t="n">
        <v>0.14</v>
      </c>
      <c r="F30" s="13" t="n">
        <v>0.14</v>
      </c>
      <c r="G30" s="13" t="n">
        <v>0.14</v>
      </c>
      <c r="H30" s="13" t="n">
        <v>0.14</v>
      </c>
      <c r="I30" s="13" t="n">
        <v>0.14</v>
      </c>
      <c r="J30" s="13" t="n">
        <v>0.14</v>
      </c>
      <c r="K30" s="13" t="n">
        <v>0.14</v>
      </c>
      <c r="L30" s="13" t="n">
        <v>0.14</v>
      </c>
      <c r="M30" s="13" t="n">
        <v>0.14</v>
      </c>
      <c r="N30" s="13" t="n">
        <v>0.14</v>
      </c>
      <c r="O30" s="13" t="n">
        <v>0.14</v>
      </c>
      <c r="P30" s="14">
        <f>SUM(D30:O30)</f>
        <v/>
      </c>
      <c r="Q30" s="15" t="inlineStr"/>
    </row>
    <row r="31" ht="17" customHeight="1">
      <c r="C31" s="12" t="inlineStr">
        <is>
          <t>千川投放费率</t>
        </is>
      </c>
      <c r="D31" s="13" t="n">
        <v>0.1</v>
      </c>
      <c r="E31" s="13" t="n">
        <v>0.1</v>
      </c>
      <c r="F31" s="13" t="n">
        <v>0.1</v>
      </c>
      <c r="G31" s="13" t="n">
        <v>0.1</v>
      </c>
      <c r="H31" s="13" t="n">
        <v>0.1</v>
      </c>
      <c r="I31" s="13" t="n">
        <v>0.1</v>
      </c>
      <c r="J31" s="13" t="n">
        <v>0.1</v>
      </c>
      <c r="K31" s="13" t="n">
        <v>0.1</v>
      </c>
      <c r="L31" s="13" t="n">
        <v>0.1</v>
      </c>
      <c r="M31" s="13" t="n">
        <v>0.1</v>
      </c>
      <c r="N31" s="13" t="n">
        <v>0.1</v>
      </c>
      <c r="O31" s="13" t="n">
        <v>0.1</v>
      </c>
      <c r="P31" s="14">
        <f>SUM(D31:O31)</f>
        <v/>
      </c>
      <c r="Q31" s="15" t="inlineStr"/>
    </row>
    <row r="32" ht="17" customHeight="1">
      <c r="C32" s="12" t="inlineStr">
        <is>
          <t>站外投放费率</t>
        </is>
      </c>
      <c r="D32" s="13" t="n">
        <v>0.02</v>
      </c>
      <c r="E32" s="13" t="n">
        <v>0.02</v>
      </c>
      <c r="F32" s="13" t="n">
        <v>0.02</v>
      </c>
      <c r="G32" s="13" t="n">
        <v>0.02</v>
      </c>
      <c r="H32" s="13" t="n">
        <v>0.02</v>
      </c>
      <c r="I32" s="13" t="n">
        <v>0.02</v>
      </c>
      <c r="J32" s="13" t="n">
        <v>0.02</v>
      </c>
      <c r="K32" s="13" t="n">
        <v>0.02</v>
      </c>
      <c r="L32" s="13" t="n">
        <v>0.02</v>
      </c>
      <c r="M32" s="13" t="n">
        <v>0.02</v>
      </c>
      <c r="N32" s="13" t="n">
        <v>0.02</v>
      </c>
      <c r="O32" s="13" t="n">
        <v>0.02</v>
      </c>
      <c r="P32" s="14">
        <f>SUM(D32:O32)</f>
        <v/>
      </c>
      <c r="Q32" s="15" t="inlineStr"/>
    </row>
    <row r="33" ht="17" customHeight="1">
      <c r="C33" s="16" t="inlineStr">
        <is>
          <t>效果广告合计</t>
        </is>
      </c>
      <c r="D33" s="17">
        <f>(D30+D31+D32)*D17</f>
        <v/>
      </c>
      <c r="E33" s="17">
        <f>(E30+E31+E32)*E17</f>
        <v/>
      </c>
      <c r="F33" s="17">
        <f>(F30+F31+F32)*F17</f>
        <v/>
      </c>
      <c r="G33" s="17">
        <f>(G30+G31+G32)*G17</f>
        <v/>
      </c>
      <c r="H33" s="17">
        <f>(H30+H31+H32)*H17</f>
        <v/>
      </c>
      <c r="I33" s="17">
        <f>(I30+I31+I32)*I17</f>
        <v/>
      </c>
      <c r="J33" s="17">
        <f>(J30+J31+J32)*J17</f>
        <v/>
      </c>
      <c r="K33" s="17">
        <f>(K30+K31+K32)*K17</f>
        <v/>
      </c>
      <c r="L33" s="17">
        <f>(L30+L31+L32)*L17</f>
        <v/>
      </c>
      <c r="M33" s="17">
        <f>(M30+M31+M32)*M17</f>
        <v/>
      </c>
      <c r="N33" s="17">
        <f>(N30+N31+N32)*N17</f>
        <v/>
      </c>
      <c r="O33" s="17">
        <f>(O30+O31+O32)*O17</f>
        <v/>
      </c>
      <c r="P33" s="18">
        <f>SUM(D33:O33)</f>
        <v/>
      </c>
      <c r="Q33" s="19" t="inlineStr"/>
    </row>
    <row r="34" ht="17" customHeight="1">
      <c r="C34" s="12" t="inlineStr">
        <is>
          <t>线上运营费率（直播+赠品）</t>
        </is>
      </c>
      <c r="D34" s="13" t="n">
        <v>0.03</v>
      </c>
      <c r="E34" s="13" t="n">
        <v>0.03</v>
      </c>
      <c r="F34" s="13" t="n">
        <v>0.03</v>
      </c>
      <c r="G34" s="13" t="n">
        <v>0.03</v>
      </c>
      <c r="H34" s="13" t="n">
        <v>0.03</v>
      </c>
      <c r="I34" s="13" t="n">
        <v>0.03</v>
      </c>
      <c r="J34" s="13" t="n">
        <v>0.03</v>
      </c>
      <c r="K34" s="13" t="n">
        <v>0.03</v>
      </c>
      <c r="L34" s="13" t="n">
        <v>0.03</v>
      </c>
      <c r="M34" s="13" t="n">
        <v>0.03</v>
      </c>
      <c r="N34" s="13" t="n">
        <v>0.03</v>
      </c>
      <c r="O34" s="13" t="n">
        <v>0.03</v>
      </c>
      <c r="P34" s="14">
        <f>SUM(D34:O34)</f>
        <v/>
      </c>
      <c r="Q34" s="15" t="inlineStr"/>
    </row>
    <row r="35" ht="17" customHeight="1">
      <c r="C35" s="16" t="inlineStr">
        <is>
          <t>线上运营费用</t>
        </is>
      </c>
      <c r="D35" s="17">
        <f>D17*D34</f>
        <v/>
      </c>
      <c r="E35" s="17">
        <f>E17*E34</f>
        <v/>
      </c>
      <c r="F35" s="17">
        <f>F17*F34</f>
        <v/>
      </c>
      <c r="G35" s="17">
        <f>G17*G34</f>
        <v/>
      </c>
      <c r="H35" s="17">
        <f>H17*H34</f>
        <v/>
      </c>
      <c r="I35" s="17">
        <f>I17*I34</f>
        <v/>
      </c>
      <c r="J35" s="17">
        <f>J17*J34</f>
        <v/>
      </c>
      <c r="K35" s="17">
        <f>K17*K34</f>
        <v/>
      </c>
      <c r="L35" s="17">
        <f>L17*L34</f>
        <v/>
      </c>
      <c r="M35" s="17">
        <f>M17*M34</f>
        <v/>
      </c>
      <c r="N35" s="17">
        <f>N17*N34</f>
        <v/>
      </c>
      <c r="O35" s="17">
        <f>O17*O34</f>
        <v/>
      </c>
      <c r="P35" s="18">
        <f>SUM(D35:O35)</f>
        <v/>
      </c>
      <c r="Q35" s="19" t="inlineStr"/>
    </row>
    <row r="36" ht="17" customHeight="1">
      <c r="C36" s="7" t="inlineStr">
        <is>
          <t>线下市场/渠道费用（预算）</t>
        </is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9">
        <f>SUM(D36:O36)</f>
        <v/>
      </c>
      <c r="Q36" s="10" t="inlineStr"/>
    </row>
    <row r="37" ht="17" customHeight="1">
      <c r="C37" s="12" t="inlineStr">
        <is>
          <t>平台佣金费率</t>
        </is>
      </c>
      <c r="D37" s="13" t="n">
        <v>0.05</v>
      </c>
      <c r="E37" s="13" t="n">
        <v>0.05</v>
      </c>
      <c r="F37" s="13" t="n">
        <v>0.05</v>
      </c>
      <c r="G37" s="13" t="n">
        <v>0.05</v>
      </c>
      <c r="H37" s="13" t="n">
        <v>0.05</v>
      </c>
      <c r="I37" s="13" t="n">
        <v>0.05</v>
      </c>
      <c r="J37" s="13" t="n">
        <v>0.05</v>
      </c>
      <c r="K37" s="13" t="n">
        <v>0.05</v>
      </c>
      <c r="L37" s="13" t="n">
        <v>0.05</v>
      </c>
      <c r="M37" s="13" t="n">
        <v>0.05</v>
      </c>
      <c r="N37" s="13" t="n">
        <v>0.05</v>
      </c>
      <c r="O37" s="13" t="n">
        <v>0.05</v>
      </c>
      <c r="P37" s="14">
        <f>SUM(D37:O37)</f>
        <v/>
      </c>
      <c r="Q37" s="15" t="inlineStr"/>
    </row>
    <row r="38" ht="17" customHeight="1">
      <c r="C38" s="16" t="inlineStr">
        <is>
          <t>平台佣金</t>
        </is>
      </c>
      <c r="D38" s="17">
        <f>D17*D37</f>
        <v/>
      </c>
      <c r="E38" s="17">
        <f>E17*E37</f>
        <v/>
      </c>
      <c r="F38" s="17">
        <f>F17*F37</f>
        <v/>
      </c>
      <c r="G38" s="17">
        <f>G17*G37</f>
        <v/>
      </c>
      <c r="H38" s="17">
        <f>H17*H37</f>
        <v/>
      </c>
      <c r="I38" s="17">
        <f>I17*I37</f>
        <v/>
      </c>
      <c r="J38" s="17">
        <f>J17*J37</f>
        <v/>
      </c>
      <c r="K38" s="17">
        <f>K17*K37</f>
        <v/>
      </c>
      <c r="L38" s="17">
        <f>L17*L37</f>
        <v/>
      </c>
      <c r="M38" s="17">
        <f>M17*M37</f>
        <v/>
      </c>
      <c r="N38" s="17">
        <f>N17*N37</f>
        <v/>
      </c>
      <c r="O38" s="17">
        <f>O17*O37</f>
        <v/>
      </c>
      <c r="P38" s="18">
        <f>SUM(D38:O38)</f>
        <v/>
      </c>
      <c r="Q38" s="19" t="inlineStr"/>
    </row>
    <row r="39" ht="17" customHeight="1">
      <c r="C39" s="12" t="inlineStr">
        <is>
          <t>平台其他费率</t>
        </is>
      </c>
      <c r="D39" s="13" t="n">
        <v>0.014</v>
      </c>
      <c r="E39" s="13" t="n">
        <v>0.014</v>
      </c>
      <c r="F39" s="13" t="n">
        <v>0.014</v>
      </c>
      <c r="G39" s="13" t="n">
        <v>0.014</v>
      </c>
      <c r="H39" s="13" t="n">
        <v>0.014</v>
      </c>
      <c r="I39" s="13" t="n">
        <v>0.014</v>
      </c>
      <c r="J39" s="13" t="n">
        <v>0.014</v>
      </c>
      <c r="K39" s="13" t="n">
        <v>0.014</v>
      </c>
      <c r="L39" s="13" t="n">
        <v>0.014</v>
      </c>
      <c r="M39" s="13" t="n">
        <v>0.014</v>
      </c>
      <c r="N39" s="13" t="n">
        <v>0.014</v>
      </c>
      <c r="O39" s="13" t="n">
        <v>0.014</v>
      </c>
      <c r="P39" s="14">
        <f>SUM(D39:O39)</f>
        <v/>
      </c>
      <c r="Q39" s="15" t="inlineStr"/>
    </row>
    <row r="40" ht="17" customHeight="1">
      <c r="C40" s="16" t="inlineStr">
        <is>
          <t>平台其他费用</t>
        </is>
      </c>
      <c r="D40" s="17">
        <f>D17*D39</f>
        <v/>
      </c>
      <c r="E40" s="17">
        <f>E17*E39</f>
        <v/>
      </c>
      <c r="F40" s="17">
        <f>F17*F39</f>
        <v/>
      </c>
      <c r="G40" s="17">
        <f>G17*G39</f>
        <v/>
      </c>
      <c r="H40" s="17">
        <f>H17*H39</f>
        <v/>
      </c>
      <c r="I40" s="17">
        <f>I17*I39</f>
        <v/>
      </c>
      <c r="J40" s="17">
        <f>J17*J39</f>
        <v/>
      </c>
      <c r="K40" s="17">
        <f>K17*K39</f>
        <v/>
      </c>
      <c r="L40" s="17">
        <f>L17*L39</f>
        <v/>
      </c>
      <c r="M40" s="17">
        <f>M17*M39</f>
        <v/>
      </c>
      <c r="N40" s="17">
        <f>N17*N39</f>
        <v/>
      </c>
      <c r="O40" s="17">
        <f>O17*O39</f>
        <v/>
      </c>
      <c r="P40" s="18">
        <f>SUM(D40:O40)</f>
        <v/>
      </c>
      <c r="Q40" s="19" t="inlineStr"/>
    </row>
    <row r="41" ht="17" customHeight="1">
      <c r="C41" s="12" t="inlineStr">
        <is>
          <t>售后费率</t>
        </is>
      </c>
      <c r="D41" s="13" t="n">
        <v>0.03</v>
      </c>
      <c r="E41" s="13" t="n">
        <v>0.03</v>
      </c>
      <c r="F41" s="13" t="n">
        <v>0.03</v>
      </c>
      <c r="G41" s="13" t="n">
        <v>0.03</v>
      </c>
      <c r="H41" s="13" t="n">
        <v>0.03</v>
      </c>
      <c r="I41" s="13" t="n">
        <v>0.03</v>
      </c>
      <c r="J41" s="13" t="n">
        <v>0.03</v>
      </c>
      <c r="K41" s="13" t="n">
        <v>0.03</v>
      </c>
      <c r="L41" s="13" t="n">
        <v>0.03</v>
      </c>
      <c r="M41" s="13" t="n">
        <v>0.03</v>
      </c>
      <c r="N41" s="13" t="n">
        <v>0.03</v>
      </c>
      <c r="O41" s="13" t="n">
        <v>0.03</v>
      </c>
      <c r="P41" s="14">
        <f>SUM(D41:O41)</f>
        <v/>
      </c>
      <c r="Q41" s="15" t="inlineStr"/>
    </row>
    <row r="42" ht="17" customHeight="1">
      <c r="C42" s="16" t="inlineStr">
        <is>
          <t>售后费用</t>
        </is>
      </c>
      <c r="D42" s="17">
        <f>D17*D41</f>
        <v/>
      </c>
      <c r="E42" s="17">
        <f>E17*E41</f>
        <v/>
      </c>
      <c r="F42" s="17">
        <f>F17*F41</f>
        <v/>
      </c>
      <c r="G42" s="17">
        <f>G17*G41</f>
        <v/>
      </c>
      <c r="H42" s="17">
        <f>H17*H41</f>
        <v/>
      </c>
      <c r="I42" s="17">
        <f>I17*I41</f>
        <v/>
      </c>
      <c r="J42" s="17">
        <f>J17*J41</f>
        <v/>
      </c>
      <c r="K42" s="17">
        <f>K17*K41</f>
        <v/>
      </c>
      <c r="L42" s="17">
        <f>L17*L41</f>
        <v/>
      </c>
      <c r="M42" s="17">
        <f>M17*M41</f>
        <v/>
      </c>
      <c r="N42" s="17">
        <f>N17*N41</f>
        <v/>
      </c>
      <c r="O42" s="17">
        <f>O17*O41</f>
        <v/>
      </c>
      <c r="P42" s="18">
        <f>SUM(D42:O42)</f>
        <v/>
      </c>
      <c r="Q42" s="19" t="inlineStr"/>
    </row>
    <row r="43" ht="17" customHeight="1">
      <c r="C43" s="12" t="inlineStr">
        <is>
          <t>店铺运营综合费率</t>
        </is>
      </c>
      <c r="D43" s="13" t="n">
        <v>0.098</v>
      </c>
      <c r="E43" s="13" t="n">
        <v>0.098</v>
      </c>
      <c r="F43" s="13" t="n">
        <v>0.098</v>
      </c>
      <c r="G43" s="13" t="n">
        <v>0.098</v>
      </c>
      <c r="H43" s="13" t="n">
        <v>0.098</v>
      </c>
      <c r="I43" s="13" t="n">
        <v>0.098</v>
      </c>
      <c r="J43" s="13" t="n">
        <v>0.098</v>
      </c>
      <c r="K43" s="13" t="n">
        <v>0.098</v>
      </c>
      <c r="L43" s="13" t="n">
        <v>0.098</v>
      </c>
      <c r="M43" s="13" t="n">
        <v>0.098</v>
      </c>
      <c r="N43" s="13" t="n">
        <v>0.098</v>
      </c>
      <c r="O43" s="13" t="n">
        <v>0.098</v>
      </c>
      <c r="P43" s="14">
        <f>SUM(D43:O43)</f>
        <v/>
      </c>
      <c r="Q43" s="15" t="inlineStr"/>
    </row>
    <row r="44" ht="17" customHeight="1">
      <c r="C44" s="16" t="inlineStr">
        <is>
          <t>店铺运营费用</t>
        </is>
      </c>
      <c r="D44" s="17">
        <f>D17*D43</f>
        <v/>
      </c>
      <c r="E44" s="17">
        <f>E17*E43</f>
        <v/>
      </c>
      <c r="F44" s="17">
        <f>F17*F43</f>
        <v/>
      </c>
      <c r="G44" s="17">
        <f>G17*G43</f>
        <v/>
      </c>
      <c r="H44" s="17">
        <f>H17*H43</f>
        <v/>
      </c>
      <c r="I44" s="17">
        <f>I17*I43</f>
        <v/>
      </c>
      <c r="J44" s="17">
        <f>J17*J43</f>
        <v/>
      </c>
      <c r="K44" s="17">
        <f>K17*K43</f>
        <v/>
      </c>
      <c r="L44" s="17">
        <f>L17*L43</f>
        <v/>
      </c>
      <c r="M44" s="17">
        <f>M17*M43</f>
        <v/>
      </c>
      <c r="N44" s="17">
        <f>N17*N43</f>
        <v/>
      </c>
      <c r="O44" s="17">
        <f>O17*O43</f>
        <v/>
      </c>
      <c r="P44" s="18">
        <f>SUM(D44:O44)</f>
        <v/>
      </c>
      <c r="Q44" s="19" t="inlineStr"/>
    </row>
    <row r="45" ht="17" customHeight="1">
      <c r="C45" s="20" t="inlineStr">
        <is>
          <t>A&amp;P 合计</t>
        </is>
      </c>
      <c r="D45" s="21">
        <f>D29+D33+D35+D36+D38+D40+D42+D44</f>
        <v/>
      </c>
      <c r="E45" s="21">
        <f>E29+E33+E35+E36+E38+E40+E42+E44</f>
        <v/>
      </c>
      <c r="F45" s="21">
        <f>F29+F33+F35+F36+F38+F40+F42+F44</f>
        <v/>
      </c>
      <c r="G45" s="21">
        <f>G29+G33+G35+G36+G38+G40+G42+G44</f>
        <v/>
      </c>
      <c r="H45" s="21">
        <f>H29+H33+H35+H36+H38+H40+H42+H44</f>
        <v/>
      </c>
      <c r="I45" s="21">
        <f>I29+I33+I35+I36+I38+I40+I42+I44</f>
        <v/>
      </c>
      <c r="J45" s="21">
        <f>J29+J33+J35+J36+J38+J40+J42+J44</f>
        <v/>
      </c>
      <c r="K45" s="21">
        <f>K29+K33+K35+K36+K38+K40+K42+K44</f>
        <v/>
      </c>
      <c r="L45" s="21">
        <f>L29+L33+L35+L36+L38+L40+L42+L44</f>
        <v/>
      </c>
      <c r="M45" s="21">
        <f>M29+M33+M35+M36+M38+M40+M42+M44</f>
        <v/>
      </c>
      <c r="N45" s="21">
        <f>N29+N33+N35+N36+N38+N40+N42+N44</f>
        <v/>
      </c>
      <c r="O45" s="21">
        <f>O29+O33+O35+O36+O38+O40+O42+O44</f>
        <v/>
      </c>
      <c r="P45" s="21">
        <f>SUM(D45:O45)</f>
        <v/>
      </c>
      <c r="Q45" s="22" t="inlineStr"/>
    </row>
    <row r="46" ht="6" customHeight="1"/>
    <row r="47" ht="18" customHeight="1">
      <c r="C47" s="6" t="inlineStr">
        <is>
          <t xml:space="preserve">  五、店铺利润（渠道贡献）</t>
        </is>
      </c>
    </row>
    <row r="48" ht="17" customHeight="1">
      <c r="C48" s="20" t="inlineStr">
        <is>
          <t>店铺利润</t>
        </is>
      </c>
      <c r="D48" s="21">
        <f>D25-D45</f>
        <v/>
      </c>
      <c r="E48" s="21">
        <f>E25-E45</f>
        <v/>
      </c>
      <c r="F48" s="21">
        <f>F25-F45</f>
        <v/>
      </c>
      <c r="G48" s="21">
        <f>G25-G45</f>
        <v/>
      </c>
      <c r="H48" s="21">
        <f>H25-H45</f>
        <v/>
      </c>
      <c r="I48" s="21">
        <f>I25-I45</f>
        <v/>
      </c>
      <c r="J48" s="21">
        <f>J25-J45</f>
        <v/>
      </c>
      <c r="K48" s="21">
        <f>K25-K45</f>
        <v/>
      </c>
      <c r="L48" s="21">
        <f>L25-L45</f>
        <v/>
      </c>
      <c r="M48" s="21">
        <f>M25-M45</f>
        <v/>
      </c>
      <c r="N48" s="21">
        <f>N25-N45</f>
        <v/>
      </c>
      <c r="O48" s="21">
        <f>O25-O45</f>
        <v/>
      </c>
      <c r="P48" s="21">
        <f>SUM(D48:O48)</f>
        <v/>
      </c>
      <c r="Q48" s="22" t="inlineStr"/>
    </row>
    <row r="49" ht="6" customHeight="1"/>
    <row r="50" ht="18" customHeight="1">
      <c r="C50" s="6" t="inlineStr">
        <is>
          <t xml:space="preserve">  六、BU 可控 / 贡献层</t>
        </is>
      </c>
    </row>
    <row r="51" ht="17" customHeight="1">
      <c r="C51" s="7" t="inlineStr">
        <is>
          <t>销售管理费用（预算）</t>
        </is>
      </c>
      <c r="D51" s="8" t="n">
        <v>500000</v>
      </c>
      <c r="E51" s="8" t="n">
        <v>500000</v>
      </c>
      <c r="F51" s="8" t="n">
        <v>500000</v>
      </c>
      <c r="G51" s="8" t="n">
        <v>500000</v>
      </c>
      <c r="H51" s="8" t="n">
        <v>500000</v>
      </c>
      <c r="I51" s="8" t="n">
        <v>500000</v>
      </c>
      <c r="J51" s="8" t="n">
        <v>500000</v>
      </c>
      <c r="K51" s="8" t="n">
        <v>500000</v>
      </c>
      <c r="L51" s="8" t="n">
        <v>500000</v>
      </c>
      <c r="M51" s="8" t="n">
        <v>500000</v>
      </c>
      <c r="N51" s="8" t="n">
        <v>500000</v>
      </c>
      <c r="O51" s="8" t="n">
        <v>500000</v>
      </c>
      <c r="P51" s="9">
        <f>SUM(D51:O51)</f>
        <v/>
      </c>
      <c r="Q51" s="10" t="inlineStr"/>
    </row>
    <row r="52" ht="17" customHeight="1">
      <c r="C52" s="7" t="inlineStr">
        <is>
          <t>研发费用（预算）</t>
        </is>
      </c>
      <c r="D52" s="8" t="n">
        <v>3000000</v>
      </c>
      <c r="E52" s="8" t="n">
        <v>3000000</v>
      </c>
      <c r="F52" s="8" t="n">
        <v>3000000</v>
      </c>
      <c r="G52" s="8" t="n">
        <v>3000000</v>
      </c>
      <c r="H52" s="8" t="n">
        <v>3000000</v>
      </c>
      <c r="I52" s="8" t="n">
        <v>3000000</v>
      </c>
      <c r="J52" s="8" t="n">
        <v>3000000</v>
      </c>
      <c r="K52" s="8" t="n">
        <v>3000000</v>
      </c>
      <c r="L52" s="8" t="n">
        <v>3000000</v>
      </c>
      <c r="M52" s="8" t="n">
        <v>3000000</v>
      </c>
      <c r="N52" s="8" t="n">
        <v>3000000</v>
      </c>
      <c r="O52" s="8" t="n">
        <v>3000000</v>
      </c>
      <c r="P52" s="9">
        <f>SUM(D52:O52)</f>
        <v/>
      </c>
      <c r="Q52" s="10" t="inlineStr"/>
    </row>
    <row r="53" ht="17" customHeight="1">
      <c r="C53" s="16" t="inlineStr">
        <is>
          <t>BU可控费用合计</t>
        </is>
      </c>
      <c r="D53" s="17">
        <f>D51+D52</f>
        <v/>
      </c>
      <c r="E53" s="17">
        <f>E51+E52</f>
        <v/>
      </c>
      <c r="F53" s="17">
        <f>F51+F52</f>
        <v/>
      </c>
      <c r="G53" s="17">
        <f>G51+G52</f>
        <v/>
      </c>
      <c r="H53" s="17">
        <f>H51+H52</f>
        <v/>
      </c>
      <c r="I53" s="17">
        <f>I51+I52</f>
        <v/>
      </c>
      <c r="J53" s="17">
        <f>J51+J52</f>
        <v/>
      </c>
      <c r="K53" s="17">
        <f>K51+K52</f>
        <v/>
      </c>
      <c r="L53" s="17">
        <f>L51+L52</f>
        <v/>
      </c>
      <c r="M53" s="17">
        <f>M51+M52</f>
        <v/>
      </c>
      <c r="N53" s="17">
        <f>N51+N52</f>
        <v/>
      </c>
      <c r="O53" s="17">
        <f>O51+O52</f>
        <v/>
      </c>
      <c r="P53" s="18">
        <f>SUM(D53:O53)</f>
        <v/>
      </c>
      <c r="Q53" s="19" t="inlineStr"/>
    </row>
    <row r="54" ht="17" customHeight="1">
      <c r="C54" s="20" t="inlineStr">
        <is>
          <t>BU 可控利润</t>
        </is>
      </c>
      <c r="D54" s="21">
        <f>D48-D53</f>
        <v/>
      </c>
      <c r="E54" s="21">
        <f>E48-E53</f>
        <v/>
      </c>
      <c r="F54" s="21">
        <f>F48-F53</f>
        <v/>
      </c>
      <c r="G54" s="21">
        <f>G48-G53</f>
        <v/>
      </c>
      <c r="H54" s="21">
        <f>H48-H53</f>
        <v/>
      </c>
      <c r="I54" s="21">
        <f>I48-I53</f>
        <v/>
      </c>
      <c r="J54" s="21">
        <f>J48-J53</f>
        <v/>
      </c>
      <c r="K54" s="21">
        <f>K48-K53</f>
        <v/>
      </c>
      <c r="L54" s="21">
        <f>L48-L53</f>
        <v/>
      </c>
      <c r="M54" s="21">
        <f>M48-M53</f>
        <v/>
      </c>
      <c r="N54" s="21">
        <f>N48-N53</f>
        <v/>
      </c>
      <c r="O54" s="21">
        <f>O48-O53</f>
        <v/>
      </c>
      <c r="P54" s="21">
        <f>SUM(D54:O54)</f>
        <v/>
      </c>
      <c r="Q54" s="22" t="inlineStr"/>
    </row>
    <row r="55" ht="17" customHeight="1">
      <c r="C55" s="7" t="inlineStr">
        <is>
          <t>BU 贡献费用（预算）</t>
        </is>
      </c>
      <c r="D55" s="8" t="n">
        <v>2800000</v>
      </c>
      <c r="E55" s="8" t="n">
        <v>2800000</v>
      </c>
      <c r="F55" s="8" t="n">
        <v>2800000</v>
      </c>
      <c r="G55" s="8" t="n">
        <v>2800000</v>
      </c>
      <c r="H55" s="8" t="n">
        <v>2800000</v>
      </c>
      <c r="I55" s="8" t="n">
        <v>2800000</v>
      </c>
      <c r="J55" s="8" t="n">
        <v>2800000</v>
      </c>
      <c r="K55" s="8" t="n">
        <v>2800000</v>
      </c>
      <c r="L55" s="8" t="n">
        <v>2800000</v>
      </c>
      <c r="M55" s="8" t="n">
        <v>2800000</v>
      </c>
      <c r="N55" s="8" t="n">
        <v>2800000</v>
      </c>
      <c r="O55" s="8" t="n">
        <v>2800000</v>
      </c>
      <c r="P55" s="9">
        <f>SUM(D55:O55)</f>
        <v/>
      </c>
      <c r="Q55" s="10" t="inlineStr"/>
    </row>
    <row r="56" ht="17" customHeight="1">
      <c r="C56" s="20" t="inlineStr">
        <is>
          <t>BU 贡献利润</t>
        </is>
      </c>
      <c r="D56" s="21">
        <f>D54-D55</f>
        <v/>
      </c>
      <c r="E56" s="21">
        <f>E54-E55</f>
        <v/>
      </c>
      <c r="F56" s="21">
        <f>F54-F55</f>
        <v/>
      </c>
      <c r="G56" s="21">
        <f>G54-G55</f>
        <v/>
      </c>
      <c r="H56" s="21">
        <f>H54-H55</f>
        <v/>
      </c>
      <c r="I56" s="21">
        <f>I54-I55</f>
        <v/>
      </c>
      <c r="J56" s="21">
        <f>J54-J55</f>
        <v/>
      </c>
      <c r="K56" s="21">
        <f>K54-K55</f>
        <v/>
      </c>
      <c r="L56" s="21">
        <f>L54-L55</f>
        <v/>
      </c>
      <c r="M56" s="21">
        <f>M54-M55</f>
        <v/>
      </c>
      <c r="N56" s="21">
        <f>N54-N55</f>
        <v/>
      </c>
      <c r="O56" s="21">
        <f>O54-O55</f>
        <v/>
      </c>
      <c r="P56" s="21">
        <f>SUM(D56:O56)</f>
        <v/>
      </c>
      <c r="Q56" s="22" t="inlineStr"/>
    </row>
    <row r="57" ht="17" customHeight="1">
      <c r="C57" s="7" t="inlineStr">
        <is>
          <t>集团分摊费用（预算）</t>
        </is>
      </c>
      <c r="D57" s="8" t="n">
        <v>1200000</v>
      </c>
      <c r="E57" s="8" t="n">
        <v>1200000</v>
      </c>
      <c r="F57" s="8" t="n">
        <v>1200000</v>
      </c>
      <c r="G57" s="8" t="n">
        <v>1200000</v>
      </c>
      <c r="H57" s="8" t="n">
        <v>1200000</v>
      </c>
      <c r="I57" s="8" t="n">
        <v>1200000</v>
      </c>
      <c r="J57" s="8" t="n">
        <v>1200000</v>
      </c>
      <c r="K57" s="8" t="n">
        <v>1200000</v>
      </c>
      <c r="L57" s="8" t="n">
        <v>1200000</v>
      </c>
      <c r="M57" s="8" t="n">
        <v>1200000</v>
      </c>
      <c r="N57" s="8" t="n">
        <v>1200000</v>
      </c>
      <c r="O57" s="8" t="n">
        <v>1200000</v>
      </c>
      <c r="P57" s="9">
        <f>SUM(D57:O57)</f>
        <v/>
      </c>
      <c r="Q57" s="10" t="inlineStr"/>
    </row>
    <row r="58" ht="17" customHeight="1">
      <c r="C58" s="20" t="inlineStr">
        <is>
          <t>净利润</t>
        </is>
      </c>
      <c r="D58" s="21">
        <f>D56-D57</f>
        <v/>
      </c>
      <c r="E58" s="21">
        <f>E56-E57</f>
        <v/>
      </c>
      <c r="F58" s="21">
        <f>F56-F57</f>
        <v/>
      </c>
      <c r="G58" s="21">
        <f>G56-G57</f>
        <v/>
      </c>
      <c r="H58" s="21">
        <f>H56-H57</f>
        <v/>
      </c>
      <c r="I58" s="21">
        <f>I56-I57</f>
        <v/>
      </c>
      <c r="J58" s="21">
        <f>J56-J57</f>
        <v/>
      </c>
      <c r="K58" s="21">
        <f>K56-K57</f>
        <v/>
      </c>
      <c r="L58" s="21">
        <f>L56-L57</f>
        <v/>
      </c>
      <c r="M58" s="21">
        <f>M56-M57</f>
        <v/>
      </c>
      <c r="N58" s="21">
        <f>N56-N57</f>
        <v/>
      </c>
      <c r="O58" s="21">
        <f>O56-O57</f>
        <v/>
      </c>
      <c r="P58" s="21">
        <f>SUM(D58:O58)</f>
        <v/>
      </c>
      <c r="Q58" s="22" t="inlineStr"/>
    </row>
  </sheetData>
  <mergeCells count="7">
    <mergeCell ref="C27:R27"/>
    <mergeCell ref="C2:R2"/>
    <mergeCell ref="C19:R19"/>
    <mergeCell ref="C47:R47"/>
    <mergeCell ref="C50:R50"/>
    <mergeCell ref="C4:R4"/>
    <mergeCell ref="C12:R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C2:R59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" customWidth="1" min="2" max="2"/>
    <col width="2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9" customWidth="1" min="17" max="17"/>
    <col width="28" customWidth="1" min="18" max="18"/>
  </cols>
  <sheetData>
    <row r="1" ht="8" customHeight="1"/>
    <row r="2" ht="28" customHeight="1">
      <c r="C2" s="4" t="inlineStr">
        <is>
          <t>京东自营（财务口径 Sell-In）— 年度 BP</t>
        </is>
      </c>
    </row>
    <row r="3" ht="20" customHeight="1">
      <c r="C3" s="5" t="inlineStr">
        <is>
          <t>科目</t>
        </is>
      </c>
      <c r="D3" s="5" t="inlineStr">
        <is>
          <t>1月</t>
        </is>
      </c>
      <c r="E3" s="5" t="inlineStr">
        <is>
          <t>2月</t>
        </is>
      </c>
      <c r="F3" s="5" t="inlineStr">
        <is>
          <t>3月</t>
        </is>
      </c>
      <c r="G3" s="5" t="inlineStr">
        <is>
          <t>4月</t>
        </is>
      </c>
      <c r="H3" s="5" t="inlineStr">
        <is>
          <t>5月</t>
        </is>
      </c>
      <c r="I3" s="5" t="inlineStr">
        <is>
          <t>6月</t>
        </is>
      </c>
      <c r="J3" s="5" t="inlineStr">
        <is>
          <t>7月</t>
        </is>
      </c>
      <c r="K3" s="5" t="inlineStr">
        <is>
          <t>8月</t>
        </is>
      </c>
      <c r="L3" s="5" t="inlineStr">
        <is>
          <t>9月</t>
        </is>
      </c>
      <c r="M3" s="5" t="inlineStr">
        <is>
          <t>10月</t>
        </is>
      </c>
      <c r="N3" s="5" t="inlineStr">
        <is>
          <t>11月</t>
        </is>
      </c>
      <c r="O3" s="5" t="inlineStr">
        <is>
          <t>12月</t>
        </is>
      </c>
      <c r="P3" s="5" t="inlineStr">
        <is>
          <t>合计</t>
        </is>
      </c>
      <c r="Q3" s="5" t="inlineStr">
        <is>
          <t>费比</t>
        </is>
      </c>
    </row>
    <row r="4" ht="18" customHeight="1">
      <c r="C4" s="23" t="inlineStr">
        <is>
          <t xml:space="preserve">  ⚑ 财务口径（Sell-In）：货品发货给京东仓时确认收入，与财务报表一致</t>
        </is>
      </c>
    </row>
    <row r="5" ht="18" customHeight="1">
      <c r="C5" s="6" t="inlineStr">
        <is>
          <t xml:space="preserve">  一、GMV 层</t>
        </is>
      </c>
    </row>
    <row r="6" ht="17" customHeight="1">
      <c r="C6" s="7" t="inlineStr">
        <is>
          <t>自补前 GMV（月度目标）</t>
        </is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9">
        <f>SUM(D6:O6)</f>
        <v/>
      </c>
      <c r="Q6" s="10" t="inlineStr"/>
      <c r="R6" s="11" t="inlineStr">
        <is>
          <t>渠道填写</t>
        </is>
      </c>
    </row>
    <row r="7" ht="17" customHeight="1">
      <c r="C7" s="12" t="inlineStr">
        <is>
          <t>国补/自补费用率</t>
        </is>
      </c>
      <c r="D7" s="13" t="n">
        <v>0.1</v>
      </c>
      <c r="E7" s="13" t="n">
        <v>0.1</v>
      </c>
      <c r="F7" s="13" t="n">
        <v>0.1</v>
      </c>
      <c r="G7" s="13" t="n">
        <v>0.1</v>
      </c>
      <c r="H7" s="13" t="n">
        <v>0.1</v>
      </c>
      <c r="I7" s="13" t="n">
        <v>0.1</v>
      </c>
      <c r="J7" s="13" t="n">
        <v>0.1</v>
      </c>
      <c r="K7" s="13" t="n">
        <v>0.1</v>
      </c>
      <c r="L7" s="13" t="n">
        <v>0.1</v>
      </c>
      <c r="M7" s="13" t="n">
        <v>0.1</v>
      </c>
      <c r="N7" s="13" t="n">
        <v>0.1</v>
      </c>
      <c r="O7" s="13" t="n">
        <v>0.1</v>
      </c>
      <c r="P7" s="14">
        <f>SUM(D7:O7)</f>
        <v/>
      </c>
      <c r="Q7" s="15" t="inlineStr"/>
    </row>
    <row r="8" ht="17" customHeight="1">
      <c r="C8" s="16" t="inlineStr">
        <is>
          <t>国补/自补费用</t>
        </is>
      </c>
      <c r="D8" s="17">
        <f>D6*D7</f>
        <v/>
      </c>
      <c r="E8" s="17">
        <f>E6*E7</f>
        <v/>
      </c>
      <c r="F8" s="17">
        <f>F6*F7</f>
        <v/>
      </c>
      <c r="G8" s="17">
        <f>G6*G7</f>
        <v/>
      </c>
      <c r="H8" s="17">
        <f>H6*H7</f>
        <v/>
      </c>
      <c r="I8" s="17">
        <f>I6*I7</f>
        <v/>
      </c>
      <c r="J8" s="17">
        <f>J6*J7</f>
        <v/>
      </c>
      <c r="K8" s="17">
        <f>K6*K7</f>
        <v/>
      </c>
      <c r="L8" s="17">
        <f>L6*L7</f>
        <v/>
      </c>
      <c r="M8" s="17">
        <f>M6*M7</f>
        <v/>
      </c>
      <c r="N8" s="17">
        <f>N6*N7</f>
        <v/>
      </c>
      <c r="O8" s="17">
        <f>O6*O7</f>
        <v/>
      </c>
      <c r="P8" s="18">
        <f>SUM(D8:O8)</f>
        <v/>
      </c>
      <c r="Q8" s="19" t="inlineStr"/>
    </row>
    <row r="9" ht="17" customHeight="1">
      <c r="C9" s="20" t="inlineStr">
        <is>
          <t>GMV（剔除国补）</t>
        </is>
      </c>
      <c r="D9" s="21">
        <f>D6-D8</f>
        <v/>
      </c>
      <c r="E9" s="21">
        <f>E6-E8</f>
        <v/>
      </c>
      <c r="F9" s="21">
        <f>F6-F8</f>
        <v/>
      </c>
      <c r="G9" s="21">
        <f>G6-G8</f>
        <v/>
      </c>
      <c r="H9" s="21">
        <f>H6-H8</f>
        <v/>
      </c>
      <c r="I9" s="21">
        <f>I6-I8</f>
        <v/>
      </c>
      <c r="J9" s="21">
        <f>J6-J8</f>
        <v/>
      </c>
      <c r="K9" s="21">
        <f>K6-K8</f>
        <v/>
      </c>
      <c r="L9" s="21">
        <f>L6-L8</f>
        <v/>
      </c>
      <c r="M9" s="21">
        <f>M6-M8</f>
        <v/>
      </c>
      <c r="N9" s="21">
        <f>N6-N8</f>
        <v/>
      </c>
      <c r="O9" s="21">
        <f>O6-O8</f>
        <v/>
      </c>
      <c r="P9" s="21">
        <f>SUM(D9:O9)</f>
        <v/>
      </c>
      <c r="Q9" s="22" t="inlineStr"/>
    </row>
    <row r="10" ht="17" customHeight="1">
      <c r="C10" s="12" t="inlineStr">
        <is>
          <t>退货率</t>
        </is>
      </c>
      <c r="D10" s="13" t="n">
        <v>0.05</v>
      </c>
      <c r="E10" s="13" t="n">
        <v>0.05</v>
      </c>
      <c r="F10" s="13" t="n">
        <v>0.05</v>
      </c>
      <c r="G10" s="13" t="n">
        <v>0.05</v>
      </c>
      <c r="H10" s="13" t="n">
        <v>0.05</v>
      </c>
      <c r="I10" s="13" t="n">
        <v>0.05</v>
      </c>
      <c r="J10" s="13" t="n">
        <v>0.05</v>
      </c>
      <c r="K10" s="13" t="n">
        <v>0.05</v>
      </c>
      <c r="L10" s="13" t="n">
        <v>0.05</v>
      </c>
      <c r="M10" s="13" t="n">
        <v>0.05</v>
      </c>
      <c r="N10" s="13" t="n">
        <v>0.05</v>
      </c>
      <c r="O10" s="13" t="n">
        <v>0.05</v>
      </c>
      <c r="P10" s="14">
        <f>SUM(D10:O10)</f>
        <v/>
      </c>
      <c r="Q10" s="15" t="inlineStr"/>
    </row>
    <row r="11" ht="17" customHeight="1">
      <c r="C11" s="20" t="inlineStr">
        <is>
          <t>GSV（去退货）</t>
        </is>
      </c>
      <c r="D11" s="21">
        <f>D9*(1-D10)</f>
        <v/>
      </c>
      <c r="E11" s="21">
        <f>E9*(1-E10)</f>
        <v/>
      </c>
      <c r="F11" s="21">
        <f>F9*(1-F10)</f>
        <v/>
      </c>
      <c r="G11" s="21">
        <f>G9*(1-G10)</f>
        <v/>
      </c>
      <c r="H11" s="21">
        <f>H9*(1-H10)</f>
        <v/>
      </c>
      <c r="I11" s="21">
        <f>I9*(1-I10)</f>
        <v/>
      </c>
      <c r="J11" s="21">
        <f>J9*(1-J10)</f>
        <v/>
      </c>
      <c r="K11" s="21">
        <f>K9*(1-K10)</f>
        <v/>
      </c>
      <c r="L11" s="21">
        <f>L9*(1-L10)</f>
        <v/>
      </c>
      <c r="M11" s="21">
        <f>M9*(1-M10)</f>
        <v/>
      </c>
      <c r="N11" s="21">
        <f>N9*(1-N10)</f>
        <v/>
      </c>
      <c r="O11" s="21">
        <f>O9*(1-O10)</f>
        <v/>
      </c>
      <c r="P11" s="21">
        <f>SUM(D11:O11)</f>
        <v/>
      </c>
      <c r="Q11" s="22" t="inlineStr"/>
    </row>
    <row r="12" ht="6" customHeight="1"/>
    <row r="13" ht="18" customHeight="1">
      <c r="C13" s="6" t="inlineStr">
        <is>
          <t xml:space="preserve">  二、营业收入层</t>
        </is>
      </c>
    </row>
    <row r="14" ht="17" customHeight="1">
      <c r="C14" s="12" t="inlineStr">
        <is>
          <t>合同折扣及返利费率（线下）</t>
        </is>
      </c>
      <c r="D14" s="13" t="n">
        <v>0</v>
      </c>
      <c r="E14" s="13" t="n">
        <v>0</v>
      </c>
      <c r="F14" s="13" t="n">
        <v>0</v>
      </c>
      <c r="G14" s="13" t="n">
        <v>0</v>
      </c>
      <c r="H14" s="13" t="n">
        <v>0</v>
      </c>
      <c r="I14" s="13" t="n">
        <v>0</v>
      </c>
      <c r="J14" s="13" t="n">
        <v>0</v>
      </c>
      <c r="K14" s="13" t="n">
        <v>0</v>
      </c>
      <c r="L14" s="13" t="n">
        <v>0</v>
      </c>
      <c r="M14" s="13" t="n">
        <v>0</v>
      </c>
      <c r="N14" s="13" t="n">
        <v>0</v>
      </c>
      <c r="O14" s="13" t="n">
        <v>0</v>
      </c>
      <c r="P14" s="14">
        <f>SUM(D14:O14)</f>
        <v/>
      </c>
      <c r="Q14" s="15" t="inlineStr"/>
    </row>
    <row r="15" ht="17" customHeight="1">
      <c r="C15" s="12" t="inlineStr">
        <is>
          <t>国补/自补折扣费率（线上）</t>
        </is>
      </c>
      <c r="D15" s="13" t="n">
        <v>0.1</v>
      </c>
      <c r="E15" s="13" t="n">
        <v>0.1</v>
      </c>
      <c r="F15" s="13" t="n">
        <v>0.1</v>
      </c>
      <c r="G15" s="13" t="n">
        <v>0.1</v>
      </c>
      <c r="H15" s="13" t="n">
        <v>0.1</v>
      </c>
      <c r="I15" s="13" t="n">
        <v>0.1</v>
      </c>
      <c r="J15" s="13" t="n">
        <v>0.1</v>
      </c>
      <c r="K15" s="13" t="n">
        <v>0.1</v>
      </c>
      <c r="L15" s="13" t="n">
        <v>0.1</v>
      </c>
      <c r="M15" s="13" t="n">
        <v>0.1</v>
      </c>
      <c r="N15" s="13" t="n">
        <v>0.1</v>
      </c>
      <c r="O15" s="13" t="n">
        <v>0.1</v>
      </c>
      <c r="P15" s="14">
        <f>SUM(D15:O15)</f>
        <v/>
      </c>
      <c r="Q15" s="15" t="inlineStr"/>
    </row>
    <row r="16" ht="17" customHeight="1">
      <c r="C16" s="12" t="inlineStr">
        <is>
          <t>红包/促销折扣费率</t>
        </is>
      </c>
      <c r="D16" s="13" t="n">
        <v>0.1</v>
      </c>
      <c r="E16" s="13" t="n">
        <v>0.1</v>
      </c>
      <c r="F16" s="13" t="n">
        <v>0.1</v>
      </c>
      <c r="G16" s="13" t="n">
        <v>0.1</v>
      </c>
      <c r="H16" s="13" t="n">
        <v>0.1</v>
      </c>
      <c r="I16" s="13" t="n">
        <v>0.1</v>
      </c>
      <c r="J16" s="13" t="n">
        <v>0.1</v>
      </c>
      <c r="K16" s="13" t="n">
        <v>0.1</v>
      </c>
      <c r="L16" s="13" t="n">
        <v>0.1</v>
      </c>
      <c r="M16" s="13" t="n">
        <v>0.1</v>
      </c>
      <c r="N16" s="13" t="n">
        <v>0.1</v>
      </c>
      <c r="O16" s="13" t="n">
        <v>0.1</v>
      </c>
      <c r="P16" s="14">
        <f>SUM(D16:O16)</f>
        <v/>
      </c>
      <c r="Q16" s="15" t="inlineStr"/>
    </row>
    <row r="17" ht="17" customHeight="1">
      <c r="C17" s="16" t="inlineStr">
        <is>
          <t>TTL折扣合计</t>
        </is>
      </c>
      <c r="D17" s="17">
        <f>(D14+D15+D16)*D11</f>
        <v/>
      </c>
      <c r="E17" s="17">
        <f>(E14+E15+E16)*E11</f>
        <v/>
      </c>
      <c r="F17" s="17">
        <f>(F14+F15+F16)*F11</f>
        <v/>
      </c>
      <c r="G17" s="17">
        <f>(G14+G15+G16)*G11</f>
        <v/>
      </c>
      <c r="H17" s="17">
        <f>(H14+H15+H16)*H11</f>
        <v/>
      </c>
      <c r="I17" s="17">
        <f>(I14+I15+I16)*I11</f>
        <v/>
      </c>
      <c r="J17" s="17">
        <f>(J14+J15+J16)*J11</f>
        <v/>
      </c>
      <c r="K17" s="17">
        <f>(K14+K15+K16)*K11</f>
        <v/>
      </c>
      <c r="L17" s="17">
        <f>(L14+L15+L16)*L11</f>
        <v/>
      </c>
      <c r="M17" s="17">
        <f>(M14+M15+M16)*M11</f>
        <v/>
      </c>
      <c r="N17" s="17">
        <f>(N14+N15+N16)*N11</f>
        <v/>
      </c>
      <c r="O17" s="17">
        <f>(O14+O15+O16)*O11</f>
        <v/>
      </c>
      <c r="P17" s="18">
        <f>SUM(D17:O17)</f>
        <v/>
      </c>
      <c r="Q17" s="19" t="inlineStr"/>
    </row>
    <row r="18" ht="17" customHeight="1">
      <c r="C18" s="20" t="inlineStr">
        <is>
          <t>营业收入（净销售收入）</t>
        </is>
      </c>
      <c r="D18" s="21">
        <f>D11-D17</f>
        <v/>
      </c>
      <c r="E18" s="21">
        <f>E11-E17</f>
        <v/>
      </c>
      <c r="F18" s="21">
        <f>F11-F17</f>
        <v/>
      </c>
      <c r="G18" s="21">
        <f>G11-G17</f>
        <v/>
      </c>
      <c r="H18" s="21">
        <f>H11-H17</f>
        <v/>
      </c>
      <c r="I18" s="21">
        <f>I11-I17</f>
        <v/>
      </c>
      <c r="J18" s="21">
        <f>J11-J17</f>
        <v/>
      </c>
      <c r="K18" s="21">
        <f>K11-K17</f>
        <v/>
      </c>
      <c r="L18" s="21">
        <f>L11-L17</f>
        <v/>
      </c>
      <c r="M18" s="21">
        <f>M11-M17</f>
        <v/>
      </c>
      <c r="N18" s="21">
        <f>N11-N17</f>
        <v/>
      </c>
      <c r="O18" s="21">
        <f>O11-O17</f>
        <v/>
      </c>
      <c r="P18" s="21">
        <f>SUM(D18:O18)</f>
        <v/>
      </c>
      <c r="Q18" s="22" t="inlineStr"/>
    </row>
    <row r="19" ht="6" customHeight="1"/>
    <row r="20" ht="18" customHeight="1">
      <c r="C20" s="6" t="inlineStr">
        <is>
          <t xml:space="preserve">  三、毛利层</t>
        </is>
      </c>
    </row>
    <row r="21" ht="17" customHeight="1">
      <c r="C21" s="12" t="inlineStr">
        <is>
          <t>标准主品及配件成本率</t>
        </is>
      </c>
      <c r="D21" s="13" t="n">
        <v>0.44</v>
      </c>
      <c r="E21" s="13" t="n">
        <v>0.44</v>
      </c>
      <c r="F21" s="13" t="n">
        <v>0.44</v>
      </c>
      <c r="G21" s="13" t="n">
        <v>0.44</v>
      </c>
      <c r="H21" s="13" t="n">
        <v>0.44</v>
      </c>
      <c r="I21" s="13" t="n">
        <v>0.44</v>
      </c>
      <c r="J21" s="13" t="n">
        <v>0.44</v>
      </c>
      <c r="K21" s="13" t="n">
        <v>0.44</v>
      </c>
      <c r="L21" s="13" t="n">
        <v>0.44</v>
      </c>
      <c r="M21" s="13" t="n">
        <v>0.44</v>
      </c>
      <c r="N21" s="13" t="n">
        <v>0.44</v>
      </c>
      <c r="O21" s="13" t="n">
        <v>0.44</v>
      </c>
      <c r="P21" s="14">
        <f>SUM(D21:O21)</f>
        <v/>
      </c>
      <c r="Q21" s="15" t="inlineStr"/>
    </row>
    <row r="22" ht="17" customHeight="1">
      <c r="C22" s="16" t="inlineStr">
        <is>
          <t>标准主品及配件成本</t>
        </is>
      </c>
      <c r="D22" s="17">
        <f>D18*D21</f>
        <v/>
      </c>
      <c r="E22" s="17">
        <f>E18*E21</f>
        <v/>
      </c>
      <c r="F22" s="17">
        <f>F18*F21</f>
        <v/>
      </c>
      <c r="G22" s="17">
        <f>G18*G21</f>
        <v/>
      </c>
      <c r="H22" s="17">
        <f>H18*H21</f>
        <v/>
      </c>
      <c r="I22" s="17">
        <f>I18*I21</f>
        <v/>
      </c>
      <c r="J22" s="17">
        <f>J18*J21</f>
        <v/>
      </c>
      <c r="K22" s="17">
        <f>K18*K21</f>
        <v/>
      </c>
      <c r="L22" s="17">
        <f>L18*L21</f>
        <v/>
      </c>
      <c r="M22" s="17">
        <f>M18*M21</f>
        <v/>
      </c>
      <c r="N22" s="17">
        <f>N18*N21</f>
        <v/>
      </c>
      <c r="O22" s="17">
        <f>O18*O21</f>
        <v/>
      </c>
      <c r="P22" s="18">
        <f>SUM(D22:O22)</f>
        <v/>
      </c>
      <c r="Q22" s="19" t="inlineStr"/>
    </row>
    <row r="23" ht="17" customHeight="1">
      <c r="C23" s="20" t="inlineStr">
        <is>
          <t>产品毛利</t>
        </is>
      </c>
      <c r="D23" s="21">
        <f>D18-D22</f>
        <v/>
      </c>
      <c r="E23" s="21">
        <f>E18-E22</f>
        <v/>
      </c>
      <c r="F23" s="21">
        <f>F18-F22</f>
        <v/>
      </c>
      <c r="G23" s="21">
        <f>G18-G22</f>
        <v/>
      </c>
      <c r="H23" s="21">
        <f>H18-H22</f>
        <v/>
      </c>
      <c r="I23" s="21">
        <f>I18-I22</f>
        <v/>
      </c>
      <c r="J23" s="21">
        <f>J18-J22</f>
        <v/>
      </c>
      <c r="K23" s="21">
        <f>K18-K22</f>
        <v/>
      </c>
      <c r="L23" s="21">
        <f>L18-L22</f>
        <v/>
      </c>
      <c r="M23" s="21">
        <f>M18-M22</f>
        <v/>
      </c>
      <c r="N23" s="21">
        <f>N18-N22</f>
        <v/>
      </c>
      <c r="O23" s="21">
        <f>O18-O22</f>
        <v/>
      </c>
      <c r="P23" s="21">
        <f>SUM(D23:O23)</f>
        <v/>
      </c>
      <c r="Q23" s="22" t="inlineStr"/>
    </row>
    <row r="24" ht="17" customHeight="1">
      <c r="C24" s="12" t="inlineStr">
        <is>
          <t>物流/仓储费率</t>
        </is>
      </c>
      <c r="D24" s="13" t="n">
        <v>0.025</v>
      </c>
      <c r="E24" s="13" t="n">
        <v>0.025</v>
      </c>
      <c r="F24" s="13" t="n">
        <v>0.025</v>
      </c>
      <c r="G24" s="13" t="n">
        <v>0.025</v>
      </c>
      <c r="H24" s="13" t="n">
        <v>0.025</v>
      </c>
      <c r="I24" s="13" t="n">
        <v>0.025</v>
      </c>
      <c r="J24" s="13" t="n">
        <v>0.025</v>
      </c>
      <c r="K24" s="13" t="n">
        <v>0.025</v>
      </c>
      <c r="L24" s="13" t="n">
        <v>0.025</v>
      </c>
      <c r="M24" s="13" t="n">
        <v>0.025</v>
      </c>
      <c r="N24" s="13" t="n">
        <v>0.025</v>
      </c>
      <c r="O24" s="13" t="n">
        <v>0.025</v>
      </c>
      <c r="P24" s="14">
        <f>SUM(D24:O24)</f>
        <v/>
      </c>
      <c r="Q24" s="15" t="inlineStr"/>
    </row>
    <row r="25" ht="17" customHeight="1">
      <c r="C25" s="16" t="inlineStr">
        <is>
          <t>物流/仓储费用</t>
        </is>
      </c>
      <c r="D25" s="17">
        <f>D18*D24</f>
        <v/>
      </c>
      <c r="E25" s="17">
        <f>E18*E24</f>
        <v/>
      </c>
      <c r="F25" s="17">
        <f>F18*F24</f>
        <v/>
      </c>
      <c r="G25" s="17">
        <f>G18*G24</f>
        <v/>
      </c>
      <c r="H25" s="17">
        <f>H18*H24</f>
        <v/>
      </c>
      <c r="I25" s="17">
        <f>I18*I24</f>
        <v/>
      </c>
      <c r="J25" s="17">
        <f>J18*J24</f>
        <v/>
      </c>
      <c r="K25" s="17">
        <f>K18*K24</f>
        <v/>
      </c>
      <c r="L25" s="17">
        <f>L18*L24</f>
        <v/>
      </c>
      <c r="M25" s="17">
        <f>M18*M24</f>
        <v/>
      </c>
      <c r="N25" s="17">
        <f>N18*N24</f>
        <v/>
      </c>
      <c r="O25" s="17">
        <f>O18*O24</f>
        <v/>
      </c>
      <c r="P25" s="18">
        <f>SUM(D25:O25)</f>
        <v/>
      </c>
      <c r="Q25" s="19" t="inlineStr"/>
    </row>
    <row r="26" ht="17" customHeight="1">
      <c r="C26" s="20" t="inlineStr">
        <is>
          <t>净毛利</t>
        </is>
      </c>
      <c r="D26" s="21">
        <f>D23-D25</f>
        <v/>
      </c>
      <c r="E26" s="21">
        <f>E23-E25</f>
        <v/>
      </c>
      <c r="F26" s="21">
        <f>F23-F25</f>
        <v/>
      </c>
      <c r="G26" s="21">
        <f>G23-G25</f>
        <v/>
      </c>
      <c r="H26" s="21">
        <f>H23-H25</f>
        <v/>
      </c>
      <c r="I26" s="21">
        <f>I23-I25</f>
        <v/>
      </c>
      <c r="J26" s="21">
        <f>J23-J25</f>
        <v/>
      </c>
      <c r="K26" s="21">
        <f>K23-K25</f>
        <v/>
      </c>
      <c r="L26" s="21">
        <f>L23-L25</f>
        <v/>
      </c>
      <c r="M26" s="21">
        <f>M23-M25</f>
        <v/>
      </c>
      <c r="N26" s="21">
        <f>N23-N25</f>
        <v/>
      </c>
      <c r="O26" s="21">
        <f>O23-O25</f>
        <v/>
      </c>
      <c r="P26" s="21">
        <f>SUM(D26:O26)</f>
        <v/>
      </c>
      <c r="Q26" s="22" t="inlineStr"/>
    </row>
    <row r="27" ht="6" customHeight="1"/>
    <row r="28" ht="18" customHeight="1">
      <c r="C28" s="6" t="inlineStr">
        <is>
          <t xml:space="preserve">  四、A&amp;P 营销与运营费用</t>
        </is>
      </c>
    </row>
    <row r="29" ht="17" customHeight="1">
      <c r="C29" s="12" t="inlineStr">
        <is>
          <t>品牌/内容/达人费率</t>
        </is>
      </c>
      <c r="D29" s="13" t="n">
        <v>0.07000000000000001</v>
      </c>
      <c r="E29" s="13" t="n">
        <v>0.07000000000000001</v>
      </c>
      <c r="F29" s="13" t="n">
        <v>0.07000000000000001</v>
      </c>
      <c r="G29" s="13" t="n">
        <v>0.07000000000000001</v>
      </c>
      <c r="H29" s="13" t="n">
        <v>0.07000000000000001</v>
      </c>
      <c r="I29" s="13" t="n">
        <v>0.07000000000000001</v>
      </c>
      <c r="J29" s="13" t="n">
        <v>0.07000000000000001</v>
      </c>
      <c r="K29" s="13" t="n">
        <v>0.07000000000000001</v>
      </c>
      <c r="L29" s="13" t="n">
        <v>0.07000000000000001</v>
      </c>
      <c r="M29" s="13" t="n">
        <v>0.07000000000000001</v>
      </c>
      <c r="N29" s="13" t="n">
        <v>0.07000000000000001</v>
      </c>
      <c r="O29" s="13" t="n">
        <v>0.07000000000000001</v>
      </c>
      <c r="P29" s="14">
        <f>SUM(D29:O29)</f>
        <v/>
      </c>
      <c r="Q29" s="15" t="inlineStr"/>
    </row>
    <row r="30" ht="17" customHeight="1">
      <c r="C30" s="16" t="inlineStr">
        <is>
          <t>品牌内容费用</t>
        </is>
      </c>
      <c r="D30" s="17">
        <f>D18*D29</f>
        <v/>
      </c>
      <c r="E30" s="17">
        <f>E18*E29</f>
        <v/>
      </c>
      <c r="F30" s="17">
        <f>F18*F29</f>
        <v/>
      </c>
      <c r="G30" s="17">
        <f>G18*G29</f>
        <v/>
      </c>
      <c r="H30" s="17">
        <f>H18*H29</f>
        <v/>
      </c>
      <c r="I30" s="17">
        <f>I18*I29</f>
        <v/>
      </c>
      <c r="J30" s="17">
        <f>J18*J29</f>
        <v/>
      </c>
      <c r="K30" s="17">
        <f>K18*K29</f>
        <v/>
      </c>
      <c r="L30" s="17">
        <f>L18*L29</f>
        <v/>
      </c>
      <c r="M30" s="17">
        <f>M18*M29</f>
        <v/>
      </c>
      <c r="N30" s="17">
        <f>N18*N29</f>
        <v/>
      </c>
      <c r="O30" s="17">
        <f>O18*O29</f>
        <v/>
      </c>
      <c r="P30" s="18">
        <f>SUM(D30:O30)</f>
        <v/>
      </c>
      <c r="Q30" s="19" t="inlineStr"/>
    </row>
    <row r="31" ht="17" customHeight="1">
      <c r="C31" s="12" t="inlineStr">
        <is>
          <t>站内投放费率</t>
        </is>
      </c>
      <c r="D31" s="13" t="n">
        <v>0.08</v>
      </c>
      <c r="E31" s="13" t="n">
        <v>0.08</v>
      </c>
      <c r="F31" s="13" t="n">
        <v>0.08</v>
      </c>
      <c r="G31" s="13" t="n">
        <v>0.08</v>
      </c>
      <c r="H31" s="13" t="n">
        <v>0.08</v>
      </c>
      <c r="I31" s="13" t="n">
        <v>0.08</v>
      </c>
      <c r="J31" s="13" t="n">
        <v>0.08</v>
      </c>
      <c r="K31" s="13" t="n">
        <v>0.08</v>
      </c>
      <c r="L31" s="13" t="n">
        <v>0.08</v>
      </c>
      <c r="M31" s="13" t="n">
        <v>0.08</v>
      </c>
      <c r="N31" s="13" t="n">
        <v>0.08</v>
      </c>
      <c r="O31" s="13" t="n">
        <v>0.08</v>
      </c>
      <c r="P31" s="14">
        <f>SUM(D31:O31)</f>
        <v/>
      </c>
      <c r="Q31" s="15" t="inlineStr"/>
    </row>
    <row r="32" ht="17" customHeight="1">
      <c r="C32" s="12" t="inlineStr">
        <is>
          <t>千川投放费率</t>
        </is>
      </c>
      <c r="D32" s="13" t="n">
        <v>0.06</v>
      </c>
      <c r="E32" s="13" t="n">
        <v>0.06</v>
      </c>
      <c r="F32" s="13" t="n">
        <v>0.06</v>
      </c>
      <c r="G32" s="13" t="n">
        <v>0.06</v>
      </c>
      <c r="H32" s="13" t="n">
        <v>0.06</v>
      </c>
      <c r="I32" s="13" t="n">
        <v>0.06</v>
      </c>
      <c r="J32" s="13" t="n">
        <v>0.06</v>
      </c>
      <c r="K32" s="13" t="n">
        <v>0.06</v>
      </c>
      <c r="L32" s="13" t="n">
        <v>0.06</v>
      </c>
      <c r="M32" s="13" t="n">
        <v>0.06</v>
      </c>
      <c r="N32" s="13" t="n">
        <v>0.06</v>
      </c>
      <c r="O32" s="13" t="n">
        <v>0.06</v>
      </c>
      <c r="P32" s="14">
        <f>SUM(D32:O32)</f>
        <v/>
      </c>
      <c r="Q32" s="15" t="inlineStr"/>
    </row>
    <row r="33" ht="17" customHeight="1">
      <c r="C33" s="12" t="inlineStr">
        <is>
          <t>站外投放费率</t>
        </is>
      </c>
      <c r="D33" s="13" t="n">
        <v>0.02</v>
      </c>
      <c r="E33" s="13" t="n">
        <v>0.02</v>
      </c>
      <c r="F33" s="13" t="n">
        <v>0.02</v>
      </c>
      <c r="G33" s="13" t="n">
        <v>0.02</v>
      </c>
      <c r="H33" s="13" t="n">
        <v>0.02</v>
      </c>
      <c r="I33" s="13" t="n">
        <v>0.02</v>
      </c>
      <c r="J33" s="13" t="n">
        <v>0.02</v>
      </c>
      <c r="K33" s="13" t="n">
        <v>0.02</v>
      </c>
      <c r="L33" s="13" t="n">
        <v>0.02</v>
      </c>
      <c r="M33" s="13" t="n">
        <v>0.02</v>
      </c>
      <c r="N33" s="13" t="n">
        <v>0.02</v>
      </c>
      <c r="O33" s="13" t="n">
        <v>0.02</v>
      </c>
      <c r="P33" s="14">
        <f>SUM(D33:O33)</f>
        <v/>
      </c>
      <c r="Q33" s="15" t="inlineStr"/>
    </row>
    <row r="34" ht="17" customHeight="1">
      <c r="C34" s="16" t="inlineStr">
        <is>
          <t>效果广告合计</t>
        </is>
      </c>
      <c r="D34" s="17">
        <f>(D31+D32+D33)*D18</f>
        <v/>
      </c>
      <c r="E34" s="17">
        <f>(E31+E32+E33)*E18</f>
        <v/>
      </c>
      <c r="F34" s="17">
        <f>(F31+F32+F33)*F18</f>
        <v/>
      </c>
      <c r="G34" s="17">
        <f>(G31+G32+G33)*G18</f>
        <v/>
      </c>
      <c r="H34" s="17">
        <f>(H31+H32+H33)*H18</f>
        <v/>
      </c>
      <c r="I34" s="17">
        <f>(I31+I32+I33)*I18</f>
        <v/>
      </c>
      <c r="J34" s="17">
        <f>(J31+J32+J33)*J18</f>
        <v/>
      </c>
      <c r="K34" s="17">
        <f>(K31+K32+K33)*K18</f>
        <v/>
      </c>
      <c r="L34" s="17">
        <f>(L31+L32+L33)*L18</f>
        <v/>
      </c>
      <c r="M34" s="17">
        <f>(M31+M32+M33)*M18</f>
        <v/>
      </c>
      <c r="N34" s="17">
        <f>(N31+N32+N33)*N18</f>
        <v/>
      </c>
      <c r="O34" s="17">
        <f>(O31+O32+O33)*O18</f>
        <v/>
      </c>
      <c r="P34" s="18">
        <f>SUM(D34:O34)</f>
        <v/>
      </c>
      <c r="Q34" s="19" t="inlineStr"/>
    </row>
    <row r="35" ht="17" customHeight="1">
      <c r="C35" s="12" t="inlineStr">
        <is>
          <t>线上运营费率（直播+赠品）</t>
        </is>
      </c>
      <c r="D35" s="13" t="n">
        <v>0.03</v>
      </c>
      <c r="E35" s="13" t="n">
        <v>0.03</v>
      </c>
      <c r="F35" s="13" t="n">
        <v>0.03</v>
      </c>
      <c r="G35" s="13" t="n">
        <v>0.03</v>
      </c>
      <c r="H35" s="13" t="n">
        <v>0.03</v>
      </c>
      <c r="I35" s="13" t="n">
        <v>0.03</v>
      </c>
      <c r="J35" s="13" t="n">
        <v>0.03</v>
      </c>
      <c r="K35" s="13" t="n">
        <v>0.03</v>
      </c>
      <c r="L35" s="13" t="n">
        <v>0.03</v>
      </c>
      <c r="M35" s="13" t="n">
        <v>0.03</v>
      </c>
      <c r="N35" s="13" t="n">
        <v>0.03</v>
      </c>
      <c r="O35" s="13" t="n">
        <v>0.03</v>
      </c>
      <c r="P35" s="14">
        <f>SUM(D35:O35)</f>
        <v/>
      </c>
      <c r="Q35" s="15" t="inlineStr"/>
    </row>
    <row r="36" ht="17" customHeight="1">
      <c r="C36" s="16" t="inlineStr">
        <is>
          <t>线上运营费用</t>
        </is>
      </c>
      <c r="D36" s="17">
        <f>D18*D35</f>
        <v/>
      </c>
      <c r="E36" s="17">
        <f>E18*E35</f>
        <v/>
      </c>
      <c r="F36" s="17">
        <f>F18*F35</f>
        <v/>
      </c>
      <c r="G36" s="17">
        <f>G18*G35</f>
        <v/>
      </c>
      <c r="H36" s="17">
        <f>H18*H35</f>
        <v/>
      </c>
      <c r="I36" s="17">
        <f>I18*I35</f>
        <v/>
      </c>
      <c r="J36" s="17">
        <f>J18*J35</f>
        <v/>
      </c>
      <c r="K36" s="17">
        <f>K18*K35</f>
        <v/>
      </c>
      <c r="L36" s="17">
        <f>L18*L35</f>
        <v/>
      </c>
      <c r="M36" s="17">
        <f>M18*M35</f>
        <v/>
      </c>
      <c r="N36" s="17">
        <f>N18*N35</f>
        <v/>
      </c>
      <c r="O36" s="17">
        <f>O18*O35</f>
        <v/>
      </c>
      <c r="P36" s="18">
        <f>SUM(D36:O36)</f>
        <v/>
      </c>
      <c r="Q36" s="19" t="inlineStr"/>
    </row>
    <row r="37" ht="17" customHeight="1">
      <c r="C37" s="7" t="inlineStr">
        <is>
          <t>线下市场/渠道费用（预算）</t>
        </is>
      </c>
      <c r="D37" s="8" t="n">
        <v>0</v>
      </c>
      <c r="E37" s="8" t="n">
        <v>0</v>
      </c>
      <c r="F37" s="8" t="n">
        <v>0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0</v>
      </c>
      <c r="M37" s="8" t="n">
        <v>0</v>
      </c>
      <c r="N37" s="8" t="n">
        <v>0</v>
      </c>
      <c r="O37" s="8" t="n">
        <v>0</v>
      </c>
      <c r="P37" s="9">
        <f>SUM(D37:O37)</f>
        <v/>
      </c>
      <c r="Q37" s="10" t="inlineStr"/>
    </row>
    <row r="38" ht="17" customHeight="1">
      <c r="C38" s="12" t="inlineStr">
        <is>
          <t>平台佣金费率</t>
        </is>
      </c>
      <c r="D38" s="13" t="n">
        <v>0</v>
      </c>
      <c r="E38" s="13" t="n">
        <v>0</v>
      </c>
      <c r="F38" s="13" t="n">
        <v>0</v>
      </c>
      <c r="G38" s="13" t="n">
        <v>0</v>
      </c>
      <c r="H38" s="13" t="n">
        <v>0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0</v>
      </c>
      <c r="N38" s="13" t="n">
        <v>0</v>
      </c>
      <c r="O38" s="13" t="n">
        <v>0</v>
      </c>
      <c r="P38" s="14">
        <f>SUM(D38:O38)</f>
        <v/>
      </c>
      <c r="Q38" s="15" t="inlineStr"/>
    </row>
    <row r="39" ht="17" customHeight="1">
      <c r="C39" s="16" t="inlineStr">
        <is>
          <t>平台佣金</t>
        </is>
      </c>
      <c r="D39" s="17">
        <f>D18*D38</f>
        <v/>
      </c>
      <c r="E39" s="17">
        <f>E18*E38</f>
        <v/>
      </c>
      <c r="F39" s="17">
        <f>F18*F38</f>
        <v/>
      </c>
      <c r="G39" s="17">
        <f>G18*G38</f>
        <v/>
      </c>
      <c r="H39" s="17">
        <f>H18*H38</f>
        <v/>
      </c>
      <c r="I39" s="17">
        <f>I18*I38</f>
        <v/>
      </c>
      <c r="J39" s="17">
        <f>J18*J38</f>
        <v/>
      </c>
      <c r="K39" s="17">
        <f>K18*K38</f>
        <v/>
      </c>
      <c r="L39" s="17">
        <f>L18*L38</f>
        <v/>
      </c>
      <c r="M39" s="17">
        <f>M18*M38</f>
        <v/>
      </c>
      <c r="N39" s="17">
        <f>N18*N38</f>
        <v/>
      </c>
      <c r="O39" s="17">
        <f>O18*O38</f>
        <v/>
      </c>
      <c r="P39" s="18">
        <f>SUM(D39:O39)</f>
        <v/>
      </c>
      <c r="Q39" s="19" t="inlineStr"/>
    </row>
    <row r="40" ht="17" customHeight="1">
      <c r="C40" s="12" t="inlineStr">
        <is>
          <t>平台其他费率</t>
        </is>
      </c>
      <c r="D40" s="13" t="n">
        <v>0.014</v>
      </c>
      <c r="E40" s="13" t="n">
        <v>0.014</v>
      </c>
      <c r="F40" s="13" t="n">
        <v>0.014</v>
      </c>
      <c r="G40" s="13" t="n">
        <v>0.014</v>
      </c>
      <c r="H40" s="13" t="n">
        <v>0.014</v>
      </c>
      <c r="I40" s="13" t="n">
        <v>0.014</v>
      </c>
      <c r="J40" s="13" t="n">
        <v>0.014</v>
      </c>
      <c r="K40" s="13" t="n">
        <v>0.014</v>
      </c>
      <c r="L40" s="13" t="n">
        <v>0.014</v>
      </c>
      <c r="M40" s="13" t="n">
        <v>0.014</v>
      </c>
      <c r="N40" s="13" t="n">
        <v>0.014</v>
      </c>
      <c r="O40" s="13" t="n">
        <v>0.014</v>
      </c>
      <c r="P40" s="14">
        <f>SUM(D40:O40)</f>
        <v/>
      </c>
      <c r="Q40" s="15" t="inlineStr"/>
    </row>
    <row r="41" ht="17" customHeight="1">
      <c r="C41" s="16" t="inlineStr">
        <is>
          <t>平台其他费用</t>
        </is>
      </c>
      <c r="D41" s="17">
        <f>D18*D40</f>
        <v/>
      </c>
      <c r="E41" s="17">
        <f>E18*E40</f>
        <v/>
      </c>
      <c r="F41" s="17">
        <f>F18*F40</f>
        <v/>
      </c>
      <c r="G41" s="17">
        <f>G18*G40</f>
        <v/>
      </c>
      <c r="H41" s="17">
        <f>H18*H40</f>
        <v/>
      </c>
      <c r="I41" s="17">
        <f>I18*I40</f>
        <v/>
      </c>
      <c r="J41" s="17">
        <f>J18*J40</f>
        <v/>
      </c>
      <c r="K41" s="17">
        <f>K18*K40</f>
        <v/>
      </c>
      <c r="L41" s="17">
        <f>L18*L40</f>
        <v/>
      </c>
      <c r="M41" s="17">
        <f>M18*M40</f>
        <v/>
      </c>
      <c r="N41" s="17">
        <f>N18*N40</f>
        <v/>
      </c>
      <c r="O41" s="17">
        <f>O18*O40</f>
        <v/>
      </c>
      <c r="P41" s="18">
        <f>SUM(D41:O41)</f>
        <v/>
      </c>
      <c r="Q41" s="19" t="inlineStr"/>
    </row>
    <row r="42" ht="17" customHeight="1">
      <c r="C42" s="12" t="inlineStr">
        <is>
          <t>售后费率</t>
        </is>
      </c>
      <c r="D42" s="13" t="n">
        <v>0.03</v>
      </c>
      <c r="E42" s="13" t="n">
        <v>0.03</v>
      </c>
      <c r="F42" s="13" t="n">
        <v>0.03</v>
      </c>
      <c r="G42" s="13" t="n">
        <v>0.03</v>
      </c>
      <c r="H42" s="13" t="n">
        <v>0.03</v>
      </c>
      <c r="I42" s="13" t="n">
        <v>0.03</v>
      </c>
      <c r="J42" s="13" t="n">
        <v>0.03</v>
      </c>
      <c r="K42" s="13" t="n">
        <v>0.03</v>
      </c>
      <c r="L42" s="13" t="n">
        <v>0.03</v>
      </c>
      <c r="M42" s="13" t="n">
        <v>0.03</v>
      </c>
      <c r="N42" s="13" t="n">
        <v>0.03</v>
      </c>
      <c r="O42" s="13" t="n">
        <v>0.03</v>
      </c>
      <c r="P42" s="14">
        <f>SUM(D42:O42)</f>
        <v/>
      </c>
      <c r="Q42" s="15" t="inlineStr"/>
    </row>
    <row r="43" ht="17" customHeight="1">
      <c r="C43" s="16" t="inlineStr">
        <is>
          <t>售后费用</t>
        </is>
      </c>
      <c r="D43" s="17">
        <f>D18*D42</f>
        <v/>
      </c>
      <c r="E43" s="17">
        <f>E18*E42</f>
        <v/>
      </c>
      <c r="F43" s="17">
        <f>F18*F42</f>
        <v/>
      </c>
      <c r="G43" s="17">
        <f>G18*G42</f>
        <v/>
      </c>
      <c r="H43" s="17">
        <f>H18*H42</f>
        <v/>
      </c>
      <c r="I43" s="17">
        <f>I18*I42</f>
        <v/>
      </c>
      <c r="J43" s="17">
        <f>J18*J42</f>
        <v/>
      </c>
      <c r="K43" s="17">
        <f>K18*K42</f>
        <v/>
      </c>
      <c r="L43" s="17">
        <f>L18*L42</f>
        <v/>
      </c>
      <c r="M43" s="17">
        <f>M18*M42</f>
        <v/>
      </c>
      <c r="N43" s="17">
        <f>N18*N42</f>
        <v/>
      </c>
      <c r="O43" s="17">
        <f>O18*O42</f>
        <v/>
      </c>
      <c r="P43" s="18">
        <f>SUM(D43:O43)</f>
        <v/>
      </c>
      <c r="Q43" s="19" t="inlineStr"/>
    </row>
    <row r="44" ht="17" customHeight="1">
      <c r="C44" s="12" t="inlineStr">
        <is>
          <t>店铺运营综合费率</t>
        </is>
      </c>
      <c r="D44" s="13" t="n">
        <v>0.098</v>
      </c>
      <c r="E44" s="13" t="n">
        <v>0.098</v>
      </c>
      <c r="F44" s="13" t="n">
        <v>0.098</v>
      </c>
      <c r="G44" s="13" t="n">
        <v>0.098</v>
      </c>
      <c r="H44" s="13" t="n">
        <v>0.098</v>
      </c>
      <c r="I44" s="13" t="n">
        <v>0.098</v>
      </c>
      <c r="J44" s="13" t="n">
        <v>0.098</v>
      </c>
      <c r="K44" s="13" t="n">
        <v>0.098</v>
      </c>
      <c r="L44" s="13" t="n">
        <v>0.098</v>
      </c>
      <c r="M44" s="13" t="n">
        <v>0.098</v>
      </c>
      <c r="N44" s="13" t="n">
        <v>0.098</v>
      </c>
      <c r="O44" s="13" t="n">
        <v>0.098</v>
      </c>
      <c r="P44" s="14">
        <f>SUM(D44:O44)</f>
        <v/>
      </c>
      <c r="Q44" s="15" t="inlineStr"/>
    </row>
    <row r="45" ht="17" customHeight="1">
      <c r="C45" s="16" t="inlineStr">
        <is>
          <t>店铺运营费用</t>
        </is>
      </c>
      <c r="D45" s="17">
        <f>D18*D44</f>
        <v/>
      </c>
      <c r="E45" s="17">
        <f>E18*E44</f>
        <v/>
      </c>
      <c r="F45" s="17">
        <f>F18*F44</f>
        <v/>
      </c>
      <c r="G45" s="17">
        <f>G18*G44</f>
        <v/>
      </c>
      <c r="H45" s="17">
        <f>H18*H44</f>
        <v/>
      </c>
      <c r="I45" s="17">
        <f>I18*I44</f>
        <v/>
      </c>
      <c r="J45" s="17">
        <f>J18*J44</f>
        <v/>
      </c>
      <c r="K45" s="17">
        <f>K18*K44</f>
        <v/>
      </c>
      <c r="L45" s="17">
        <f>L18*L44</f>
        <v/>
      </c>
      <c r="M45" s="17">
        <f>M18*M44</f>
        <v/>
      </c>
      <c r="N45" s="17">
        <f>N18*N44</f>
        <v/>
      </c>
      <c r="O45" s="17">
        <f>O18*O44</f>
        <v/>
      </c>
      <c r="P45" s="18">
        <f>SUM(D45:O45)</f>
        <v/>
      </c>
      <c r="Q45" s="19" t="inlineStr"/>
    </row>
    <row r="46" ht="17" customHeight="1">
      <c r="C46" s="20" t="inlineStr">
        <is>
          <t>A&amp;P 合计</t>
        </is>
      </c>
      <c r="D46" s="21">
        <f>D30+D34+D36+D37+D39+D41+D43+D45</f>
        <v/>
      </c>
      <c r="E46" s="21">
        <f>E30+E34+E36+E37+E39+E41+E43+E45</f>
        <v/>
      </c>
      <c r="F46" s="21">
        <f>F30+F34+F36+F37+F39+F41+F43+F45</f>
        <v/>
      </c>
      <c r="G46" s="21">
        <f>G30+G34+G36+G37+G39+G41+G43+G45</f>
        <v/>
      </c>
      <c r="H46" s="21">
        <f>H30+H34+H36+H37+H39+H41+H43+H45</f>
        <v/>
      </c>
      <c r="I46" s="21">
        <f>I30+I34+I36+I37+I39+I41+I43+I45</f>
        <v/>
      </c>
      <c r="J46" s="21">
        <f>J30+J34+J36+J37+J39+J41+J43+J45</f>
        <v/>
      </c>
      <c r="K46" s="21">
        <f>K30+K34+K36+K37+K39+K41+K43+K45</f>
        <v/>
      </c>
      <c r="L46" s="21">
        <f>L30+L34+L36+L37+L39+L41+L43+L45</f>
        <v/>
      </c>
      <c r="M46" s="21">
        <f>M30+M34+M36+M37+M39+M41+M43+M45</f>
        <v/>
      </c>
      <c r="N46" s="21">
        <f>N30+N34+N36+N37+N39+N41+N43+N45</f>
        <v/>
      </c>
      <c r="O46" s="21">
        <f>O30+O34+O36+O37+O39+O41+O43+O45</f>
        <v/>
      </c>
      <c r="P46" s="21">
        <f>SUM(D46:O46)</f>
        <v/>
      </c>
      <c r="Q46" s="22" t="inlineStr"/>
    </row>
    <row r="47" ht="6" customHeight="1"/>
    <row r="48" ht="18" customHeight="1">
      <c r="C48" s="6" t="inlineStr">
        <is>
          <t xml:space="preserve">  五、店铺利润（渠道贡献）</t>
        </is>
      </c>
    </row>
    <row r="49" ht="17" customHeight="1">
      <c r="C49" s="20" t="inlineStr">
        <is>
          <t>店铺利润</t>
        </is>
      </c>
      <c r="D49" s="21">
        <f>D26-D46</f>
        <v/>
      </c>
      <c r="E49" s="21">
        <f>E26-E46</f>
        <v/>
      </c>
      <c r="F49" s="21">
        <f>F26-F46</f>
        <v/>
      </c>
      <c r="G49" s="21">
        <f>G26-G46</f>
        <v/>
      </c>
      <c r="H49" s="21">
        <f>H26-H46</f>
        <v/>
      </c>
      <c r="I49" s="21">
        <f>I26-I46</f>
        <v/>
      </c>
      <c r="J49" s="21">
        <f>J26-J46</f>
        <v/>
      </c>
      <c r="K49" s="21">
        <f>K26-K46</f>
        <v/>
      </c>
      <c r="L49" s="21">
        <f>L26-L46</f>
        <v/>
      </c>
      <c r="M49" s="21">
        <f>M26-M46</f>
        <v/>
      </c>
      <c r="N49" s="21">
        <f>N26-N46</f>
        <v/>
      </c>
      <c r="O49" s="21">
        <f>O26-O46</f>
        <v/>
      </c>
      <c r="P49" s="21">
        <f>SUM(D49:O49)</f>
        <v/>
      </c>
      <c r="Q49" s="22" t="inlineStr"/>
    </row>
    <row r="50" ht="6" customHeight="1"/>
    <row r="51" ht="18" customHeight="1">
      <c r="C51" s="6" t="inlineStr">
        <is>
          <t xml:space="preserve">  六、BU 可控 / 贡献层</t>
        </is>
      </c>
    </row>
    <row r="52" ht="17" customHeight="1">
      <c r="C52" s="7" t="inlineStr">
        <is>
          <t>销售管理费用（预算）</t>
        </is>
      </c>
      <c r="D52" s="8" t="n">
        <v>500000</v>
      </c>
      <c r="E52" s="8" t="n">
        <v>500000</v>
      </c>
      <c r="F52" s="8" t="n">
        <v>500000</v>
      </c>
      <c r="G52" s="8" t="n">
        <v>500000</v>
      </c>
      <c r="H52" s="8" t="n">
        <v>500000</v>
      </c>
      <c r="I52" s="8" t="n">
        <v>500000</v>
      </c>
      <c r="J52" s="8" t="n">
        <v>500000</v>
      </c>
      <c r="K52" s="8" t="n">
        <v>500000</v>
      </c>
      <c r="L52" s="8" t="n">
        <v>500000</v>
      </c>
      <c r="M52" s="8" t="n">
        <v>500000</v>
      </c>
      <c r="N52" s="8" t="n">
        <v>500000</v>
      </c>
      <c r="O52" s="8" t="n">
        <v>500000</v>
      </c>
      <c r="P52" s="9">
        <f>SUM(D52:O52)</f>
        <v/>
      </c>
      <c r="Q52" s="10" t="inlineStr"/>
    </row>
    <row r="53" ht="17" customHeight="1">
      <c r="C53" s="7" t="inlineStr">
        <is>
          <t>研发费用（预算）</t>
        </is>
      </c>
      <c r="D53" s="8" t="n">
        <v>3000000</v>
      </c>
      <c r="E53" s="8" t="n">
        <v>3000000</v>
      </c>
      <c r="F53" s="8" t="n">
        <v>3000000</v>
      </c>
      <c r="G53" s="8" t="n">
        <v>3000000</v>
      </c>
      <c r="H53" s="8" t="n">
        <v>3000000</v>
      </c>
      <c r="I53" s="8" t="n">
        <v>3000000</v>
      </c>
      <c r="J53" s="8" t="n">
        <v>3000000</v>
      </c>
      <c r="K53" s="8" t="n">
        <v>3000000</v>
      </c>
      <c r="L53" s="8" t="n">
        <v>3000000</v>
      </c>
      <c r="M53" s="8" t="n">
        <v>3000000</v>
      </c>
      <c r="N53" s="8" t="n">
        <v>3000000</v>
      </c>
      <c r="O53" s="8" t="n">
        <v>3000000</v>
      </c>
      <c r="P53" s="9">
        <f>SUM(D53:O53)</f>
        <v/>
      </c>
      <c r="Q53" s="10" t="inlineStr"/>
    </row>
    <row r="54" ht="17" customHeight="1">
      <c r="C54" s="16" t="inlineStr">
        <is>
          <t>BU可控费用合计</t>
        </is>
      </c>
      <c r="D54" s="17">
        <f>D52+D53</f>
        <v/>
      </c>
      <c r="E54" s="17">
        <f>E52+E53</f>
        <v/>
      </c>
      <c r="F54" s="17">
        <f>F52+F53</f>
        <v/>
      </c>
      <c r="G54" s="17">
        <f>G52+G53</f>
        <v/>
      </c>
      <c r="H54" s="17">
        <f>H52+H53</f>
        <v/>
      </c>
      <c r="I54" s="17">
        <f>I52+I53</f>
        <v/>
      </c>
      <c r="J54" s="17">
        <f>J52+J53</f>
        <v/>
      </c>
      <c r="K54" s="17">
        <f>K52+K53</f>
        <v/>
      </c>
      <c r="L54" s="17">
        <f>L52+L53</f>
        <v/>
      </c>
      <c r="M54" s="17">
        <f>M52+M53</f>
        <v/>
      </c>
      <c r="N54" s="17">
        <f>N52+N53</f>
        <v/>
      </c>
      <c r="O54" s="17">
        <f>O52+O53</f>
        <v/>
      </c>
      <c r="P54" s="18">
        <f>SUM(D54:O54)</f>
        <v/>
      </c>
      <c r="Q54" s="19" t="inlineStr"/>
    </row>
    <row r="55" ht="17" customHeight="1">
      <c r="C55" s="20" t="inlineStr">
        <is>
          <t>BU 可控利润</t>
        </is>
      </c>
      <c r="D55" s="21">
        <f>D49-D54</f>
        <v/>
      </c>
      <c r="E55" s="21">
        <f>E49-E54</f>
        <v/>
      </c>
      <c r="F55" s="21">
        <f>F49-F54</f>
        <v/>
      </c>
      <c r="G55" s="21">
        <f>G49-G54</f>
        <v/>
      </c>
      <c r="H55" s="21">
        <f>H49-H54</f>
        <v/>
      </c>
      <c r="I55" s="21">
        <f>I49-I54</f>
        <v/>
      </c>
      <c r="J55" s="21">
        <f>J49-J54</f>
        <v/>
      </c>
      <c r="K55" s="21">
        <f>K49-K54</f>
        <v/>
      </c>
      <c r="L55" s="21">
        <f>L49-L54</f>
        <v/>
      </c>
      <c r="M55" s="21">
        <f>M49-M54</f>
        <v/>
      </c>
      <c r="N55" s="21">
        <f>N49-N54</f>
        <v/>
      </c>
      <c r="O55" s="21">
        <f>O49-O54</f>
        <v/>
      </c>
      <c r="P55" s="21">
        <f>SUM(D55:O55)</f>
        <v/>
      </c>
      <c r="Q55" s="22" t="inlineStr"/>
    </row>
    <row r="56" ht="17" customHeight="1">
      <c r="C56" s="7" t="inlineStr">
        <is>
          <t>BU 贡献费用（预算）</t>
        </is>
      </c>
      <c r="D56" s="8" t="n">
        <v>2800000</v>
      </c>
      <c r="E56" s="8" t="n">
        <v>2800000</v>
      </c>
      <c r="F56" s="8" t="n">
        <v>2800000</v>
      </c>
      <c r="G56" s="8" t="n">
        <v>2800000</v>
      </c>
      <c r="H56" s="8" t="n">
        <v>2800000</v>
      </c>
      <c r="I56" s="8" t="n">
        <v>2800000</v>
      </c>
      <c r="J56" s="8" t="n">
        <v>2800000</v>
      </c>
      <c r="K56" s="8" t="n">
        <v>2800000</v>
      </c>
      <c r="L56" s="8" t="n">
        <v>2800000</v>
      </c>
      <c r="M56" s="8" t="n">
        <v>2800000</v>
      </c>
      <c r="N56" s="8" t="n">
        <v>2800000</v>
      </c>
      <c r="O56" s="8" t="n">
        <v>2800000</v>
      </c>
      <c r="P56" s="9">
        <f>SUM(D56:O56)</f>
        <v/>
      </c>
      <c r="Q56" s="10" t="inlineStr"/>
    </row>
    <row r="57" ht="17" customHeight="1">
      <c r="C57" s="20" t="inlineStr">
        <is>
          <t>BU 贡献利润</t>
        </is>
      </c>
      <c r="D57" s="21">
        <f>D55-D56</f>
        <v/>
      </c>
      <c r="E57" s="21">
        <f>E55-E56</f>
        <v/>
      </c>
      <c r="F57" s="21">
        <f>F55-F56</f>
        <v/>
      </c>
      <c r="G57" s="21">
        <f>G55-G56</f>
        <v/>
      </c>
      <c r="H57" s="21">
        <f>H55-H56</f>
        <v/>
      </c>
      <c r="I57" s="21">
        <f>I55-I56</f>
        <v/>
      </c>
      <c r="J57" s="21">
        <f>J55-J56</f>
        <v/>
      </c>
      <c r="K57" s="21">
        <f>K55-K56</f>
        <v/>
      </c>
      <c r="L57" s="21">
        <f>L55-L56</f>
        <v/>
      </c>
      <c r="M57" s="21">
        <f>M55-M56</f>
        <v/>
      </c>
      <c r="N57" s="21">
        <f>N55-N56</f>
        <v/>
      </c>
      <c r="O57" s="21">
        <f>O55-O56</f>
        <v/>
      </c>
      <c r="P57" s="21">
        <f>SUM(D57:O57)</f>
        <v/>
      </c>
      <c r="Q57" s="22" t="inlineStr"/>
    </row>
    <row r="58" ht="17" customHeight="1">
      <c r="C58" s="7" t="inlineStr">
        <is>
          <t>集团分摊费用（预算）</t>
        </is>
      </c>
      <c r="D58" s="8" t="n">
        <v>1200000</v>
      </c>
      <c r="E58" s="8" t="n">
        <v>1200000</v>
      </c>
      <c r="F58" s="8" t="n">
        <v>1200000</v>
      </c>
      <c r="G58" s="8" t="n">
        <v>1200000</v>
      </c>
      <c r="H58" s="8" t="n">
        <v>1200000</v>
      </c>
      <c r="I58" s="8" t="n">
        <v>1200000</v>
      </c>
      <c r="J58" s="8" t="n">
        <v>1200000</v>
      </c>
      <c r="K58" s="8" t="n">
        <v>1200000</v>
      </c>
      <c r="L58" s="8" t="n">
        <v>1200000</v>
      </c>
      <c r="M58" s="8" t="n">
        <v>1200000</v>
      </c>
      <c r="N58" s="8" t="n">
        <v>1200000</v>
      </c>
      <c r="O58" s="8" t="n">
        <v>1200000</v>
      </c>
      <c r="P58" s="9">
        <f>SUM(D58:O58)</f>
        <v/>
      </c>
      <c r="Q58" s="10" t="inlineStr"/>
    </row>
    <row r="59" ht="17" customHeight="1">
      <c r="C59" s="20" t="inlineStr">
        <is>
          <t>净利润</t>
        </is>
      </c>
      <c r="D59" s="21">
        <f>D57-D58</f>
        <v/>
      </c>
      <c r="E59" s="21">
        <f>E57-E58</f>
        <v/>
      </c>
      <c r="F59" s="21">
        <f>F57-F58</f>
        <v/>
      </c>
      <c r="G59" s="21">
        <f>G57-G58</f>
        <v/>
      </c>
      <c r="H59" s="21">
        <f>H57-H58</f>
        <v/>
      </c>
      <c r="I59" s="21">
        <f>I57-I58</f>
        <v/>
      </c>
      <c r="J59" s="21">
        <f>J57-J58</f>
        <v/>
      </c>
      <c r="K59" s="21">
        <f>K57-K58</f>
        <v/>
      </c>
      <c r="L59" s="21">
        <f>L57-L58</f>
        <v/>
      </c>
      <c r="M59" s="21">
        <f>M57-M58</f>
        <v/>
      </c>
      <c r="N59" s="21">
        <f>N57-N58</f>
        <v/>
      </c>
      <c r="O59" s="21">
        <f>O57-O58</f>
        <v/>
      </c>
      <c r="P59" s="21">
        <f>SUM(D59:O59)</f>
        <v/>
      </c>
      <c r="Q59" s="22" t="inlineStr"/>
    </row>
  </sheetData>
  <mergeCells count="8">
    <mergeCell ref="C2:R2"/>
    <mergeCell ref="C5:R5"/>
    <mergeCell ref="C28:R28"/>
    <mergeCell ref="C13:R13"/>
    <mergeCell ref="C48:R48"/>
    <mergeCell ref="C4:R4"/>
    <mergeCell ref="C20:R20"/>
    <mergeCell ref="C51:R5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C2:R59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" customWidth="1" min="2" max="2"/>
    <col width="2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9" customWidth="1" min="17" max="17"/>
    <col width="28" customWidth="1" min="18" max="18"/>
  </cols>
  <sheetData>
    <row r="1" ht="8" customHeight="1"/>
    <row r="2" ht="28" customHeight="1">
      <c r="C2" s="4" t="inlineStr">
        <is>
          <t>京东自营（业务口径 Sell-Out）— 年度 BP</t>
        </is>
      </c>
    </row>
    <row r="3" ht="20" customHeight="1">
      <c r="C3" s="5" t="inlineStr">
        <is>
          <t>科目</t>
        </is>
      </c>
      <c r="D3" s="5" t="inlineStr">
        <is>
          <t>1月</t>
        </is>
      </c>
      <c r="E3" s="5" t="inlineStr">
        <is>
          <t>2月</t>
        </is>
      </c>
      <c r="F3" s="5" t="inlineStr">
        <is>
          <t>3月</t>
        </is>
      </c>
      <c r="G3" s="5" t="inlineStr">
        <is>
          <t>4月</t>
        </is>
      </c>
      <c r="H3" s="5" t="inlineStr">
        <is>
          <t>5月</t>
        </is>
      </c>
      <c r="I3" s="5" t="inlineStr">
        <is>
          <t>6月</t>
        </is>
      </c>
      <c r="J3" s="5" t="inlineStr">
        <is>
          <t>7月</t>
        </is>
      </c>
      <c r="K3" s="5" t="inlineStr">
        <is>
          <t>8月</t>
        </is>
      </c>
      <c r="L3" s="5" t="inlineStr">
        <is>
          <t>9月</t>
        </is>
      </c>
      <c r="M3" s="5" t="inlineStr">
        <is>
          <t>10月</t>
        </is>
      </c>
      <c r="N3" s="5" t="inlineStr">
        <is>
          <t>11月</t>
        </is>
      </c>
      <c r="O3" s="5" t="inlineStr">
        <is>
          <t>12月</t>
        </is>
      </c>
      <c r="P3" s="5" t="inlineStr">
        <is>
          <t>合计</t>
        </is>
      </c>
      <c r="Q3" s="5" t="inlineStr">
        <is>
          <t>费比</t>
        </is>
      </c>
    </row>
    <row r="4" ht="18" customHeight="1">
      <c r="C4" s="24" t="inlineStr">
        <is>
          <t xml:space="preserve">  ⚑ 业务口径（Sell-Out）：消费者下单时确认，反映实际终端销售</t>
        </is>
      </c>
    </row>
    <row r="5" ht="18" customHeight="1">
      <c r="C5" s="6" t="inlineStr">
        <is>
          <t xml:space="preserve">  一、GMV 层</t>
        </is>
      </c>
    </row>
    <row r="6" ht="17" customHeight="1">
      <c r="C6" s="7" t="inlineStr">
        <is>
          <t>自补前 GMV（月度目标）</t>
        </is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9">
        <f>SUM(D6:O6)</f>
        <v/>
      </c>
      <c r="Q6" s="10" t="inlineStr"/>
      <c r="R6" s="11" t="inlineStr">
        <is>
          <t>渠道填写</t>
        </is>
      </c>
    </row>
    <row r="7" ht="17" customHeight="1">
      <c r="C7" s="12" t="inlineStr">
        <is>
          <t>国补/自补费用率</t>
        </is>
      </c>
      <c r="D7" s="13" t="n">
        <v>0.1</v>
      </c>
      <c r="E7" s="13" t="n">
        <v>0.1</v>
      </c>
      <c r="F7" s="13" t="n">
        <v>0.1</v>
      </c>
      <c r="G7" s="13" t="n">
        <v>0.1</v>
      </c>
      <c r="H7" s="13" t="n">
        <v>0.1</v>
      </c>
      <c r="I7" s="13" t="n">
        <v>0.1</v>
      </c>
      <c r="J7" s="13" t="n">
        <v>0.1</v>
      </c>
      <c r="K7" s="13" t="n">
        <v>0.1</v>
      </c>
      <c r="L7" s="13" t="n">
        <v>0.1</v>
      </c>
      <c r="M7" s="13" t="n">
        <v>0.1</v>
      </c>
      <c r="N7" s="13" t="n">
        <v>0.1</v>
      </c>
      <c r="O7" s="13" t="n">
        <v>0.1</v>
      </c>
      <c r="P7" s="14">
        <f>SUM(D7:O7)</f>
        <v/>
      </c>
      <c r="Q7" s="15" t="inlineStr"/>
    </row>
    <row r="8" ht="17" customHeight="1">
      <c r="C8" s="16" t="inlineStr">
        <is>
          <t>国补/自补费用</t>
        </is>
      </c>
      <c r="D8" s="17">
        <f>D6*D7</f>
        <v/>
      </c>
      <c r="E8" s="17">
        <f>E6*E7</f>
        <v/>
      </c>
      <c r="F8" s="17">
        <f>F6*F7</f>
        <v/>
      </c>
      <c r="G8" s="17">
        <f>G6*G7</f>
        <v/>
      </c>
      <c r="H8" s="17">
        <f>H6*H7</f>
        <v/>
      </c>
      <c r="I8" s="17">
        <f>I6*I7</f>
        <v/>
      </c>
      <c r="J8" s="17">
        <f>J6*J7</f>
        <v/>
      </c>
      <c r="K8" s="17">
        <f>K6*K7</f>
        <v/>
      </c>
      <c r="L8" s="17">
        <f>L6*L7</f>
        <v/>
      </c>
      <c r="M8" s="17">
        <f>M6*M7</f>
        <v/>
      </c>
      <c r="N8" s="17">
        <f>N6*N7</f>
        <v/>
      </c>
      <c r="O8" s="17">
        <f>O6*O7</f>
        <v/>
      </c>
      <c r="P8" s="18">
        <f>SUM(D8:O8)</f>
        <v/>
      </c>
      <c r="Q8" s="19" t="inlineStr"/>
    </row>
    <row r="9" ht="17" customHeight="1">
      <c r="C9" s="20" t="inlineStr">
        <is>
          <t>GMV（剔除国补）</t>
        </is>
      </c>
      <c r="D9" s="21">
        <f>D6-D8</f>
        <v/>
      </c>
      <c r="E9" s="21">
        <f>E6-E8</f>
        <v/>
      </c>
      <c r="F9" s="21">
        <f>F6-F8</f>
        <v/>
      </c>
      <c r="G9" s="21">
        <f>G6-G8</f>
        <v/>
      </c>
      <c r="H9" s="21">
        <f>H6-H8</f>
        <v/>
      </c>
      <c r="I9" s="21">
        <f>I6-I8</f>
        <v/>
      </c>
      <c r="J9" s="21">
        <f>J6-J8</f>
        <v/>
      </c>
      <c r="K9" s="21">
        <f>K6-K8</f>
        <v/>
      </c>
      <c r="L9" s="21">
        <f>L6-L8</f>
        <v/>
      </c>
      <c r="M9" s="21">
        <f>M6-M8</f>
        <v/>
      </c>
      <c r="N9" s="21">
        <f>N6-N8</f>
        <v/>
      </c>
      <c r="O9" s="21">
        <f>O6-O8</f>
        <v/>
      </c>
      <c r="P9" s="21">
        <f>SUM(D9:O9)</f>
        <v/>
      </c>
      <c r="Q9" s="22" t="inlineStr"/>
    </row>
    <row r="10" ht="17" customHeight="1">
      <c r="C10" s="12" t="inlineStr">
        <is>
          <t>退货率</t>
        </is>
      </c>
      <c r="D10" s="13" t="n">
        <v>0.15</v>
      </c>
      <c r="E10" s="13" t="n">
        <v>0.15</v>
      </c>
      <c r="F10" s="13" t="n">
        <v>0.15</v>
      </c>
      <c r="G10" s="13" t="n">
        <v>0.15</v>
      </c>
      <c r="H10" s="13" t="n">
        <v>0.15</v>
      </c>
      <c r="I10" s="13" t="n">
        <v>0.15</v>
      </c>
      <c r="J10" s="13" t="n">
        <v>0.15</v>
      </c>
      <c r="K10" s="13" t="n">
        <v>0.15</v>
      </c>
      <c r="L10" s="13" t="n">
        <v>0.15</v>
      </c>
      <c r="M10" s="13" t="n">
        <v>0.15</v>
      </c>
      <c r="N10" s="13" t="n">
        <v>0.15</v>
      </c>
      <c r="O10" s="13" t="n">
        <v>0.15</v>
      </c>
      <c r="P10" s="14">
        <f>SUM(D10:O10)</f>
        <v/>
      </c>
      <c r="Q10" s="15" t="inlineStr"/>
    </row>
    <row r="11" ht="17" customHeight="1">
      <c r="C11" s="20" t="inlineStr">
        <is>
          <t>GSV（去退货）</t>
        </is>
      </c>
      <c r="D11" s="21">
        <f>D9*(1-D10)</f>
        <v/>
      </c>
      <c r="E11" s="21">
        <f>E9*(1-E10)</f>
        <v/>
      </c>
      <c r="F11" s="21">
        <f>F9*(1-F10)</f>
        <v/>
      </c>
      <c r="G11" s="21">
        <f>G9*(1-G10)</f>
        <v/>
      </c>
      <c r="H11" s="21">
        <f>H9*(1-H10)</f>
        <v/>
      </c>
      <c r="I11" s="21">
        <f>I9*(1-I10)</f>
        <v/>
      </c>
      <c r="J11" s="21">
        <f>J9*(1-J10)</f>
        <v/>
      </c>
      <c r="K11" s="21">
        <f>K9*(1-K10)</f>
        <v/>
      </c>
      <c r="L11" s="21">
        <f>L9*(1-L10)</f>
        <v/>
      </c>
      <c r="M11" s="21">
        <f>M9*(1-M10)</f>
        <v/>
      </c>
      <c r="N11" s="21">
        <f>N9*(1-N10)</f>
        <v/>
      </c>
      <c r="O11" s="21">
        <f>O9*(1-O10)</f>
        <v/>
      </c>
      <c r="P11" s="21">
        <f>SUM(D11:O11)</f>
        <v/>
      </c>
      <c r="Q11" s="22" t="inlineStr"/>
    </row>
    <row r="12" ht="6" customHeight="1"/>
    <row r="13" ht="18" customHeight="1">
      <c r="C13" s="6" t="inlineStr">
        <is>
          <t xml:space="preserve">  二、营业收入层</t>
        </is>
      </c>
    </row>
    <row r="14" ht="17" customHeight="1">
      <c r="C14" s="12" t="inlineStr">
        <is>
          <t>合同折扣及返利费率（线下）</t>
        </is>
      </c>
      <c r="D14" s="13" t="n">
        <v>0</v>
      </c>
      <c r="E14" s="13" t="n">
        <v>0</v>
      </c>
      <c r="F14" s="13" t="n">
        <v>0</v>
      </c>
      <c r="G14" s="13" t="n">
        <v>0</v>
      </c>
      <c r="H14" s="13" t="n">
        <v>0</v>
      </c>
      <c r="I14" s="13" t="n">
        <v>0</v>
      </c>
      <c r="J14" s="13" t="n">
        <v>0</v>
      </c>
      <c r="K14" s="13" t="n">
        <v>0</v>
      </c>
      <c r="L14" s="13" t="n">
        <v>0</v>
      </c>
      <c r="M14" s="13" t="n">
        <v>0</v>
      </c>
      <c r="N14" s="13" t="n">
        <v>0</v>
      </c>
      <c r="O14" s="13" t="n">
        <v>0</v>
      </c>
      <c r="P14" s="14">
        <f>SUM(D14:O14)</f>
        <v/>
      </c>
      <c r="Q14" s="15" t="inlineStr"/>
    </row>
    <row r="15" ht="17" customHeight="1">
      <c r="C15" s="12" t="inlineStr">
        <is>
          <t>国补/自补折扣费率（线上）</t>
        </is>
      </c>
      <c r="D15" s="13" t="n">
        <v>0.1</v>
      </c>
      <c r="E15" s="13" t="n">
        <v>0.1</v>
      </c>
      <c r="F15" s="13" t="n">
        <v>0.1</v>
      </c>
      <c r="G15" s="13" t="n">
        <v>0.1</v>
      </c>
      <c r="H15" s="13" t="n">
        <v>0.1</v>
      </c>
      <c r="I15" s="13" t="n">
        <v>0.1</v>
      </c>
      <c r="J15" s="13" t="n">
        <v>0.1</v>
      </c>
      <c r="K15" s="13" t="n">
        <v>0.1</v>
      </c>
      <c r="L15" s="13" t="n">
        <v>0.1</v>
      </c>
      <c r="M15" s="13" t="n">
        <v>0.1</v>
      </c>
      <c r="N15" s="13" t="n">
        <v>0.1</v>
      </c>
      <c r="O15" s="13" t="n">
        <v>0.1</v>
      </c>
      <c r="P15" s="14">
        <f>SUM(D15:O15)</f>
        <v/>
      </c>
      <c r="Q15" s="15" t="inlineStr"/>
    </row>
    <row r="16" ht="17" customHeight="1">
      <c r="C16" s="12" t="inlineStr">
        <is>
          <t>红包/促销折扣费率</t>
        </is>
      </c>
      <c r="D16" s="13" t="n">
        <v>0.12</v>
      </c>
      <c r="E16" s="13" t="n">
        <v>0.12</v>
      </c>
      <c r="F16" s="13" t="n">
        <v>0.12</v>
      </c>
      <c r="G16" s="13" t="n">
        <v>0.12</v>
      </c>
      <c r="H16" s="13" t="n">
        <v>0.12</v>
      </c>
      <c r="I16" s="13" t="n">
        <v>0.12</v>
      </c>
      <c r="J16" s="13" t="n">
        <v>0.12</v>
      </c>
      <c r="K16" s="13" t="n">
        <v>0.12</v>
      </c>
      <c r="L16" s="13" t="n">
        <v>0.12</v>
      </c>
      <c r="M16" s="13" t="n">
        <v>0.12</v>
      </c>
      <c r="N16" s="13" t="n">
        <v>0.12</v>
      </c>
      <c r="O16" s="13" t="n">
        <v>0.12</v>
      </c>
      <c r="P16" s="14">
        <f>SUM(D16:O16)</f>
        <v/>
      </c>
      <c r="Q16" s="15" t="inlineStr"/>
    </row>
    <row r="17" ht="17" customHeight="1">
      <c r="C17" s="16" t="inlineStr">
        <is>
          <t>TTL折扣合计</t>
        </is>
      </c>
      <c r="D17" s="17">
        <f>(D14+D15+D16)*D11</f>
        <v/>
      </c>
      <c r="E17" s="17">
        <f>(E14+E15+E16)*E11</f>
        <v/>
      </c>
      <c r="F17" s="17">
        <f>(F14+F15+F16)*F11</f>
        <v/>
      </c>
      <c r="G17" s="17">
        <f>(G14+G15+G16)*G11</f>
        <v/>
      </c>
      <c r="H17" s="17">
        <f>(H14+H15+H16)*H11</f>
        <v/>
      </c>
      <c r="I17" s="17">
        <f>(I14+I15+I16)*I11</f>
        <v/>
      </c>
      <c r="J17" s="17">
        <f>(J14+J15+J16)*J11</f>
        <v/>
      </c>
      <c r="K17" s="17">
        <f>(K14+K15+K16)*K11</f>
        <v/>
      </c>
      <c r="L17" s="17">
        <f>(L14+L15+L16)*L11</f>
        <v/>
      </c>
      <c r="M17" s="17">
        <f>(M14+M15+M16)*M11</f>
        <v/>
      </c>
      <c r="N17" s="17">
        <f>(N14+N15+N16)*N11</f>
        <v/>
      </c>
      <c r="O17" s="17">
        <f>(O14+O15+O16)*O11</f>
        <v/>
      </c>
      <c r="P17" s="18">
        <f>SUM(D17:O17)</f>
        <v/>
      </c>
      <c r="Q17" s="19" t="inlineStr"/>
    </row>
    <row r="18" ht="17" customHeight="1">
      <c r="C18" s="20" t="inlineStr">
        <is>
          <t>营业收入（净销售收入）</t>
        </is>
      </c>
      <c r="D18" s="21">
        <f>D11-D17</f>
        <v/>
      </c>
      <c r="E18" s="21">
        <f>E11-E17</f>
        <v/>
      </c>
      <c r="F18" s="21">
        <f>F11-F17</f>
        <v/>
      </c>
      <c r="G18" s="21">
        <f>G11-G17</f>
        <v/>
      </c>
      <c r="H18" s="21">
        <f>H11-H17</f>
        <v/>
      </c>
      <c r="I18" s="21">
        <f>I11-I17</f>
        <v/>
      </c>
      <c r="J18" s="21">
        <f>J11-J17</f>
        <v/>
      </c>
      <c r="K18" s="21">
        <f>K11-K17</f>
        <v/>
      </c>
      <c r="L18" s="21">
        <f>L11-L17</f>
        <v/>
      </c>
      <c r="M18" s="21">
        <f>M11-M17</f>
        <v/>
      </c>
      <c r="N18" s="21">
        <f>N11-N17</f>
        <v/>
      </c>
      <c r="O18" s="21">
        <f>O11-O17</f>
        <v/>
      </c>
      <c r="P18" s="21">
        <f>SUM(D18:O18)</f>
        <v/>
      </c>
      <c r="Q18" s="22" t="inlineStr"/>
    </row>
    <row r="19" ht="6" customHeight="1"/>
    <row r="20" ht="18" customHeight="1">
      <c r="C20" s="6" t="inlineStr">
        <is>
          <t xml:space="preserve">  三、毛利层</t>
        </is>
      </c>
    </row>
    <row r="21" ht="17" customHeight="1">
      <c r="C21" s="12" t="inlineStr">
        <is>
          <t>标准主品及配件成本率</t>
        </is>
      </c>
      <c r="D21" s="13" t="n">
        <v>0.44</v>
      </c>
      <c r="E21" s="13" t="n">
        <v>0.44</v>
      </c>
      <c r="F21" s="13" t="n">
        <v>0.44</v>
      </c>
      <c r="G21" s="13" t="n">
        <v>0.44</v>
      </c>
      <c r="H21" s="13" t="n">
        <v>0.44</v>
      </c>
      <c r="I21" s="13" t="n">
        <v>0.44</v>
      </c>
      <c r="J21" s="13" t="n">
        <v>0.44</v>
      </c>
      <c r="K21" s="13" t="n">
        <v>0.44</v>
      </c>
      <c r="L21" s="13" t="n">
        <v>0.44</v>
      </c>
      <c r="M21" s="13" t="n">
        <v>0.44</v>
      </c>
      <c r="N21" s="13" t="n">
        <v>0.44</v>
      </c>
      <c r="O21" s="13" t="n">
        <v>0.44</v>
      </c>
      <c r="P21" s="14">
        <f>SUM(D21:O21)</f>
        <v/>
      </c>
      <c r="Q21" s="15" t="inlineStr"/>
    </row>
    <row r="22" ht="17" customHeight="1">
      <c r="C22" s="16" t="inlineStr">
        <is>
          <t>标准主品及配件成本</t>
        </is>
      </c>
      <c r="D22" s="17">
        <f>D18*D21</f>
        <v/>
      </c>
      <c r="E22" s="17">
        <f>E18*E21</f>
        <v/>
      </c>
      <c r="F22" s="17">
        <f>F18*F21</f>
        <v/>
      </c>
      <c r="G22" s="17">
        <f>G18*G21</f>
        <v/>
      </c>
      <c r="H22" s="17">
        <f>H18*H21</f>
        <v/>
      </c>
      <c r="I22" s="17">
        <f>I18*I21</f>
        <v/>
      </c>
      <c r="J22" s="17">
        <f>J18*J21</f>
        <v/>
      </c>
      <c r="K22" s="17">
        <f>K18*K21</f>
        <v/>
      </c>
      <c r="L22" s="17">
        <f>L18*L21</f>
        <v/>
      </c>
      <c r="M22" s="17">
        <f>M18*M21</f>
        <v/>
      </c>
      <c r="N22" s="17">
        <f>N18*N21</f>
        <v/>
      </c>
      <c r="O22" s="17">
        <f>O18*O21</f>
        <v/>
      </c>
      <c r="P22" s="18">
        <f>SUM(D22:O22)</f>
        <v/>
      </c>
      <c r="Q22" s="19" t="inlineStr"/>
    </row>
    <row r="23" ht="17" customHeight="1">
      <c r="C23" s="20" t="inlineStr">
        <is>
          <t>产品毛利</t>
        </is>
      </c>
      <c r="D23" s="21">
        <f>D18-D22</f>
        <v/>
      </c>
      <c r="E23" s="21">
        <f>E18-E22</f>
        <v/>
      </c>
      <c r="F23" s="21">
        <f>F18-F22</f>
        <v/>
      </c>
      <c r="G23" s="21">
        <f>G18-G22</f>
        <v/>
      </c>
      <c r="H23" s="21">
        <f>H18-H22</f>
        <v/>
      </c>
      <c r="I23" s="21">
        <f>I18-I22</f>
        <v/>
      </c>
      <c r="J23" s="21">
        <f>J18-J22</f>
        <v/>
      </c>
      <c r="K23" s="21">
        <f>K18-K22</f>
        <v/>
      </c>
      <c r="L23" s="21">
        <f>L18-L22</f>
        <v/>
      </c>
      <c r="M23" s="21">
        <f>M18-M22</f>
        <v/>
      </c>
      <c r="N23" s="21">
        <f>N18-N22</f>
        <v/>
      </c>
      <c r="O23" s="21">
        <f>O18-O22</f>
        <v/>
      </c>
      <c r="P23" s="21">
        <f>SUM(D23:O23)</f>
        <v/>
      </c>
      <c r="Q23" s="22" t="inlineStr"/>
    </row>
    <row r="24" ht="17" customHeight="1">
      <c r="C24" s="12" t="inlineStr">
        <is>
          <t>物流/仓储费率</t>
        </is>
      </c>
      <c r="D24" s="13" t="n">
        <v>0.025</v>
      </c>
      <c r="E24" s="13" t="n">
        <v>0.025</v>
      </c>
      <c r="F24" s="13" t="n">
        <v>0.025</v>
      </c>
      <c r="G24" s="13" t="n">
        <v>0.025</v>
      </c>
      <c r="H24" s="13" t="n">
        <v>0.025</v>
      </c>
      <c r="I24" s="13" t="n">
        <v>0.025</v>
      </c>
      <c r="J24" s="13" t="n">
        <v>0.025</v>
      </c>
      <c r="K24" s="13" t="n">
        <v>0.025</v>
      </c>
      <c r="L24" s="13" t="n">
        <v>0.025</v>
      </c>
      <c r="M24" s="13" t="n">
        <v>0.025</v>
      </c>
      <c r="N24" s="13" t="n">
        <v>0.025</v>
      </c>
      <c r="O24" s="13" t="n">
        <v>0.025</v>
      </c>
      <c r="P24" s="14">
        <f>SUM(D24:O24)</f>
        <v/>
      </c>
      <c r="Q24" s="15" t="inlineStr"/>
    </row>
    <row r="25" ht="17" customHeight="1">
      <c r="C25" s="16" t="inlineStr">
        <is>
          <t>物流/仓储费用</t>
        </is>
      </c>
      <c r="D25" s="17">
        <f>D18*D24</f>
        <v/>
      </c>
      <c r="E25" s="17">
        <f>E18*E24</f>
        <v/>
      </c>
      <c r="F25" s="17">
        <f>F18*F24</f>
        <v/>
      </c>
      <c r="G25" s="17">
        <f>G18*G24</f>
        <v/>
      </c>
      <c r="H25" s="17">
        <f>H18*H24</f>
        <v/>
      </c>
      <c r="I25" s="17">
        <f>I18*I24</f>
        <v/>
      </c>
      <c r="J25" s="17">
        <f>J18*J24</f>
        <v/>
      </c>
      <c r="K25" s="17">
        <f>K18*K24</f>
        <v/>
      </c>
      <c r="L25" s="17">
        <f>L18*L24</f>
        <v/>
      </c>
      <c r="M25" s="17">
        <f>M18*M24</f>
        <v/>
      </c>
      <c r="N25" s="17">
        <f>N18*N24</f>
        <v/>
      </c>
      <c r="O25" s="17">
        <f>O18*O24</f>
        <v/>
      </c>
      <c r="P25" s="18">
        <f>SUM(D25:O25)</f>
        <v/>
      </c>
      <c r="Q25" s="19" t="inlineStr"/>
    </row>
    <row r="26" ht="17" customHeight="1">
      <c r="C26" s="20" t="inlineStr">
        <is>
          <t>净毛利</t>
        </is>
      </c>
      <c r="D26" s="21">
        <f>D23-D25</f>
        <v/>
      </c>
      <c r="E26" s="21">
        <f>E23-E25</f>
        <v/>
      </c>
      <c r="F26" s="21">
        <f>F23-F25</f>
        <v/>
      </c>
      <c r="G26" s="21">
        <f>G23-G25</f>
        <v/>
      </c>
      <c r="H26" s="21">
        <f>H23-H25</f>
        <v/>
      </c>
      <c r="I26" s="21">
        <f>I23-I25</f>
        <v/>
      </c>
      <c r="J26" s="21">
        <f>J23-J25</f>
        <v/>
      </c>
      <c r="K26" s="21">
        <f>K23-K25</f>
        <v/>
      </c>
      <c r="L26" s="21">
        <f>L23-L25</f>
        <v/>
      </c>
      <c r="M26" s="21">
        <f>M23-M25</f>
        <v/>
      </c>
      <c r="N26" s="21">
        <f>N23-N25</f>
        <v/>
      </c>
      <c r="O26" s="21">
        <f>O23-O25</f>
        <v/>
      </c>
      <c r="P26" s="21">
        <f>SUM(D26:O26)</f>
        <v/>
      </c>
      <c r="Q26" s="22" t="inlineStr"/>
    </row>
    <row r="27" ht="6" customHeight="1"/>
    <row r="28" ht="18" customHeight="1">
      <c r="C28" s="6" t="inlineStr">
        <is>
          <t xml:space="preserve">  四、A&amp;P 营销与运营费用</t>
        </is>
      </c>
    </row>
    <row r="29" ht="17" customHeight="1">
      <c r="C29" s="12" t="inlineStr">
        <is>
          <t>品牌/内容/达人费率</t>
        </is>
      </c>
      <c r="D29" s="13" t="n">
        <v>0.07000000000000001</v>
      </c>
      <c r="E29" s="13" t="n">
        <v>0.07000000000000001</v>
      </c>
      <c r="F29" s="13" t="n">
        <v>0.07000000000000001</v>
      </c>
      <c r="G29" s="13" t="n">
        <v>0.07000000000000001</v>
      </c>
      <c r="H29" s="13" t="n">
        <v>0.07000000000000001</v>
      </c>
      <c r="I29" s="13" t="n">
        <v>0.07000000000000001</v>
      </c>
      <c r="J29" s="13" t="n">
        <v>0.07000000000000001</v>
      </c>
      <c r="K29" s="13" t="n">
        <v>0.07000000000000001</v>
      </c>
      <c r="L29" s="13" t="n">
        <v>0.07000000000000001</v>
      </c>
      <c r="M29" s="13" t="n">
        <v>0.07000000000000001</v>
      </c>
      <c r="N29" s="13" t="n">
        <v>0.07000000000000001</v>
      </c>
      <c r="O29" s="13" t="n">
        <v>0.07000000000000001</v>
      </c>
      <c r="P29" s="14">
        <f>SUM(D29:O29)</f>
        <v/>
      </c>
      <c r="Q29" s="15" t="inlineStr"/>
    </row>
    <row r="30" ht="17" customHeight="1">
      <c r="C30" s="16" t="inlineStr">
        <is>
          <t>品牌内容费用</t>
        </is>
      </c>
      <c r="D30" s="17">
        <f>D18*D29</f>
        <v/>
      </c>
      <c r="E30" s="17">
        <f>E18*E29</f>
        <v/>
      </c>
      <c r="F30" s="17">
        <f>F18*F29</f>
        <v/>
      </c>
      <c r="G30" s="17">
        <f>G18*G29</f>
        <v/>
      </c>
      <c r="H30" s="17">
        <f>H18*H29</f>
        <v/>
      </c>
      <c r="I30" s="17">
        <f>I18*I29</f>
        <v/>
      </c>
      <c r="J30" s="17">
        <f>J18*J29</f>
        <v/>
      </c>
      <c r="K30" s="17">
        <f>K18*K29</f>
        <v/>
      </c>
      <c r="L30" s="17">
        <f>L18*L29</f>
        <v/>
      </c>
      <c r="M30" s="17">
        <f>M18*M29</f>
        <v/>
      </c>
      <c r="N30" s="17">
        <f>N18*N29</f>
        <v/>
      </c>
      <c r="O30" s="17">
        <f>O18*O29</f>
        <v/>
      </c>
      <c r="P30" s="18">
        <f>SUM(D30:O30)</f>
        <v/>
      </c>
      <c r="Q30" s="19" t="inlineStr"/>
    </row>
    <row r="31" ht="17" customHeight="1">
      <c r="C31" s="12" t="inlineStr">
        <is>
          <t>站内投放费率</t>
        </is>
      </c>
      <c r="D31" s="13" t="n">
        <v>0.08</v>
      </c>
      <c r="E31" s="13" t="n">
        <v>0.08</v>
      </c>
      <c r="F31" s="13" t="n">
        <v>0.08</v>
      </c>
      <c r="G31" s="13" t="n">
        <v>0.08</v>
      </c>
      <c r="H31" s="13" t="n">
        <v>0.08</v>
      </c>
      <c r="I31" s="13" t="n">
        <v>0.08</v>
      </c>
      <c r="J31" s="13" t="n">
        <v>0.08</v>
      </c>
      <c r="K31" s="13" t="n">
        <v>0.08</v>
      </c>
      <c r="L31" s="13" t="n">
        <v>0.08</v>
      </c>
      <c r="M31" s="13" t="n">
        <v>0.08</v>
      </c>
      <c r="N31" s="13" t="n">
        <v>0.08</v>
      </c>
      <c r="O31" s="13" t="n">
        <v>0.08</v>
      </c>
      <c r="P31" s="14">
        <f>SUM(D31:O31)</f>
        <v/>
      </c>
      <c r="Q31" s="15" t="inlineStr"/>
    </row>
    <row r="32" ht="17" customHeight="1">
      <c r="C32" s="12" t="inlineStr">
        <is>
          <t>千川投放费率</t>
        </is>
      </c>
      <c r="D32" s="13" t="n">
        <v>0.06</v>
      </c>
      <c r="E32" s="13" t="n">
        <v>0.06</v>
      </c>
      <c r="F32" s="13" t="n">
        <v>0.06</v>
      </c>
      <c r="G32" s="13" t="n">
        <v>0.06</v>
      </c>
      <c r="H32" s="13" t="n">
        <v>0.06</v>
      </c>
      <c r="I32" s="13" t="n">
        <v>0.06</v>
      </c>
      <c r="J32" s="13" t="n">
        <v>0.06</v>
      </c>
      <c r="K32" s="13" t="n">
        <v>0.06</v>
      </c>
      <c r="L32" s="13" t="n">
        <v>0.06</v>
      </c>
      <c r="M32" s="13" t="n">
        <v>0.06</v>
      </c>
      <c r="N32" s="13" t="n">
        <v>0.06</v>
      </c>
      <c r="O32" s="13" t="n">
        <v>0.06</v>
      </c>
      <c r="P32" s="14">
        <f>SUM(D32:O32)</f>
        <v/>
      </c>
      <c r="Q32" s="15" t="inlineStr"/>
    </row>
    <row r="33" ht="17" customHeight="1">
      <c r="C33" s="12" t="inlineStr">
        <is>
          <t>站外投放费率</t>
        </is>
      </c>
      <c r="D33" s="13" t="n">
        <v>0.02</v>
      </c>
      <c r="E33" s="13" t="n">
        <v>0.02</v>
      </c>
      <c r="F33" s="13" t="n">
        <v>0.02</v>
      </c>
      <c r="G33" s="13" t="n">
        <v>0.02</v>
      </c>
      <c r="H33" s="13" t="n">
        <v>0.02</v>
      </c>
      <c r="I33" s="13" t="n">
        <v>0.02</v>
      </c>
      <c r="J33" s="13" t="n">
        <v>0.02</v>
      </c>
      <c r="K33" s="13" t="n">
        <v>0.02</v>
      </c>
      <c r="L33" s="13" t="n">
        <v>0.02</v>
      </c>
      <c r="M33" s="13" t="n">
        <v>0.02</v>
      </c>
      <c r="N33" s="13" t="n">
        <v>0.02</v>
      </c>
      <c r="O33" s="13" t="n">
        <v>0.02</v>
      </c>
      <c r="P33" s="14">
        <f>SUM(D33:O33)</f>
        <v/>
      </c>
      <c r="Q33" s="15" t="inlineStr"/>
    </row>
    <row r="34" ht="17" customHeight="1">
      <c r="C34" s="16" t="inlineStr">
        <is>
          <t>效果广告合计</t>
        </is>
      </c>
      <c r="D34" s="17">
        <f>(D31+D32+D33)*D18</f>
        <v/>
      </c>
      <c r="E34" s="17">
        <f>(E31+E32+E33)*E18</f>
        <v/>
      </c>
      <c r="F34" s="17">
        <f>(F31+F32+F33)*F18</f>
        <v/>
      </c>
      <c r="G34" s="17">
        <f>(G31+G32+G33)*G18</f>
        <v/>
      </c>
      <c r="H34" s="17">
        <f>(H31+H32+H33)*H18</f>
        <v/>
      </c>
      <c r="I34" s="17">
        <f>(I31+I32+I33)*I18</f>
        <v/>
      </c>
      <c r="J34" s="17">
        <f>(J31+J32+J33)*J18</f>
        <v/>
      </c>
      <c r="K34" s="17">
        <f>(K31+K32+K33)*K18</f>
        <v/>
      </c>
      <c r="L34" s="17">
        <f>(L31+L32+L33)*L18</f>
        <v/>
      </c>
      <c r="M34" s="17">
        <f>(M31+M32+M33)*M18</f>
        <v/>
      </c>
      <c r="N34" s="17">
        <f>(N31+N32+N33)*N18</f>
        <v/>
      </c>
      <c r="O34" s="17">
        <f>(O31+O32+O33)*O18</f>
        <v/>
      </c>
      <c r="P34" s="18">
        <f>SUM(D34:O34)</f>
        <v/>
      </c>
      <c r="Q34" s="19" t="inlineStr"/>
    </row>
    <row r="35" ht="17" customHeight="1">
      <c r="C35" s="12" t="inlineStr">
        <is>
          <t>线上运营费率（直播+赠品）</t>
        </is>
      </c>
      <c r="D35" s="13" t="n">
        <v>0.03</v>
      </c>
      <c r="E35" s="13" t="n">
        <v>0.03</v>
      </c>
      <c r="F35" s="13" t="n">
        <v>0.03</v>
      </c>
      <c r="G35" s="13" t="n">
        <v>0.03</v>
      </c>
      <c r="H35" s="13" t="n">
        <v>0.03</v>
      </c>
      <c r="I35" s="13" t="n">
        <v>0.03</v>
      </c>
      <c r="J35" s="13" t="n">
        <v>0.03</v>
      </c>
      <c r="K35" s="13" t="n">
        <v>0.03</v>
      </c>
      <c r="L35" s="13" t="n">
        <v>0.03</v>
      </c>
      <c r="M35" s="13" t="n">
        <v>0.03</v>
      </c>
      <c r="N35" s="13" t="n">
        <v>0.03</v>
      </c>
      <c r="O35" s="13" t="n">
        <v>0.03</v>
      </c>
      <c r="P35" s="14">
        <f>SUM(D35:O35)</f>
        <v/>
      </c>
      <c r="Q35" s="15" t="inlineStr"/>
    </row>
    <row r="36" ht="17" customHeight="1">
      <c r="C36" s="16" t="inlineStr">
        <is>
          <t>线上运营费用</t>
        </is>
      </c>
      <c r="D36" s="17">
        <f>D18*D35</f>
        <v/>
      </c>
      <c r="E36" s="17">
        <f>E18*E35</f>
        <v/>
      </c>
      <c r="F36" s="17">
        <f>F18*F35</f>
        <v/>
      </c>
      <c r="G36" s="17">
        <f>G18*G35</f>
        <v/>
      </c>
      <c r="H36" s="17">
        <f>H18*H35</f>
        <v/>
      </c>
      <c r="I36" s="17">
        <f>I18*I35</f>
        <v/>
      </c>
      <c r="J36" s="17">
        <f>J18*J35</f>
        <v/>
      </c>
      <c r="K36" s="17">
        <f>K18*K35</f>
        <v/>
      </c>
      <c r="L36" s="17">
        <f>L18*L35</f>
        <v/>
      </c>
      <c r="M36" s="17">
        <f>M18*M35</f>
        <v/>
      </c>
      <c r="N36" s="17">
        <f>N18*N35</f>
        <v/>
      </c>
      <c r="O36" s="17">
        <f>O18*O35</f>
        <v/>
      </c>
      <c r="P36" s="18">
        <f>SUM(D36:O36)</f>
        <v/>
      </c>
      <c r="Q36" s="19" t="inlineStr"/>
    </row>
    <row r="37" ht="17" customHeight="1">
      <c r="C37" s="7" t="inlineStr">
        <is>
          <t>线下市场/渠道费用（预算）</t>
        </is>
      </c>
      <c r="D37" s="8" t="n">
        <v>0</v>
      </c>
      <c r="E37" s="8" t="n">
        <v>0</v>
      </c>
      <c r="F37" s="8" t="n">
        <v>0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0</v>
      </c>
      <c r="M37" s="8" t="n">
        <v>0</v>
      </c>
      <c r="N37" s="8" t="n">
        <v>0</v>
      </c>
      <c r="O37" s="8" t="n">
        <v>0</v>
      </c>
      <c r="P37" s="9">
        <f>SUM(D37:O37)</f>
        <v/>
      </c>
      <c r="Q37" s="10" t="inlineStr"/>
    </row>
    <row r="38" ht="17" customHeight="1">
      <c r="C38" s="12" t="inlineStr">
        <is>
          <t>平台佣金费率</t>
        </is>
      </c>
      <c r="D38" s="13" t="n">
        <v>0.04</v>
      </c>
      <c r="E38" s="13" t="n">
        <v>0.04</v>
      </c>
      <c r="F38" s="13" t="n">
        <v>0.04</v>
      </c>
      <c r="G38" s="13" t="n">
        <v>0.04</v>
      </c>
      <c r="H38" s="13" t="n">
        <v>0.04</v>
      </c>
      <c r="I38" s="13" t="n">
        <v>0.04</v>
      </c>
      <c r="J38" s="13" t="n">
        <v>0.04</v>
      </c>
      <c r="K38" s="13" t="n">
        <v>0.04</v>
      </c>
      <c r="L38" s="13" t="n">
        <v>0.04</v>
      </c>
      <c r="M38" s="13" t="n">
        <v>0.04</v>
      </c>
      <c r="N38" s="13" t="n">
        <v>0.04</v>
      </c>
      <c r="O38" s="13" t="n">
        <v>0.04</v>
      </c>
      <c r="P38" s="14">
        <f>SUM(D38:O38)</f>
        <v/>
      </c>
      <c r="Q38" s="15" t="inlineStr"/>
    </row>
    <row r="39" ht="17" customHeight="1">
      <c r="C39" s="16" t="inlineStr">
        <is>
          <t>平台佣金</t>
        </is>
      </c>
      <c r="D39" s="17">
        <f>D18*D38</f>
        <v/>
      </c>
      <c r="E39" s="17">
        <f>E18*E38</f>
        <v/>
      </c>
      <c r="F39" s="17">
        <f>F18*F38</f>
        <v/>
      </c>
      <c r="G39" s="17">
        <f>G18*G38</f>
        <v/>
      </c>
      <c r="H39" s="17">
        <f>H18*H38</f>
        <v/>
      </c>
      <c r="I39" s="17">
        <f>I18*I38</f>
        <v/>
      </c>
      <c r="J39" s="17">
        <f>J18*J38</f>
        <v/>
      </c>
      <c r="K39" s="17">
        <f>K18*K38</f>
        <v/>
      </c>
      <c r="L39" s="17">
        <f>L18*L38</f>
        <v/>
      </c>
      <c r="M39" s="17">
        <f>M18*M38</f>
        <v/>
      </c>
      <c r="N39" s="17">
        <f>N18*N38</f>
        <v/>
      </c>
      <c r="O39" s="17">
        <f>O18*O38</f>
        <v/>
      </c>
      <c r="P39" s="18">
        <f>SUM(D39:O39)</f>
        <v/>
      </c>
      <c r="Q39" s="19" t="inlineStr"/>
    </row>
    <row r="40" ht="17" customHeight="1">
      <c r="C40" s="12" t="inlineStr">
        <is>
          <t>平台其他费率</t>
        </is>
      </c>
      <c r="D40" s="13" t="n">
        <v>0.014</v>
      </c>
      <c r="E40" s="13" t="n">
        <v>0.014</v>
      </c>
      <c r="F40" s="13" t="n">
        <v>0.014</v>
      </c>
      <c r="G40" s="13" t="n">
        <v>0.014</v>
      </c>
      <c r="H40" s="13" t="n">
        <v>0.014</v>
      </c>
      <c r="I40" s="13" t="n">
        <v>0.014</v>
      </c>
      <c r="J40" s="13" t="n">
        <v>0.014</v>
      </c>
      <c r="K40" s="13" t="n">
        <v>0.014</v>
      </c>
      <c r="L40" s="13" t="n">
        <v>0.014</v>
      </c>
      <c r="M40" s="13" t="n">
        <v>0.014</v>
      </c>
      <c r="N40" s="13" t="n">
        <v>0.014</v>
      </c>
      <c r="O40" s="13" t="n">
        <v>0.014</v>
      </c>
      <c r="P40" s="14">
        <f>SUM(D40:O40)</f>
        <v/>
      </c>
      <c r="Q40" s="15" t="inlineStr"/>
    </row>
    <row r="41" ht="17" customHeight="1">
      <c r="C41" s="16" t="inlineStr">
        <is>
          <t>平台其他费用</t>
        </is>
      </c>
      <c r="D41" s="17">
        <f>D18*D40</f>
        <v/>
      </c>
      <c r="E41" s="17">
        <f>E18*E40</f>
        <v/>
      </c>
      <c r="F41" s="17">
        <f>F18*F40</f>
        <v/>
      </c>
      <c r="G41" s="17">
        <f>G18*G40</f>
        <v/>
      </c>
      <c r="H41" s="17">
        <f>H18*H40</f>
        <v/>
      </c>
      <c r="I41" s="17">
        <f>I18*I40</f>
        <v/>
      </c>
      <c r="J41" s="17">
        <f>J18*J40</f>
        <v/>
      </c>
      <c r="K41" s="17">
        <f>K18*K40</f>
        <v/>
      </c>
      <c r="L41" s="17">
        <f>L18*L40</f>
        <v/>
      </c>
      <c r="M41" s="17">
        <f>M18*M40</f>
        <v/>
      </c>
      <c r="N41" s="17">
        <f>N18*N40</f>
        <v/>
      </c>
      <c r="O41" s="17">
        <f>O18*O40</f>
        <v/>
      </c>
      <c r="P41" s="18">
        <f>SUM(D41:O41)</f>
        <v/>
      </c>
      <c r="Q41" s="19" t="inlineStr"/>
    </row>
    <row r="42" ht="17" customHeight="1">
      <c r="C42" s="12" t="inlineStr">
        <is>
          <t>售后费率</t>
        </is>
      </c>
      <c r="D42" s="13" t="n">
        <v>0.03</v>
      </c>
      <c r="E42" s="13" t="n">
        <v>0.03</v>
      </c>
      <c r="F42" s="13" t="n">
        <v>0.03</v>
      </c>
      <c r="G42" s="13" t="n">
        <v>0.03</v>
      </c>
      <c r="H42" s="13" t="n">
        <v>0.03</v>
      </c>
      <c r="I42" s="13" t="n">
        <v>0.03</v>
      </c>
      <c r="J42" s="13" t="n">
        <v>0.03</v>
      </c>
      <c r="K42" s="13" t="n">
        <v>0.03</v>
      </c>
      <c r="L42" s="13" t="n">
        <v>0.03</v>
      </c>
      <c r="M42" s="13" t="n">
        <v>0.03</v>
      </c>
      <c r="N42" s="13" t="n">
        <v>0.03</v>
      </c>
      <c r="O42" s="13" t="n">
        <v>0.03</v>
      </c>
      <c r="P42" s="14">
        <f>SUM(D42:O42)</f>
        <v/>
      </c>
      <c r="Q42" s="15" t="inlineStr"/>
    </row>
    <row r="43" ht="17" customHeight="1">
      <c r="C43" s="16" t="inlineStr">
        <is>
          <t>售后费用</t>
        </is>
      </c>
      <c r="D43" s="17">
        <f>D18*D42</f>
        <v/>
      </c>
      <c r="E43" s="17">
        <f>E18*E42</f>
        <v/>
      </c>
      <c r="F43" s="17">
        <f>F18*F42</f>
        <v/>
      </c>
      <c r="G43" s="17">
        <f>G18*G42</f>
        <v/>
      </c>
      <c r="H43" s="17">
        <f>H18*H42</f>
        <v/>
      </c>
      <c r="I43" s="17">
        <f>I18*I42</f>
        <v/>
      </c>
      <c r="J43" s="17">
        <f>J18*J42</f>
        <v/>
      </c>
      <c r="K43" s="17">
        <f>K18*K42</f>
        <v/>
      </c>
      <c r="L43" s="17">
        <f>L18*L42</f>
        <v/>
      </c>
      <c r="M43" s="17">
        <f>M18*M42</f>
        <v/>
      </c>
      <c r="N43" s="17">
        <f>N18*N42</f>
        <v/>
      </c>
      <c r="O43" s="17">
        <f>O18*O42</f>
        <v/>
      </c>
      <c r="P43" s="18">
        <f>SUM(D43:O43)</f>
        <v/>
      </c>
      <c r="Q43" s="19" t="inlineStr"/>
    </row>
    <row r="44" ht="17" customHeight="1">
      <c r="C44" s="12" t="inlineStr">
        <is>
          <t>店铺运营综合费率</t>
        </is>
      </c>
      <c r="D44" s="13" t="n">
        <v>0.098</v>
      </c>
      <c r="E44" s="13" t="n">
        <v>0.098</v>
      </c>
      <c r="F44" s="13" t="n">
        <v>0.098</v>
      </c>
      <c r="G44" s="13" t="n">
        <v>0.098</v>
      </c>
      <c r="H44" s="13" t="n">
        <v>0.098</v>
      </c>
      <c r="I44" s="13" t="n">
        <v>0.098</v>
      </c>
      <c r="J44" s="13" t="n">
        <v>0.098</v>
      </c>
      <c r="K44" s="13" t="n">
        <v>0.098</v>
      </c>
      <c r="L44" s="13" t="n">
        <v>0.098</v>
      </c>
      <c r="M44" s="13" t="n">
        <v>0.098</v>
      </c>
      <c r="N44" s="13" t="n">
        <v>0.098</v>
      </c>
      <c r="O44" s="13" t="n">
        <v>0.098</v>
      </c>
      <c r="P44" s="14">
        <f>SUM(D44:O44)</f>
        <v/>
      </c>
      <c r="Q44" s="15" t="inlineStr"/>
    </row>
    <row r="45" ht="17" customHeight="1">
      <c r="C45" s="16" t="inlineStr">
        <is>
          <t>店铺运营费用</t>
        </is>
      </c>
      <c r="D45" s="17">
        <f>D18*D44</f>
        <v/>
      </c>
      <c r="E45" s="17">
        <f>E18*E44</f>
        <v/>
      </c>
      <c r="F45" s="17">
        <f>F18*F44</f>
        <v/>
      </c>
      <c r="G45" s="17">
        <f>G18*G44</f>
        <v/>
      </c>
      <c r="H45" s="17">
        <f>H18*H44</f>
        <v/>
      </c>
      <c r="I45" s="17">
        <f>I18*I44</f>
        <v/>
      </c>
      <c r="J45" s="17">
        <f>J18*J44</f>
        <v/>
      </c>
      <c r="K45" s="17">
        <f>K18*K44</f>
        <v/>
      </c>
      <c r="L45" s="17">
        <f>L18*L44</f>
        <v/>
      </c>
      <c r="M45" s="17">
        <f>M18*M44</f>
        <v/>
      </c>
      <c r="N45" s="17">
        <f>N18*N44</f>
        <v/>
      </c>
      <c r="O45" s="17">
        <f>O18*O44</f>
        <v/>
      </c>
      <c r="P45" s="18">
        <f>SUM(D45:O45)</f>
        <v/>
      </c>
      <c r="Q45" s="19" t="inlineStr"/>
    </row>
    <row r="46" ht="17" customHeight="1">
      <c r="C46" s="20" t="inlineStr">
        <is>
          <t>A&amp;P 合计</t>
        </is>
      </c>
      <c r="D46" s="21">
        <f>D30+D34+D36+D37+D39+D41+D43+D45</f>
        <v/>
      </c>
      <c r="E46" s="21">
        <f>E30+E34+E36+E37+E39+E41+E43+E45</f>
        <v/>
      </c>
      <c r="F46" s="21">
        <f>F30+F34+F36+F37+F39+F41+F43+F45</f>
        <v/>
      </c>
      <c r="G46" s="21">
        <f>G30+G34+G36+G37+G39+G41+G43+G45</f>
        <v/>
      </c>
      <c r="H46" s="21">
        <f>H30+H34+H36+H37+H39+H41+H43+H45</f>
        <v/>
      </c>
      <c r="I46" s="21">
        <f>I30+I34+I36+I37+I39+I41+I43+I45</f>
        <v/>
      </c>
      <c r="J46" s="21">
        <f>J30+J34+J36+J37+J39+J41+J43+J45</f>
        <v/>
      </c>
      <c r="K46" s="21">
        <f>K30+K34+K36+K37+K39+K41+K43+K45</f>
        <v/>
      </c>
      <c r="L46" s="21">
        <f>L30+L34+L36+L37+L39+L41+L43+L45</f>
        <v/>
      </c>
      <c r="M46" s="21">
        <f>M30+M34+M36+M37+M39+M41+M43+M45</f>
        <v/>
      </c>
      <c r="N46" s="21">
        <f>N30+N34+N36+N37+N39+N41+N43+N45</f>
        <v/>
      </c>
      <c r="O46" s="21">
        <f>O30+O34+O36+O37+O39+O41+O43+O45</f>
        <v/>
      </c>
      <c r="P46" s="21">
        <f>SUM(D46:O46)</f>
        <v/>
      </c>
      <c r="Q46" s="22" t="inlineStr"/>
    </row>
    <row r="47" ht="6" customHeight="1"/>
    <row r="48" ht="18" customHeight="1">
      <c r="C48" s="6" t="inlineStr">
        <is>
          <t xml:space="preserve">  五、店铺利润（渠道贡献）</t>
        </is>
      </c>
    </row>
    <row r="49" ht="17" customHeight="1">
      <c r="C49" s="20" t="inlineStr">
        <is>
          <t>店铺利润</t>
        </is>
      </c>
      <c r="D49" s="21">
        <f>D26-D46</f>
        <v/>
      </c>
      <c r="E49" s="21">
        <f>E26-E46</f>
        <v/>
      </c>
      <c r="F49" s="21">
        <f>F26-F46</f>
        <v/>
      </c>
      <c r="G49" s="21">
        <f>G26-G46</f>
        <v/>
      </c>
      <c r="H49" s="21">
        <f>H26-H46</f>
        <v/>
      </c>
      <c r="I49" s="21">
        <f>I26-I46</f>
        <v/>
      </c>
      <c r="J49" s="21">
        <f>J26-J46</f>
        <v/>
      </c>
      <c r="K49" s="21">
        <f>K26-K46</f>
        <v/>
      </c>
      <c r="L49" s="21">
        <f>L26-L46</f>
        <v/>
      </c>
      <c r="M49" s="21">
        <f>M26-M46</f>
        <v/>
      </c>
      <c r="N49" s="21">
        <f>N26-N46</f>
        <v/>
      </c>
      <c r="O49" s="21">
        <f>O26-O46</f>
        <v/>
      </c>
      <c r="P49" s="21">
        <f>SUM(D49:O49)</f>
        <v/>
      </c>
      <c r="Q49" s="22" t="inlineStr"/>
    </row>
    <row r="50" ht="6" customHeight="1"/>
    <row r="51" ht="18" customHeight="1">
      <c r="C51" s="6" t="inlineStr">
        <is>
          <t xml:space="preserve">  六、BU 可控 / 贡献层</t>
        </is>
      </c>
    </row>
    <row r="52" ht="17" customHeight="1">
      <c r="C52" s="7" t="inlineStr">
        <is>
          <t>销售管理费用（预算）</t>
        </is>
      </c>
      <c r="D52" s="8" t="n">
        <v>500000</v>
      </c>
      <c r="E52" s="8" t="n">
        <v>500000</v>
      </c>
      <c r="F52" s="8" t="n">
        <v>500000</v>
      </c>
      <c r="G52" s="8" t="n">
        <v>500000</v>
      </c>
      <c r="H52" s="8" t="n">
        <v>500000</v>
      </c>
      <c r="I52" s="8" t="n">
        <v>500000</v>
      </c>
      <c r="J52" s="8" t="n">
        <v>500000</v>
      </c>
      <c r="K52" s="8" t="n">
        <v>500000</v>
      </c>
      <c r="L52" s="8" t="n">
        <v>500000</v>
      </c>
      <c r="M52" s="8" t="n">
        <v>500000</v>
      </c>
      <c r="N52" s="8" t="n">
        <v>500000</v>
      </c>
      <c r="O52" s="8" t="n">
        <v>500000</v>
      </c>
      <c r="P52" s="9">
        <f>SUM(D52:O52)</f>
        <v/>
      </c>
      <c r="Q52" s="10" t="inlineStr"/>
    </row>
    <row r="53" ht="17" customHeight="1">
      <c r="C53" s="7" t="inlineStr">
        <is>
          <t>研发费用（预算）</t>
        </is>
      </c>
      <c r="D53" s="8" t="n">
        <v>3000000</v>
      </c>
      <c r="E53" s="8" t="n">
        <v>3000000</v>
      </c>
      <c r="F53" s="8" t="n">
        <v>3000000</v>
      </c>
      <c r="G53" s="8" t="n">
        <v>3000000</v>
      </c>
      <c r="H53" s="8" t="n">
        <v>3000000</v>
      </c>
      <c r="I53" s="8" t="n">
        <v>3000000</v>
      </c>
      <c r="J53" s="8" t="n">
        <v>3000000</v>
      </c>
      <c r="K53" s="8" t="n">
        <v>3000000</v>
      </c>
      <c r="L53" s="8" t="n">
        <v>3000000</v>
      </c>
      <c r="M53" s="8" t="n">
        <v>3000000</v>
      </c>
      <c r="N53" s="8" t="n">
        <v>3000000</v>
      </c>
      <c r="O53" s="8" t="n">
        <v>3000000</v>
      </c>
      <c r="P53" s="9">
        <f>SUM(D53:O53)</f>
        <v/>
      </c>
      <c r="Q53" s="10" t="inlineStr"/>
    </row>
    <row r="54" ht="17" customHeight="1">
      <c r="C54" s="16" t="inlineStr">
        <is>
          <t>BU可控费用合计</t>
        </is>
      </c>
      <c r="D54" s="17">
        <f>D52+D53</f>
        <v/>
      </c>
      <c r="E54" s="17">
        <f>E52+E53</f>
        <v/>
      </c>
      <c r="F54" s="17">
        <f>F52+F53</f>
        <v/>
      </c>
      <c r="G54" s="17">
        <f>G52+G53</f>
        <v/>
      </c>
      <c r="H54" s="17">
        <f>H52+H53</f>
        <v/>
      </c>
      <c r="I54" s="17">
        <f>I52+I53</f>
        <v/>
      </c>
      <c r="J54" s="17">
        <f>J52+J53</f>
        <v/>
      </c>
      <c r="K54" s="17">
        <f>K52+K53</f>
        <v/>
      </c>
      <c r="L54" s="17">
        <f>L52+L53</f>
        <v/>
      </c>
      <c r="M54" s="17">
        <f>M52+M53</f>
        <v/>
      </c>
      <c r="N54" s="17">
        <f>N52+N53</f>
        <v/>
      </c>
      <c r="O54" s="17">
        <f>O52+O53</f>
        <v/>
      </c>
      <c r="P54" s="18">
        <f>SUM(D54:O54)</f>
        <v/>
      </c>
      <c r="Q54" s="19" t="inlineStr"/>
    </row>
    <row r="55" ht="17" customHeight="1">
      <c r="C55" s="20" t="inlineStr">
        <is>
          <t>BU 可控利润</t>
        </is>
      </c>
      <c r="D55" s="21">
        <f>D49-D54</f>
        <v/>
      </c>
      <c r="E55" s="21">
        <f>E49-E54</f>
        <v/>
      </c>
      <c r="F55" s="21">
        <f>F49-F54</f>
        <v/>
      </c>
      <c r="G55" s="21">
        <f>G49-G54</f>
        <v/>
      </c>
      <c r="H55" s="21">
        <f>H49-H54</f>
        <v/>
      </c>
      <c r="I55" s="21">
        <f>I49-I54</f>
        <v/>
      </c>
      <c r="J55" s="21">
        <f>J49-J54</f>
        <v/>
      </c>
      <c r="K55" s="21">
        <f>K49-K54</f>
        <v/>
      </c>
      <c r="L55" s="21">
        <f>L49-L54</f>
        <v/>
      </c>
      <c r="M55" s="21">
        <f>M49-M54</f>
        <v/>
      </c>
      <c r="N55" s="21">
        <f>N49-N54</f>
        <v/>
      </c>
      <c r="O55" s="21">
        <f>O49-O54</f>
        <v/>
      </c>
      <c r="P55" s="21">
        <f>SUM(D55:O55)</f>
        <v/>
      </c>
      <c r="Q55" s="22" t="inlineStr"/>
    </row>
    <row r="56" ht="17" customHeight="1">
      <c r="C56" s="7" t="inlineStr">
        <is>
          <t>BU 贡献费用（预算）</t>
        </is>
      </c>
      <c r="D56" s="8" t="n">
        <v>2800000</v>
      </c>
      <c r="E56" s="8" t="n">
        <v>2800000</v>
      </c>
      <c r="F56" s="8" t="n">
        <v>2800000</v>
      </c>
      <c r="G56" s="8" t="n">
        <v>2800000</v>
      </c>
      <c r="H56" s="8" t="n">
        <v>2800000</v>
      </c>
      <c r="I56" s="8" t="n">
        <v>2800000</v>
      </c>
      <c r="J56" s="8" t="n">
        <v>2800000</v>
      </c>
      <c r="K56" s="8" t="n">
        <v>2800000</v>
      </c>
      <c r="L56" s="8" t="n">
        <v>2800000</v>
      </c>
      <c r="M56" s="8" t="n">
        <v>2800000</v>
      </c>
      <c r="N56" s="8" t="n">
        <v>2800000</v>
      </c>
      <c r="O56" s="8" t="n">
        <v>2800000</v>
      </c>
      <c r="P56" s="9">
        <f>SUM(D56:O56)</f>
        <v/>
      </c>
      <c r="Q56" s="10" t="inlineStr"/>
    </row>
    <row r="57" ht="17" customHeight="1">
      <c r="C57" s="20" t="inlineStr">
        <is>
          <t>BU 贡献利润</t>
        </is>
      </c>
      <c r="D57" s="21">
        <f>D55-D56</f>
        <v/>
      </c>
      <c r="E57" s="21">
        <f>E55-E56</f>
        <v/>
      </c>
      <c r="F57" s="21">
        <f>F55-F56</f>
        <v/>
      </c>
      <c r="G57" s="21">
        <f>G55-G56</f>
        <v/>
      </c>
      <c r="H57" s="21">
        <f>H55-H56</f>
        <v/>
      </c>
      <c r="I57" s="21">
        <f>I55-I56</f>
        <v/>
      </c>
      <c r="J57" s="21">
        <f>J55-J56</f>
        <v/>
      </c>
      <c r="K57" s="21">
        <f>K55-K56</f>
        <v/>
      </c>
      <c r="L57" s="21">
        <f>L55-L56</f>
        <v/>
      </c>
      <c r="M57" s="21">
        <f>M55-M56</f>
        <v/>
      </c>
      <c r="N57" s="21">
        <f>N55-N56</f>
        <v/>
      </c>
      <c r="O57" s="21">
        <f>O55-O56</f>
        <v/>
      </c>
      <c r="P57" s="21">
        <f>SUM(D57:O57)</f>
        <v/>
      </c>
      <c r="Q57" s="22" t="inlineStr"/>
    </row>
    <row r="58" ht="17" customHeight="1">
      <c r="C58" s="7" t="inlineStr">
        <is>
          <t>集团分摊费用（预算）</t>
        </is>
      </c>
      <c r="D58" s="8" t="n">
        <v>1200000</v>
      </c>
      <c r="E58" s="8" t="n">
        <v>1200000</v>
      </c>
      <c r="F58" s="8" t="n">
        <v>1200000</v>
      </c>
      <c r="G58" s="8" t="n">
        <v>1200000</v>
      </c>
      <c r="H58" s="8" t="n">
        <v>1200000</v>
      </c>
      <c r="I58" s="8" t="n">
        <v>1200000</v>
      </c>
      <c r="J58" s="8" t="n">
        <v>1200000</v>
      </c>
      <c r="K58" s="8" t="n">
        <v>1200000</v>
      </c>
      <c r="L58" s="8" t="n">
        <v>1200000</v>
      </c>
      <c r="M58" s="8" t="n">
        <v>1200000</v>
      </c>
      <c r="N58" s="8" t="n">
        <v>1200000</v>
      </c>
      <c r="O58" s="8" t="n">
        <v>1200000</v>
      </c>
      <c r="P58" s="9">
        <f>SUM(D58:O58)</f>
        <v/>
      </c>
      <c r="Q58" s="10" t="inlineStr"/>
    </row>
    <row r="59" ht="17" customHeight="1">
      <c r="C59" s="20" t="inlineStr">
        <is>
          <t>净利润</t>
        </is>
      </c>
      <c r="D59" s="21">
        <f>D57-D58</f>
        <v/>
      </c>
      <c r="E59" s="21">
        <f>E57-E58</f>
        <v/>
      </c>
      <c r="F59" s="21">
        <f>F57-F58</f>
        <v/>
      </c>
      <c r="G59" s="21">
        <f>G57-G58</f>
        <v/>
      </c>
      <c r="H59" s="21">
        <f>H57-H58</f>
        <v/>
      </c>
      <c r="I59" s="21">
        <f>I57-I58</f>
        <v/>
      </c>
      <c r="J59" s="21">
        <f>J57-J58</f>
        <v/>
      </c>
      <c r="K59" s="21">
        <f>K57-K58</f>
        <v/>
      </c>
      <c r="L59" s="21">
        <f>L57-L58</f>
        <v/>
      </c>
      <c r="M59" s="21">
        <f>M57-M58</f>
        <v/>
      </c>
      <c r="N59" s="21">
        <f>N57-N58</f>
        <v/>
      </c>
      <c r="O59" s="21">
        <f>O57-O58</f>
        <v/>
      </c>
      <c r="P59" s="21">
        <f>SUM(D59:O59)</f>
        <v/>
      </c>
      <c r="Q59" s="22" t="inlineStr"/>
    </row>
  </sheetData>
  <mergeCells count="8">
    <mergeCell ref="C2:R2"/>
    <mergeCell ref="C5:R5"/>
    <mergeCell ref="C28:R28"/>
    <mergeCell ref="C13:R13"/>
    <mergeCell ref="C48:R48"/>
    <mergeCell ref="C4:R4"/>
    <mergeCell ref="C20:R20"/>
    <mergeCell ref="C51:R5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C2:R58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" customWidth="1" min="2" max="2"/>
    <col width="2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9" customWidth="1" min="17" max="17"/>
    <col width="28" customWidth="1" min="18" max="18"/>
  </cols>
  <sheetData>
    <row r="1" ht="8" customHeight="1"/>
    <row r="2" ht="28" customHeight="1">
      <c r="C2" s="4" t="inlineStr">
        <is>
          <t>京东 POP — 年度 BP</t>
        </is>
      </c>
    </row>
    <row r="3" ht="20" customHeight="1">
      <c r="C3" s="5" t="inlineStr">
        <is>
          <t>科目</t>
        </is>
      </c>
      <c r="D3" s="5" t="inlineStr">
        <is>
          <t>1月</t>
        </is>
      </c>
      <c r="E3" s="5" t="inlineStr">
        <is>
          <t>2月</t>
        </is>
      </c>
      <c r="F3" s="5" t="inlineStr">
        <is>
          <t>3月</t>
        </is>
      </c>
      <c r="G3" s="5" t="inlineStr">
        <is>
          <t>4月</t>
        </is>
      </c>
      <c r="H3" s="5" t="inlineStr">
        <is>
          <t>5月</t>
        </is>
      </c>
      <c r="I3" s="5" t="inlineStr">
        <is>
          <t>6月</t>
        </is>
      </c>
      <c r="J3" s="5" t="inlineStr">
        <is>
          <t>7月</t>
        </is>
      </c>
      <c r="K3" s="5" t="inlineStr">
        <is>
          <t>8月</t>
        </is>
      </c>
      <c r="L3" s="5" t="inlineStr">
        <is>
          <t>9月</t>
        </is>
      </c>
      <c r="M3" s="5" t="inlineStr">
        <is>
          <t>10月</t>
        </is>
      </c>
      <c r="N3" s="5" t="inlineStr">
        <is>
          <t>11月</t>
        </is>
      </c>
      <c r="O3" s="5" t="inlineStr">
        <is>
          <t>12月</t>
        </is>
      </c>
      <c r="P3" s="5" t="inlineStr">
        <is>
          <t>合计</t>
        </is>
      </c>
      <c r="Q3" s="5" t="inlineStr">
        <is>
          <t>费比</t>
        </is>
      </c>
    </row>
    <row r="4" ht="18" customHeight="1">
      <c r="C4" s="6" t="inlineStr">
        <is>
          <t xml:space="preserve">  一、GMV 层</t>
        </is>
      </c>
    </row>
    <row r="5" ht="17" customHeight="1">
      <c r="C5" s="7" t="inlineStr">
        <is>
          <t>自补前 GMV（月度目标）</t>
        </is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9">
        <f>SUM(D5:O5)</f>
        <v/>
      </c>
      <c r="Q5" s="10" t="inlineStr"/>
      <c r="R5" s="11" t="inlineStr">
        <is>
          <t>渠道填写</t>
        </is>
      </c>
    </row>
    <row r="6" ht="17" customHeight="1">
      <c r="C6" s="12" t="inlineStr">
        <is>
          <t>国补/自补费用率</t>
        </is>
      </c>
      <c r="D6" s="13" t="n">
        <v>0.1</v>
      </c>
      <c r="E6" s="13" t="n">
        <v>0.1</v>
      </c>
      <c r="F6" s="13" t="n">
        <v>0.1</v>
      </c>
      <c r="G6" s="13" t="n">
        <v>0.1</v>
      </c>
      <c r="H6" s="13" t="n">
        <v>0.1</v>
      </c>
      <c r="I6" s="13" t="n">
        <v>0.1</v>
      </c>
      <c r="J6" s="13" t="n">
        <v>0.1</v>
      </c>
      <c r="K6" s="13" t="n">
        <v>0.1</v>
      </c>
      <c r="L6" s="13" t="n">
        <v>0.1</v>
      </c>
      <c r="M6" s="13" t="n">
        <v>0.1</v>
      </c>
      <c r="N6" s="13" t="n">
        <v>0.1</v>
      </c>
      <c r="O6" s="13" t="n">
        <v>0.1</v>
      </c>
      <c r="P6" s="14">
        <f>SUM(D6:O6)</f>
        <v/>
      </c>
      <c r="Q6" s="15" t="inlineStr"/>
    </row>
    <row r="7" ht="17" customHeight="1">
      <c r="C7" s="16" t="inlineStr">
        <is>
          <t>国补/自补费用</t>
        </is>
      </c>
      <c r="D7" s="17">
        <f>D5*D6</f>
        <v/>
      </c>
      <c r="E7" s="17">
        <f>E5*E6</f>
        <v/>
      </c>
      <c r="F7" s="17">
        <f>F5*F6</f>
        <v/>
      </c>
      <c r="G7" s="17">
        <f>G5*G6</f>
        <v/>
      </c>
      <c r="H7" s="17">
        <f>H5*H6</f>
        <v/>
      </c>
      <c r="I7" s="17">
        <f>I5*I6</f>
        <v/>
      </c>
      <c r="J7" s="17">
        <f>J5*J6</f>
        <v/>
      </c>
      <c r="K7" s="17">
        <f>K5*K6</f>
        <v/>
      </c>
      <c r="L7" s="17">
        <f>L5*L6</f>
        <v/>
      </c>
      <c r="M7" s="17">
        <f>M5*M6</f>
        <v/>
      </c>
      <c r="N7" s="17">
        <f>N5*N6</f>
        <v/>
      </c>
      <c r="O7" s="17">
        <f>O5*O6</f>
        <v/>
      </c>
      <c r="P7" s="18">
        <f>SUM(D7:O7)</f>
        <v/>
      </c>
      <c r="Q7" s="19" t="inlineStr"/>
    </row>
    <row r="8" ht="17" customHeight="1">
      <c r="C8" s="20" t="inlineStr">
        <is>
          <t>GMV（剔除国补）</t>
        </is>
      </c>
      <c r="D8" s="21">
        <f>D5-D7</f>
        <v/>
      </c>
      <c r="E8" s="21">
        <f>E5-E7</f>
        <v/>
      </c>
      <c r="F8" s="21">
        <f>F5-F7</f>
        <v/>
      </c>
      <c r="G8" s="21">
        <f>G5-G7</f>
        <v/>
      </c>
      <c r="H8" s="21">
        <f>H5-H7</f>
        <v/>
      </c>
      <c r="I8" s="21">
        <f>I5-I7</f>
        <v/>
      </c>
      <c r="J8" s="21">
        <f>J5-J7</f>
        <v/>
      </c>
      <c r="K8" s="21">
        <f>K5-K7</f>
        <v/>
      </c>
      <c r="L8" s="21">
        <f>L5-L7</f>
        <v/>
      </c>
      <c r="M8" s="21">
        <f>M5-M7</f>
        <v/>
      </c>
      <c r="N8" s="21">
        <f>N5-N7</f>
        <v/>
      </c>
      <c r="O8" s="21">
        <f>O5-O7</f>
        <v/>
      </c>
      <c r="P8" s="21">
        <f>SUM(D8:O8)</f>
        <v/>
      </c>
      <c r="Q8" s="22" t="inlineStr"/>
    </row>
    <row r="9" ht="17" customHeight="1">
      <c r="C9" s="12" t="inlineStr">
        <is>
          <t>退货率</t>
        </is>
      </c>
      <c r="D9" s="13" t="n">
        <v>0.19</v>
      </c>
      <c r="E9" s="13" t="n">
        <v>0.19</v>
      </c>
      <c r="F9" s="13" t="n">
        <v>0.19</v>
      </c>
      <c r="G9" s="13" t="n">
        <v>0.19</v>
      </c>
      <c r="H9" s="13" t="n">
        <v>0.19</v>
      </c>
      <c r="I9" s="13" t="n">
        <v>0.19</v>
      </c>
      <c r="J9" s="13" t="n">
        <v>0.19</v>
      </c>
      <c r="K9" s="13" t="n">
        <v>0.19</v>
      </c>
      <c r="L9" s="13" t="n">
        <v>0.19</v>
      </c>
      <c r="M9" s="13" t="n">
        <v>0.19</v>
      </c>
      <c r="N9" s="13" t="n">
        <v>0.19</v>
      </c>
      <c r="O9" s="13" t="n">
        <v>0.19</v>
      </c>
      <c r="P9" s="14">
        <f>SUM(D9:O9)</f>
        <v/>
      </c>
      <c r="Q9" s="15" t="inlineStr"/>
    </row>
    <row r="10" ht="17" customHeight="1">
      <c r="C10" s="20" t="inlineStr">
        <is>
          <t>GSV（去退货）</t>
        </is>
      </c>
      <c r="D10" s="21">
        <f>D8*(1-D9)</f>
        <v/>
      </c>
      <c r="E10" s="21">
        <f>E8*(1-E9)</f>
        <v/>
      </c>
      <c r="F10" s="21">
        <f>F8*(1-F9)</f>
        <v/>
      </c>
      <c r="G10" s="21">
        <f>G8*(1-G9)</f>
        <v/>
      </c>
      <c r="H10" s="21">
        <f>H8*(1-H9)</f>
        <v/>
      </c>
      <c r="I10" s="21">
        <f>I8*(1-I9)</f>
        <v/>
      </c>
      <c r="J10" s="21">
        <f>J8*(1-J9)</f>
        <v/>
      </c>
      <c r="K10" s="21">
        <f>K8*(1-K9)</f>
        <v/>
      </c>
      <c r="L10" s="21">
        <f>L8*(1-L9)</f>
        <v/>
      </c>
      <c r="M10" s="21">
        <f>M8*(1-M9)</f>
        <v/>
      </c>
      <c r="N10" s="21">
        <f>N8*(1-N9)</f>
        <v/>
      </c>
      <c r="O10" s="21">
        <f>O8*(1-O9)</f>
        <v/>
      </c>
      <c r="P10" s="21">
        <f>SUM(D10:O10)</f>
        <v/>
      </c>
      <c r="Q10" s="22" t="inlineStr"/>
    </row>
    <row r="11" ht="6" customHeight="1"/>
    <row r="12" ht="18" customHeight="1">
      <c r="C12" s="6" t="inlineStr">
        <is>
          <t xml:space="preserve">  二、营业收入层</t>
        </is>
      </c>
    </row>
    <row r="13" ht="17" customHeight="1">
      <c r="C13" s="12" t="inlineStr">
        <is>
          <t>合同折扣及返利费率（线下）</t>
        </is>
      </c>
      <c r="D13" s="13" t="n">
        <v>0.04</v>
      </c>
      <c r="E13" s="13" t="n">
        <v>0.04</v>
      </c>
      <c r="F13" s="13" t="n">
        <v>0.04</v>
      </c>
      <c r="G13" s="13" t="n">
        <v>0.04</v>
      </c>
      <c r="H13" s="13" t="n">
        <v>0.04</v>
      </c>
      <c r="I13" s="13" t="n">
        <v>0.04</v>
      </c>
      <c r="J13" s="13" t="n">
        <v>0.04</v>
      </c>
      <c r="K13" s="13" t="n">
        <v>0.04</v>
      </c>
      <c r="L13" s="13" t="n">
        <v>0.04</v>
      </c>
      <c r="M13" s="13" t="n">
        <v>0.04</v>
      </c>
      <c r="N13" s="13" t="n">
        <v>0.04</v>
      </c>
      <c r="O13" s="13" t="n">
        <v>0.04</v>
      </c>
      <c r="P13" s="14">
        <f>SUM(D13:O13)</f>
        <v/>
      </c>
      <c r="Q13" s="15" t="inlineStr"/>
    </row>
    <row r="14" ht="17" customHeight="1">
      <c r="C14" s="12" t="inlineStr">
        <is>
          <t>国补/自补折扣费率（线上）</t>
        </is>
      </c>
      <c r="D14" s="13" t="n">
        <v>0.1</v>
      </c>
      <c r="E14" s="13" t="n">
        <v>0.1</v>
      </c>
      <c r="F14" s="13" t="n">
        <v>0.1</v>
      </c>
      <c r="G14" s="13" t="n">
        <v>0.1</v>
      </c>
      <c r="H14" s="13" t="n">
        <v>0.1</v>
      </c>
      <c r="I14" s="13" t="n">
        <v>0.1</v>
      </c>
      <c r="J14" s="13" t="n">
        <v>0.1</v>
      </c>
      <c r="K14" s="13" t="n">
        <v>0.1</v>
      </c>
      <c r="L14" s="13" t="n">
        <v>0.1</v>
      </c>
      <c r="M14" s="13" t="n">
        <v>0.1</v>
      </c>
      <c r="N14" s="13" t="n">
        <v>0.1</v>
      </c>
      <c r="O14" s="13" t="n">
        <v>0.1</v>
      </c>
      <c r="P14" s="14">
        <f>SUM(D14:O14)</f>
        <v/>
      </c>
      <c r="Q14" s="15" t="inlineStr"/>
    </row>
    <row r="15" ht="17" customHeight="1">
      <c r="C15" s="12" t="inlineStr">
        <is>
          <t>红包/促销折扣费率</t>
        </is>
      </c>
      <c r="D15" s="13" t="n">
        <v>0.17</v>
      </c>
      <c r="E15" s="13" t="n">
        <v>0.17</v>
      </c>
      <c r="F15" s="13" t="n">
        <v>0.17</v>
      </c>
      <c r="G15" s="13" t="n">
        <v>0.17</v>
      </c>
      <c r="H15" s="13" t="n">
        <v>0.17</v>
      </c>
      <c r="I15" s="13" t="n">
        <v>0.17</v>
      </c>
      <c r="J15" s="13" t="n">
        <v>0.17</v>
      </c>
      <c r="K15" s="13" t="n">
        <v>0.17</v>
      </c>
      <c r="L15" s="13" t="n">
        <v>0.17</v>
      </c>
      <c r="M15" s="13" t="n">
        <v>0.17</v>
      </c>
      <c r="N15" s="13" t="n">
        <v>0.17</v>
      </c>
      <c r="O15" s="13" t="n">
        <v>0.17</v>
      </c>
      <c r="P15" s="14">
        <f>SUM(D15:O15)</f>
        <v/>
      </c>
      <c r="Q15" s="15" t="inlineStr"/>
    </row>
    <row r="16" ht="17" customHeight="1">
      <c r="C16" s="16" t="inlineStr">
        <is>
          <t>TTL折扣合计</t>
        </is>
      </c>
      <c r="D16" s="17">
        <f>(D13+D14+D15)*D10</f>
        <v/>
      </c>
      <c r="E16" s="17">
        <f>(E13+E14+E15)*E10</f>
        <v/>
      </c>
      <c r="F16" s="17">
        <f>(F13+F14+F15)*F10</f>
        <v/>
      </c>
      <c r="G16" s="17">
        <f>(G13+G14+G15)*G10</f>
        <v/>
      </c>
      <c r="H16" s="17">
        <f>(H13+H14+H15)*H10</f>
        <v/>
      </c>
      <c r="I16" s="17">
        <f>(I13+I14+I15)*I10</f>
        <v/>
      </c>
      <c r="J16" s="17">
        <f>(J13+J14+J15)*J10</f>
        <v/>
      </c>
      <c r="K16" s="17">
        <f>(K13+K14+K15)*K10</f>
        <v/>
      </c>
      <c r="L16" s="17">
        <f>(L13+L14+L15)*L10</f>
        <v/>
      </c>
      <c r="M16" s="17">
        <f>(M13+M14+M15)*M10</f>
        <v/>
      </c>
      <c r="N16" s="17">
        <f>(N13+N14+N15)*N10</f>
        <v/>
      </c>
      <c r="O16" s="17">
        <f>(O13+O14+O15)*O10</f>
        <v/>
      </c>
      <c r="P16" s="18">
        <f>SUM(D16:O16)</f>
        <v/>
      </c>
      <c r="Q16" s="19" t="inlineStr"/>
    </row>
    <row r="17" ht="17" customHeight="1">
      <c r="C17" s="20" t="inlineStr">
        <is>
          <t>营业收入（净销售收入）</t>
        </is>
      </c>
      <c r="D17" s="21">
        <f>D10-D16</f>
        <v/>
      </c>
      <c r="E17" s="21">
        <f>E10-E16</f>
        <v/>
      </c>
      <c r="F17" s="21">
        <f>F10-F16</f>
        <v/>
      </c>
      <c r="G17" s="21">
        <f>G10-G16</f>
        <v/>
      </c>
      <c r="H17" s="21">
        <f>H10-H16</f>
        <v/>
      </c>
      <c r="I17" s="21">
        <f>I10-I16</f>
        <v/>
      </c>
      <c r="J17" s="21">
        <f>J10-J16</f>
        <v/>
      </c>
      <c r="K17" s="21">
        <f>K10-K16</f>
        <v/>
      </c>
      <c r="L17" s="21">
        <f>L10-L16</f>
        <v/>
      </c>
      <c r="M17" s="21">
        <f>M10-M16</f>
        <v/>
      </c>
      <c r="N17" s="21">
        <f>N10-N16</f>
        <v/>
      </c>
      <c r="O17" s="21">
        <f>O10-O16</f>
        <v/>
      </c>
      <c r="P17" s="21">
        <f>SUM(D17:O17)</f>
        <v/>
      </c>
      <c r="Q17" s="22" t="inlineStr"/>
    </row>
    <row r="18" ht="6" customHeight="1"/>
    <row r="19" ht="18" customHeight="1">
      <c r="C19" s="6" t="inlineStr">
        <is>
          <t xml:space="preserve">  三、毛利层</t>
        </is>
      </c>
    </row>
    <row r="20" ht="17" customHeight="1">
      <c r="C20" s="12" t="inlineStr">
        <is>
          <t>标准主品及配件成本率</t>
        </is>
      </c>
      <c r="D20" s="13" t="n">
        <v>0.46</v>
      </c>
      <c r="E20" s="13" t="n">
        <v>0.46</v>
      </c>
      <c r="F20" s="13" t="n">
        <v>0.46</v>
      </c>
      <c r="G20" s="13" t="n">
        <v>0.46</v>
      </c>
      <c r="H20" s="13" t="n">
        <v>0.46</v>
      </c>
      <c r="I20" s="13" t="n">
        <v>0.46</v>
      </c>
      <c r="J20" s="13" t="n">
        <v>0.46</v>
      </c>
      <c r="K20" s="13" t="n">
        <v>0.46</v>
      </c>
      <c r="L20" s="13" t="n">
        <v>0.46</v>
      </c>
      <c r="M20" s="13" t="n">
        <v>0.46</v>
      </c>
      <c r="N20" s="13" t="n">
        <v>0.46</v>
      </c>
      <c r="O20" s="13" t="n">
        <v>0.46</v>
      </c>
      <c r="P20" s="14">
        <f>SUM(D20:O20)</f>
        <v/>
      </c>
      <c r="Q20" s="15" t="inlineStr"/>
    </row>
    <row r="21" ht="17" customHeight="1">
      <c r="C21" s="16" t="inlineStr">
        <is>
          <t>标准主品及配件成本</t>
        </is>
      </c>
      <c r="D21" s="17">
        <f>D17*D20</f>
        <v/>
      </c>
      <c r="E21" s="17">
        <f>E17*E20</f>
        <v/>
      </c>
      <c r="F21" s="17">
        <f>F17*F20</f>
        <v/>
      </c>
      <c r="G21" s="17">
        <f>G17*G20</f>
        <v/>
      </c>
      <c r="H21" s="17">
        <f>H17*H20</f>
        <v/>
      </c>
      <c r="I21" s="17">
        <f>I17*I20</f>
        <v/>
      </c>
      <c r="J21" s="17">
        <f>J17*J20</f>
        <v/>
      </c>
      <c r="K21" s="17">
        <f>K17*K20</f>
        <v/>
      </c>
      <c r="L21" s="17">
        <f>L17*L20</f>
        <v/>
      </c>
      <c r="M21" s="17">
        <f>M17*M20</f>
        <v/>
      </c>
      <c r="N21" s="17">
        <f>N17*N20</f>
        <v/>
      </c>
      <c r="O21" s="17">
        <f>O17*O20</f>
        <v/>
      </c>
      <c r="P21" s="18">
        <f>SUM(D21:O21)</f>
        <v/>
      </c>
      <c r="Q21" s="19" t="inlineStr"/>
    </row>
    <row r="22" ht="17" customHeight="1">
      <c r="C22" s="20" t="inlineStr">
        <is>
          <t>产品毛利</t>
        </is>
      </c>
      <c r="D22" s="21">
        <f>D17-D21</f>
        <v/>
      </c>
      <c r="E22" s="21">
        <f>E17-E21</f>
        <v/>
      </c>
      <c r="F22" s="21">
        <f>F17-F21</f>
        <v/>
      </c>
      <c r="G22" s="21">
        <f>G17-G21</f>
        <v/>
      </c>
      <c r="H22" s="21">
        <f>H17-H21</f>
        <v/>
      </c>
      <c r="I22" s="21">
        <f>I17-I21</f>
        <v/>
      </c>
      <c r="J22" s="21">
        <f>J17-J21</f>
        <v/>
      </c>
      <c r="K22" s="21">
        <f>K17-K21</f>
        <v/>
      </c>
      <c r="L22" s="21">
        <f>L17-L21</f>
        <v/>
      </c>
      <c r="M22" s="21">
        <f>M17-M21</f>
        <v/>
      </c>
      <c r="N22" s="21">
        <f>N17-N21</f>
        <v/>
      </c>
      <c r="O22" s="21">
        <f>O17-O21</f>
        <v/>
      </c>
      <c r="P22" s="21">
        <f>SUM(D22:O22)</f>
        <v/>
      </c>
      <c r="Q22" s="22" t="inlineStr"/>
    </row>
    <row r="23" ht="17" customHeight="1">
      <c r="C23" s="12" t="inlineStr">
        <is>
          <t>物流/仓储费率</t>
        </is>
      </c>
      <c r="D23" s="13" t="n">
        <v>0.025</v>
      </c>
      <c r="E23" s="13" t="n">
        <v>0.025</v>
      </c>
      <c r="F23" s="13" t="n">
        <v>0.025</v>
      </c>
      <c r="G23" s="13" t="n">
        <v>0.025</v>
      </c>
      <c r="H23" s="13" t="n">
        <v>0.025</v>
      </c>
      <c r="I23" s="13" t="n">
        <v>0.025</v>
      </c>
      <c r="J23" s="13" t="n">
        <v>0.025</v>
      </c>
      <c r="K23" s="13" t="n">
        <v>0.025</v>
      </c>
      <c r="L23" s="13" t="n">
        <v>0.025</v>
      </c>
      <c r="M23" s="13" t="n">
        <v>0.025</v>
      </c>
      <c r="N23" s="13" t="n">
        <v>0.025</v>
      </c>
      <c r="O23" s="13" t="n">
        <v>0.025</v>
      </c>
      <c r="P23" s="14">
        <f>SUM(D23:O23)</f>
        <v/>
      </c>
      <c r="Q23" s="15" t="inlineStr"/>
    </row>
    <row r="24" ht="17" customHeight="1">
      <c r="C24" s="16" t="inlineStr">
        <is>
          <t>物流/仓储费用</t>
        </is>
      </c>
      <c r="D24" s="17">
        <f>D17*D23</f>
        <v/>
      </c>
      <c r="E24" s="17">
        <f>E17*E23</f>
        <v/>
      </c>
      <c r="F24" s="17">
        <f>F17*F23</f>
        <v/>
      </c>
      <c r="G24" s="17">
        <f>G17*G23</f>
        <v/>
      </c>
      <c r="H24" s="17">
        <f>H17*H23</f>
        <v/>
      </c>
      <c r="I24" s="17">
        <f>I17*I23</f>
        <v/>
      </c>
      <c r="J24" s="17">
        <f>J17*J23</f>
        <v/>
      </c>
      <c r="K24" s="17">
        <f>K17*K23</f>
        <v/>
      </c>
      <c r="L24" s="17">
        <f>L17*L23</f>
        <v/>
      </c>
      <c r="M24" s="17">
        <f>M17*M23</f>
        <v/>
      </c>
      <c r="N24" s="17">
        <f>N17*N23</f>
        <v/>
      </c>
      <c r="O24" s="17">
        <f>O17*O23</f>
        <v/>
      </c>
      <c r="P24" s="18">
        <f>SUM(D24:O24)</f>
        <v/>
      </c>
      <c r="Q24" s="19" t="inlineStr"/>
    </row>
    <row r="25" ht="17" customHeight="1">
      <c r="C25" s="20" t="inlineStr">
        <is>
          <t>净毛利</t>
        </is>
      </c>
      <c r="D25" s="21">
        <f>D22-D24</f>
        <v/>
      </c>
      <c r="E25" s="21">
        <f>E22-E24</f>
        <v/>
      </c>
      <c r="F25" s="21">
        <f>F22-F24</f>
        <v/>
      </c>
      <c r="G25" s="21">
        <f>G22-G24</f>
        <v/>
      </c>
      <c r="H25" s="21">
        <f>H22-H24</f>
        <v/>
      </c>
      <c r="I25" s="21">
        <f>I22-I24</f>
        <v/>
      </c>
      <c r="J25" s="21">
        <f>J22-J24</f>
        <v/>
      </c>
      <c r="K25" s="21">
        <f>K22-K24</f>
        <v/>
      </c>
      <c r="L25" s="21">
        <f>L22-L24</f>
        <v/>
      </c>
      <c r="M25" s="21">
        <f>M22-M24</f>
        <v/>
      </c>
      <c r="N25" s="21">
        <f>N22-N24</f>
        <v/>
      </c>
      <c r="O25" s="21">
        <f>O22-O24</f>
        <v/>
      </c>
      <c r="P25" s="21">
        <f>SUM(D25:O25)</f>
        <v/>
      </c>
      <c r="Q25" s="22" t="inlineStr"/>
    </row>
    <row r="26" ht="6" customHeight="1"/>
    <row r="27" ht="18" customHeight="1">
      <c r="C27" s="6" t="inlineStr">
        <is>
          <t xml:space="preserve">  四、A&amp;P 营销与运营费用</t>
        </is>
      </c>
    </row>
    <row r="28" ht="17" customHeight="1">
      <c r="C28" s="12" t="inlineStr">
        <is>
          <t>品牌/内容/达人费率</t>
        </is>
      </c>
      <c r="D28" s="13" t="n">
        <v>0.07000000000000001</v>
      </c>
      <c r="E28" s="13" t="n">
        <v>0.07000000000000001</v>
      </c>
      <c r="F28" s="13" t="n">
        <v>0.07000000000000001</v>
      </c>
      <c r="G28" s="13" t="n">
        <v>0.07000000000000001</v>
      </c>
      <c r="H28" s="13" t="n">
        <v>0.07000000000000001</v>
      </c>
      <c r="I28" s="13" t="n">
        <v>0.07000000000000001</v>
      </c>
      <c r="J28" s="13" t="n">
        <v>0.07000000000000001</v>
      </c>
      <c r="K28" s="13" t="n">
        <v>0.07000000000000001</v>
      </c>
      <c r="L28" s="13" t="n">
        <v>0.07000000000000001</v>
      </c>
      <c r="M28" s="13" t="n">
        <v>0.07000000000000001</v>
      </c>
      <c r="N28" s="13" t="n">
        <v>0.07000000000000001</v>
      </c>
      <c r="O28" s="13" t="n">
        <v>0.07000000000000001</v>
      </c>
      <c r="P28" s="14">
        <f>SUM(D28:O28)</f>
        <v/>
      </c>
      <c r="Q28" s="15" t="inlineStr"/>
    </row>
    <row r="29" ht="17" customHeight="1">
      <c r="C29" s="16" t="inlineStr">
        <is>
          <t>品牌内容费用</t>
        </is>
      </c>
      <c r="D29" s="17">
        <f>D17*D28</f>
        <v/>
      </c>
      <c r="E29" s="17">
        <f>E17*E28</f>
        <v/>
      </c>
      <c r="F29" s="17">
        <f>F17*F28</f>
        <v/>
      </c>
      <c r="G29" s="17">
        <f>G17*G28</f>
        <v/>
      </c>
      <c r="H29" s="17">
        <f>H17*H28</f>
        <v/>
      </c>
      <c r="I29" s="17">
        <f>I17*I28</f>
        <v/>
      </c>
      <c r="J29" s="17">
        <f>J17*J28</f>
        <v/>
      </c>
      <c r="K29" s="17">
        <f>K17*K28</f>
        <v/>
      </c>
      <c r="L29" s="17">
        <f>L17*L28</f>
        <v/>
      </c>
      <c r="M29" s="17">
        <f>M17*M28</f>
        <v/>
      </c>
      <c r="N29" s="17">
        <f>N17*N28</f>
        <v/>
      </c>
      <c r="O29" s="17">
        <f>O17*O28</f>
        <v/>
      </c>
      <c r="P29" s="18">
        <f>SUM(D29:O29)</f>
        <v/>
      </c>
      <c r="Q29" s="19" t="inlineStr"/>
    </row>
    <row r="30" ht="17" customHeight="1">
      <c r="C30" s="12" t="inlineStr">
        <is>
          <t>站内投放费率</t>
        </is>
      </c>
      <c r="D30" s="13" t="n">
        <v>0.1</v>
      </c>
      <c r="E30" s="13" t="n">
        <v>0.1</v>
      </c>
      <c r="F30" s="13" t="n">
        <v>0.1</v>
      </c>
      <c r="G30" s="13" t="n">
        <v>0.1</v>
      </c>
      <c r="H30" s="13" t="n">
        <v>0.1</v>
      </c>
      <c r="I30" s="13" t="n">
        <v>0.1</v>
      </c>
      <c r="J30" s="13" t="n">
        <v>0.1</v>
      </c>
      <c r="K30" s="13" t="n">
        <v>0.1</v>
      </c>
      <c r="L30" s="13" t="n">
        <v>0.1</v>
      </c>
      <c r="M30" s="13" t="n">
        <v>0.1</v>
      </c>
      <c r="N30" s="13" t="n">
        <v>0.1</v>
      </c>
      <c r="O30" s="13" t="n">
        <v>0.1</v>
      </c>
      <c r="P30" s="14">
        <f>SUM(D30:O30)</f>
        <v/>
      </c>
      <c r="Q30" s="15" t="inlineStr"/>
    </row>
    <row r="31" ht="17" customHeight="1">
      <c r="C31" s="12" t="inlineStr">
        <is>
          <t>千川投放费率</t>
        </is>
      </c>
      <c r="D31" s="13" t="n">
        <v>0.06</v>
      </c>
      <c r="E31" s="13" t="n">
        <v>0.06</v>
      </c>
      <c r="F31" s="13" t="n">
        <v>0.06</v>
      </c>
      <c r="G31" s="13" t="n">
        <v>0.06</v>
      </c>
      <c r="H31" s="13" t="n">
        <v>0.06</v>
      </c>
      <c r="I31" s="13" t="n">
        <v>0.06</v>
      </c>
      <c r="J31" s="13" t="n">
        <v>0.06</v>
      </c>
      <c r="K31" s="13" t="n">
        <v>0.06</v>
      </c>
      <c r="L31" s="13" t="n">
        <v>0.06</v>
      </c>
      <c r="M31" s="13" t="n">
        <v>0.06</v>
      </c>
      <c r="N31" s="13" t="n">
        <v>0.06</v>
      </c>
      <c r="O31" s="13" t="n">
        <v>0.06</v>
      </c>
      <c r="P31" s="14">
        <f>SUM(D31:O31)</f>
        <v/>
      </c>
      <c r="Q31" s="15" t="inlineStr"/>
    </row>
    <row r="32" ht="17" customHeight="1">
      <c r="C32" s="12" t="inlineStr">
        <is>
          <t>站外投放费率</t>
        </is>
      </c>
      <c r="D32" s="13" t="n">
        <v>0.02</v>
      </c>
      <c r="E32" s="13" t="n">
        <v>0.02</v>
      </c>
      <c r="F32" s="13" t="n">
        <v>0.02</v>
      </c>
      <c r="G32" s="13" t="n">
        <v>0.02</v>
      </c>
      <c r="H32" s="13" t="n">
        <v>0.02</v>
      </c>
      <c r="I32" s="13" t="n">
        <v>0.02</v>
      </c>
      <c r="J32" s="13" t="n">
        <v>0.02</v>
      </c>
      <c r="K32" s="13" t="n">
        <v>0.02</v>
      </c>
      <c r="L32" s="13" t="n">
        <v>0.02</v>
      </c>
      <c r="M32" s="13" t="n">
        <v>0.02</v>
      </c>
      <c r="N32" s="13" t="n">
        <v>0.02</v>
      </c>
      <c r="O32" s="13" t="n">
        <v>0.02</v>
      </c>
      <c r="P32" s="14">
        <f>SUM(D32:O32)</f>
        <v/>
      </c>
      <c r="Q32" s="15" t="inlineStr"/>
    </row>
    <row r="33" ht="17" customHeight="1">
      <c r="C33" s="16" t="inlineStr">
        <is>
          <t>效果广告合计</t>
        </is>
      </c>
      <c r="D33" s="17">
        <f>(D30+D31+D32)*D17</f>
        <v/>
      </c>
      <c r="E33" s="17">
        <f>(E30+E31+E32)*E17</f>
        <v/>
      </c>
      <c r="F33" s="17">
        <f>(F30+F31+F32)*F17</f>
        <v/>
      </c>
      <c r="G33" s="17">
        <f>(G30+G31+G32)*G17</f>
        <v/>
      </c>
      <c r="H33" s="17">
        <f>(H30+H31+H32)*H17</f>
        <v/>
      </c>
      <c r="I33" s="17">
        <f>(I30+I31+I32)*I17</f>
        <v/>
      </c>
      <c r="J33" s="17">
        <f>(J30+J31+J32)*J17</f>
        <v/>
      </c>
      <c r="K33" s="17">
        <f>(K30+K31+K32)*K17</f>
        <v/>
      </c>
      <c r="L33" s="17">
        <f>(L30+L31+L32)*L17</f>
        <v/>
      </c>
      <c r="M33" s="17">
        <f>(M30+M31+M32)*M17</f>
        <v/>
      </c>
      <c r="N33" s="17">
        <f>(N30+N31+N32)*N17</f>
        <v/>
      </c>
      <c r="O33" s="17">
        <f>(O30+O31+O32)*O17</f>
        <v/>
      </c>
      <c r="P33" s="18">
        <f>SUM(D33:O33)</f>
        <v/>
      </c>
      <c r="Q33" s="19" t="inlineStr"/>
    </row>
    <row r="34" ht="17" customHeight="1">
      <c r="C34" s="12" t="inlineStr">
        <is>
          <t>线上运营费率（直播+赠品）</t>
        </is>
      </c>
      <c r="D34" s="13" t="n">
        <v>0.03</v>
      </c>
      <c r="E34" s="13" t="n">
        <v>0.03</v>
      </c>
      <c r="F34" s="13" t="n">
        <v>0.03</v>
      </c>
      <c r="G34" s="13" t="n">
        <v>0.03</v>
      </c>
      <c r="H34" s="13" t="n">
        <v>0.03</v>
      </c>
      <c r="I34" s="13" t="n">
        <v>0.03</v>
      </c>
      <c r="J34" s="13" t="n">
        <v>0.03</v>
      </c>
      <c r="K34" s="13" t="n">
        <v>0.03</v>
      </c>
      <c r="L34" s="13" t="n">
        <v>0.03</v>
      </c>
      <c r="M34" s="13" t="n">
        <v>0.03</v>
      </c>
      <c r="N34" s="13" t="n">
        <v>0.03</v>
      </c>
      <c r="O34" s="13" t="n">
        <v>0.03</v>
      </c>
      <c r="P34" s="14">
        <f>SUM(D34:O34)</f>
        <v/>
      </c>
      <c r="Q34" s="15" t="inlineStr"/>
    </row>
    <row r="35" ht="17" customHeight="1">
      <c r="C35" s="16" t="inlineStr">
        <is>
          <t>线上运营费用</t>
        </is>
      </c>
      <c r="D35" s="17">
        <f>D17*D34</f>
        <v/>
      </c>
      <c r="E35" s="17">
        <f>E17*E34</f>
        <v/>
      </c>
      <c r="F35" s="17">
        <f>F17*F34</f>
        <v/>
      </c>
      <c r="G35" s="17">
        <f>G17*G34</f>
        <v/>
      </c>
      <c r="H35" s="17">
        <f>H17*H34</f>
        <v/>
      </c>
      <c r="I35" s="17">
        <f>I17*I34</f>
        <v/>
      </c>
      <c r="J35" s="17">
        <f>J17*J34</f>
        <v/>
      </c>
      <c r="K35" s="17">
        <f>K17*K34</f>
        <v/>
      </c>
      <c r="L35" s="17">
        <f>L17*L34</f>
        <v/>
      </c>
      <c r="M35" s="17">
        <f>M17*M34</f>
        <v/>
      </c>
      <c r="N35" s="17">
        <f>N17*N34</f>
        <v/>
      </c>
      <c r="O35" s="17">
        <f>O17*O34</f>
        <v/>
      </c>
      <c r="P35" s="18">
        <f>SUM(D35:O35)</f>
        <v/>
      </c>
      <c r="Q35" s="19" t="inlineStr"/>
    </row>
    <row r="36" ht="17" customHeight="1">
      <c r="C36" s="7" t="inlineStr">
        <is>
          <t>线下市场/渠道费用（预算）</t>
        </is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9">
        <f>SUM(D36:O36)</f>
        <v/>
      </c>
      <c r="Q36" s="10" t="inlineStr"/>
    </row>
    <row r="37" ht="17" customHeight="1">
      <c r="C37" s="12" t="inlineStr">
        <is>
          <t>平台佣金费率</t>
        </is>
      </c>
      <c r="D37" s="13" t="n">
        <v>0.04</v>
      </c>
      <c r="E37" s="13" t="n">
        <v>0.04</v>
      </c>
      <c r="F37" s="13" t="n">
        <v>0.04</v>
      </c>
      <c r="G37" s="13" t="n">
        <v>0.04</v>
      </c>
      <c r="H37" s="13" t="n">
        <v>0.04</v>
      </c>
      <c r="I37" s="13" t="n">
        <v>0.04</v>
      </c>
      <c r="J37" s="13" t="n">
        <v>0.04</v>
      </c>
      <c r="K37" s="13" t="n">
        <v>0.04</v>
      </c>
      <c r="L37" s="13" t="n">
        <v>0.04</v>
      </c>
      <c r="M37" s="13" t="n">
        <v>0.04</v>
      </c>
      <c r="N37" s="13" t="n">
        <v>0.04</v>
      </c>
      <c r="O37" s="13" t="n">
        <v>0.04</v>
      </c>
      <c r="P37" s="14">
        <f>SUM(D37:O37)</f>
        <v/>
      </c>
      <c r="Q37" s="15" t="inlineStr"/>
    </row>
    <row r="38" ht="17" customHeight="1">
      <c r="C38" s="16" t="inlineStr">
        <is>
          <t>平台佣金</t>
        </is>
      </c>
      <c r="D38" s="17">
        <f>D17*D37</f>
        <v/>
      </c>
      <c r="E38" s="17">
        <f>E17*E37</f>
        <v/>
      </c>
      <c r="F38" s="17">
        <f>F17*F37</f>
        <v/>
      </c>
      <c r="G38" s="17">
        <f>G17*G37</f>
        <v/>
      </c>
      <c r="H38" s="17">
        <f>H17*H37</f>
        <v/>
      </c>
      <c r="I38" s="17">
        <f>I17*I37</f>
        <v/>
      </c>
      <c r="J38" s="17">
        <f>J17*J37</f>
        <v/>
      </c>
      <c r="K38" s="17">
        <f>K17*K37</f>
        <v/>
      </c>
      <c r="L38" s="17">
        <f>L17*L37</f>
        <v/>
      </c>
      <c r="M38" s="17">
        <f>M17*M37</f>
        <v/>
      </c>
      <c r="N38" s="17">
        <f>N17*N37</f>
        <v/>
      </c>
      <c r="O38" s="17">
        <f>O17*O37</f>
        <v/>
      </c>
      <c r="P38" s="18">
        <f>SUM(D38:O38)</f>
        <v/>
      </c>
      <c r="Q38" s="19" t="inlineStr"/>
    </row>
    <row r="39" ht="17" customHeight="1">
      <c r="C39" s="12" t="inlineStr">
        <is>
          <t>平台其他费率</t>
        </is>
      </c>
      <c r="D39" s="13" t="n">
        <v>0.014</v>
      </c>
      <c r="E39" s="13" t="n">
        <v>0.014</v>
      </c>
      <c r="F39" s="13" t="n">
        <v>0.014</v>
      </c>
      <c r="G39" s="13" t="n">
        <v>0.014</v>
      </c>
      <c r="H39" s="13" t="n">
        <v>0.014</v>
      </c>
      <c r="I39" s="13" t="n">
        <v>0.014</v>
      </c>
      <c r="J39" s="13" t="n">
        <v>0.014</v>
      </c>
      <c r="K39" s="13" t="n">
        <v>0.014</v>
      </c>
      <c r="L39" s="13" t="n">
        <v>0.014</v>
      </c>
      <c r="M39" s="13" t="n">
        <v>0.014</v>
      </c>
      <c r="N39" s="13" t="n">
        <v>0.014</v>
      </c>
      <c r="O39" s="13" t="n">
        <v>0.014</v>
      </c>
      <c r="P39" s="14">
        <f>SUM(D39:O39)</f>
        <v/>
      </c>
      <c r="Q39" s="15" t="inlineStr"/>
    </row>
    <row r="40" ht="17" customHeight="1">
      <c r="C40" s="16" t="inlineStr">
        <is>
          <t>平台其他费用</t>
        </is>
      </c>
      <c r="D40" s="17">
        <f>D17*D39</f>
        <v/>
      </c>
      <c r="E40" s="17">
        <f>E17*E39</f>
        <v/>
      </c>
      <c r="F40" s="17">
        <f>F17*F39</f>
        <v/>
      </c>
      <c r="G40" s="17">
        <f>G17*G39</f>
        <v/>
      </c>
      <c r="H40" s="17">
        <f>H17*H39</f>
        <v/>
      </c>
      <c r="I40" s="17">
        <f>I17*I39</f>
        <v/>
      </c>
      <c r="J40" s="17">
        <f>J17*J39</f>
        <v/>
      </c>
      <c r="K40" s="17">
        <f>K17*K39</f>
        <v/>
      </c>
      <c r="L40" s="17">
        <f>L17*L39</f>
        <v/>
      </c>
      <c r="M40" s="17">
        <f>M17*M39</f>
        <v/>
      </c>
      <c r="N40" s="17">
        <f>N17*N39</f>
        <v/>
      </c>
      <c r="O40" s="17">
        <f>O17*O39</f>
        <v/>
      </c>
      <c r="P40" s="18">
        <f>SUM(D40:O40)</f>
        <v/>
      </c>
      <c r="Q40" s="19" t="inlineStr"/>
    </row>
    <row r="41" ht="17" customHeight="1">
      <c r="C41" s="12" t="inlineStr">
        <is>
          <t>售后费率</t>
        </is>
      </c>
      <c r="D41" s="13" t="n">
        <v>0.03</v>
      </c>
      <c r="E41" s="13" t="n">
        <v>0.03</v>
      </c>
      <c r="F41" s="13" t="n">
        <v>0.03</v>
      </c>
      <c r="G41" s="13" t="n">
        <v>0.03</v>
      </c>
      <c r="H41" s="13" t="n">
        <v>0.03</v>
      </c>
      <c r="I41" s="13" t="n">
        <v>0.03</v>
      </c>
      <c r="J41" s="13" t="n">
        <v>0.03</v>
      </c>
      <c r="K41" s="13" t="n">
        <v>0.03</v>
      </c>
      <c r="L41" s="13" t="n">
        <v>0.03</v>
      </c>
      <c r="M41" s="13" t="n">
        <v>0.03</v>
      </c>
      <c r="N41" s="13" t="n">
        <v>0.03</v>
      </c>
      <c r="O41" s="13" t="n">
        <v>0.03</v>
      </c>
      <c r="P41" s="14">
        <f>SUM(D41:O41)</f>
        <v/>
      </c>
      <c r="Q41" s="15" t="inlineStr"/>
    </row>
    <row r="42" ht="17" customHeight="1">
      <c r="C42" s="16" t="inlineStr">
        <is>
          <t>售后费用</t>
        </is>
      </c>
      <c r="D42" s="17">
        <f>D17*D41</f>
        <v/>
      </c>
      <c r="E42" s="17">
        <f>E17*E41</f>
        <v/>
      </c>
      <c r="F42" s="17">
        <f>F17*F41</f>
        <v/>
      </c>
      <c r="G42" s="17">
        <f>G17*G41</f>
        <v/>
      </c>
      <c r="H42" s="17">
        <f>H17*H41</f>
        <v/>
      </c>
      <c r="I42" s="17">
        <f>I17*I41</f>
        <v/>
      </c>
      <c r="J42" s="17">
        <f>J17*J41</f>
        <v/>
      </c>
      <c r="K42" s="17">
        <f>K17*K41</f>
        <v/>
      </c>
      <c r="L42" s="17">
        <f>L17*L41</f>
        <v/>
      </c>
      <c r="M42" s="17">
        <f>M17*M41</f>
        <v/>
      </c>
      <c r="N42" s="17">
        <f>N17*N41</f>
        <v/>
      </c>
      <c r="O42" s="17">
        <f>O17*O41</f>
        <v/>
      </c>
      <c r="P42" s="18">
        <f>SUM(D42:O42)</f>
        <v/>
      </c>
      <c r="Q42" s="19" t="inlineStr"/>
    </row>
    <row r="43" ht="17" customHeight="1">
      <c r="C43" s="12" t="inlineStr">
        <is>
          <t>店铺运营综合费率</t>
        </is>
      </c>
      <c r="D43" s="13" t="n">
        <v>0.098</v>
      </c>
      <c r="E43" s="13" t="n">
        <v>0.098</v>
      </c>
      <c r="F43" s="13" t="n">
        <v>0.098</v>
      </c>
      <c r="G43" s="13" t="n">
        <v>0.098</v>
      </c>
      <c r="H43" s="13" t="n">
        <v>0.098</v>
      </c>
      <c r="I43" s="13" t="n">
        <v>0.098</v>
      </c>
      <c r="J43" s="13" t="n">
        <v>0.098</v>
      </c>
      <c r="K43" s="13" t="n">
        <v>0.098</v>
      </c>
      <c r="L43" s="13" t="n">
        <v>0.098</v>
      </c>
      <c r="M43" s="13" t="n">
        <v>0.098</v>
      </c>
      <c r="N43" s="13" t="n">
        <v>0.098</v>
      </c>
      <c r="O43" s="13" t="n">
        <v>0.098</v>
      </c>
      <c r="P43" s="14">
        <f>SUM(D43:O43)</f>
        <v/>
      </c>
      <c r="Q43" s="15" t="inlineStr"/>
    </row>
    <row r="44" ht="17" customHeight="1">
      <c r="C44" s="16" t="inlineStr">
        <is>
          <t>店铺运营费用</t>
        </is>
      </c>
      <c r="D44" s="17">
        <f>D17*D43</f>
        <v/>
      </c>
      <c r="E44" s="17">
        <f>E17*E43</f>
        <v/>
      </c>
      <c r="F44" s="17">
        <f>F17*F43</f>
        <v/>
      </c>
      <c r="G44" s="17">
        <f>G17*G43</f>
        <v/>
      </c>
      <c r="H44" s="17">
        <f>H17*H43</f>
        <v/>
      </c>
      <c r="I44" s="17">
        <f>I17*I43</f>
        <v/>
      </c>
      <c r="J44" s="17">
        <f>J17*J43</f>
        <v/>
      </c>
      <c r="K44" s="17">
        <f>K17*K43</f>
        <v/>
      </c>
      <c r="L44" s="17">
        <f>L17*L43</f>
        <v/>
      </c>
      <c r="M44" s="17">
        <f>M17*M43</f>
        <v/>
      </c>
      <c r="N44" s="17">
        <f>N17*N43</f>
        <v/>
      </c>
      <c r="O44" s="17">
        <f>O17*O43</f>
        <v/>
      </c>
      <c r="P44" s="18">
        <f>SUM(D44:O44)</f>
        <v/>
      </c>
      <c r="Q44" s="19" t="inlineStr"/>
    </row>
    <row r="45" ht="17" customHeight="1">
      <c r="C45" s="20" t="inlineStr">
        <is>
          <t>A&amp;P 合计</t>
        </is>
      </c>
      <c r="D45" s="21">
        <f>D29+D33+D35+D36+D38+D40+D42+D44</f>
        <v/>
      </c>
      <c r="E45" s="21">
        <f>E29+E33+E35+E36+E38+E40+E42+E44</f>
        <v/>
      </c>
      <c r="F45" s="21">
        <f>F29+F33+F35+F36+F38+F40+F42+F44</f>
        <v/>
      </c>
      <c r="G45" s="21">
        <f>G29+G33+G35+G36+G38+G40+G42+G44</f>
        <v/>
      </c>
      <c r="H45" s="21">
        <f>H29+H33+H35+H36+H38+H40+H42+H44</f>
        <v/>
      </c>
      <c r="I45" s="21">
        <f>I29+I33+I35+I36+I38+I40+I42+I44</f>
        <v/>
      </c>
      <c r="J45" s="21">
        <f>J29+J33+J35+J36+J38+J40+J42+J44</f>
        <v/>
      </c>
      <c r="K45" s="21">
        <f>K29+K33+K35+K36+K38+K40+K42+K44</f>
        <v/>
      </c>
      <c r="L45" s="21">
        <f>L29+L33+L35+L36+L38+L40+L42+L44</f>
        <v/>
      </c>
      <c r="M45" s="21">
        <f>M29+M33+M35+M36+M38+M40+M42+M44</f>
        <v/>
      </c>
      <c r="N45" s="21">
        <f>N29+N33+N35+N36+N38+N40+N42+N44</f>
        <v/>
      </c>
      <c r="O45" s="21">
        <f>O29+O33+O35+O36+O38+O40+O42+O44</f>
        <v/>
      </c>
      <c r="P45" s="21">
        <f>SUM(D45:O45)</f>
        <v/>
      </c>
      <c r="Q45" s="22" t="inlineStr"/>
    </row>
    <row r="46" ht="6" customHeight="1"/>
    <row r="47" ht="18" customHeight="1">
      <c r="C47" s="6" t="inlineStr">
        <is>
          <t xml:space="preserve">  五、店铺利润（渠道贡献）</t>
        </is>
      </c>
    </row>
    <row r="48" ht="17" customHeight="1">
      <c r="C48" s="20" t="inlineStr">
        <is>
          <t>店铺利润</t>
        </is>
      </c>
      <c r="D48" s="21">
        <f>D25-D45</f>
        <v/>
      </c>
      <c r="E48" s="21">
        <f>E25-E45</f>
        <v/>
      </c>
      <c r="F48" s="21">
        <f>F25-F45</f>
        <v/>
      </c>
      <c r="G48" s="21">
        <f>G25-G45</f>
        <v/>
      </c>
      <c r="H48" s="21">
        <f>H25-H45</f>
        <v/>
      </c>
      <c r="I48" s="21">
        <f>I25-I45</f>
        <v/>
      </c>
      <c r="J48" s="21">
        <f>J25-J45</f>
        <v/>
      </c>
      <c r="K48" s="21">
        <f>K25-K45</f>
        <v/>
      </c>
      <c r="L48" s="21">
        <f>L25-L45</f>
        <v/>
      </c>
      <c r="M48" s="21">
        <f>M25-M45</f>
        <v/>
      </c>
      <c r="N48" s="21">
        <f>N25-N45</f>
        <v/>
      </c>
      <c r="O48" s="21">
        <f>O25-O45</f>
        <v/>
      </c>
      <c r="P48" s="21">
        <f>SUM(D48:O48)</f>
        <v/>
      </c>
      <c r="Q48" s="22" t="inlineStr"/>
    </row>
    <row r="49" ht="6" customHeight="1"/>
    <row r="50" ht="18" customHeight="1">
      <c r="C50" s="6" t="inlineStr">
        <is>
          <t xml:space="preserve">  六、BU 可控 / 贡献层</t>
        </is>
      </c>
    </row>
    <row r="51" ht="17" customHeight="1">
      <c r="C51" s="7" t="inlineStr">
        <is>
          <t>销售管理费用（预算）</t>
        </is>
      </c>
      <c r="D51" s="8" t="n">
        <v>500000</v>
      </c>
      <c r="E51" s="8" t="n">
        <v>500000</v>
      </c>
      <c r="F51" s="8" t="n">
        <v>500000</v>
      </c>
      <c r="G51" s="8" t="n">
        <v>500000</v>
      </c>
      <c r="H51" s="8" t="n">
        <v>500000</v>
      </c>
      <c r="I51" s="8" t="n">
        <v>500000</v>
      </c>
      <c r="J51" s="8" t="n">
        <v>500000</v>
      </c>
      <c r="K51" s="8" t="n">
        <v>500000</v>
      </c>
      <c r="L51" s="8" t="n">
        <v>500000</v>
      </c>
      <c r="M51" s="8" t="n">
        <v>500000</v>
      </c>
      <c r="N51" s="8" t="n">
        <v>500000</v>
      </c>
      <c r="O51" s="8" t="n">
        <v>500000</v>
      </c>
      <c r="P51" s="9">
        <f>SUM(D51:O51)</f>
        <v/>
      </c>
      <c r="Q51" s="10" t="inlineStr"/>
    </row>
    <row r="52" ht="17" customHeight="1">
      <c r="C52" s="7" t="inlineStr">
        <is>
          <t>研发费用（预算）</t>
        </is>
      </c>
      <c r="D52" s="8" t="n">
        <v>3000000</v>
      </c>
      <c r="E52" s="8" t="n">
        <v>3000000</v>
      </c>
      <c r="F52" s="8" t="n">
        <v>3000000</v>
      </c>
      <c r="G52" s="8" t="n">
        <v>3000000</v>
      </c>
      <c r="H52" s="8" t="n">
        <v>3000000</v>
      </c>
      <c r="I52" s="8" t="n">
        <v>3000000</v>
      </c>
      <c r="J52" s="8" t="n">
        <v>3000000</v>
      </c>
      <c r="K52" s="8" t="n">
        <v>3000000</v>
      </c>
      <c r="L52" s="8" t="n">
        <v>3000000</v>
      </c>
      <c r="M52" s="8" t="n">
        <v>3000000</v>
      </c>
      <c r="N52" s="8" t="n">
        <v>3000000</v>
      </c>
      <c r="O52" s="8" t="n">
        <v>3000000</v>
      </c>
      <c r="P52" s="9">
        <f>SUM(D52:O52)</f>
        <v/>
      </c>
      <c r="Q52" s="10" t="inlineStr"/>
    </row>
    <row r="53" ht="17" customHeight="1">
      <c r="C53" s="16" t="inlineStr">
        <is>
          <t>BU可控费用合计</t>
        </is>
      </c>
      <c r="D53" s="17">
        <f>D51+D52</f>
        <v/>
      </c>
      <c r="E53" s="17">
        <f>E51+E52</f>
        <v/>
      </c>
      <c r="F53" s="17">
        <f>F51+F52</f>
        <v/>
      </c>
      <c r="G53" s="17">
        <f>G51+G52</f>
        <v/>
      </c>
      <c r="H53" s="17">
        <f>H51+H52</f>
        <v/>
      </c>
      <c r="I53" s="17">
        <f>I51+I52</f>
        <v/>
      </c>
      <c r="J53" s="17">
        <f>J51+J52</f>
        <v/>
      </c>
      <c r="K53" s="17">
        <f>K51+K52</f>
        <v/>
      </c>
      <c r="L53" s="17">
        <f>L51+L52</f>
        <v/>
      </c>
      <c r="M53" s="17">
        <f>M51+M52</f>
        <v/>
      </c>
      <c r="N53" s="17">
        <f>N51+N52</f>
        <v/>
      </c>
      <c r="O53" s="17">
        <f>O51+O52</f>
        <v/>
      </c>
      <c r="P53" s="18">
        <f>SUM(D53:O53)</f>
        <v/>
      </c>
      <c r="Q53" s="19" t="inlineStr"/>
    </row>
    <row r="54" ht="17" customHeight="1">
      <c r="C54" s="20" t="inlineStr">
        <is>
          <t>BU 可控利润</t>
        </is>
      </c>
      <c r="D54" s="21">
        <f>D48-D53</f>
        <v/>
      </c>
      <c r="E54" s="21">
        <f>E48-E53</f>
        <v/>
      </c>
      <c r="F54" s="21">
        <f>F48-F53</f>
        <v/>
      </c>
      <c r="G54" s="21">
        <f>G48-G53</f>
        <v/>
      </c>
      <c r="H54" s="21">
        <f>H48-H53</f>
        <v/>
      </c>
      <c r="I54" s="21">
        <f>I48-I53</f>
        <v/>
      </c>
      <c r="J54" s="21">
        <f>J48-J53</f>
        <v/>
      </c>
      <c r="K54" s="21">
        <f>K48-K53</f>
        <v/>
      </c>
      <c r="L54" s="21">
        <f>L48-L53</f>
        <v/>
      </c>
      <c r="M54" s="21">
        <f>M48-M53</f>
        <v/>
      </c>
      <c r="N54" s="21">
        <f>N48-N53</f>
        <v/>
      </c>
      <c r="O54" s="21">
        <f>O48-O53</f>
        <v/>
      </c>
      <c r="P54" s="21">
        <f>SUM(D54:O54)</f>
        <v/>
      </c>
      <c r="Q54" s="22" t="inlineStr"/>
    </row>
    <row r="55" ht="17" customHeight="1">
      <c r="C55" s="7" t="inlineStr">
        <is>
          <t>BU 贡献费用（预算）</t>
        </is>
      </c>
      <c r="D55" s="8" t="n">
        <v>2800000</v>
      </c>
      <c r="E55" s="8" t="n">
        <v>2800000</v>
      </c>
      <c r="F55" s="8" t="n">
        <v>2800000</v>
      </c>
      <c r="G55" s="8" t="n">
        <v>2800000</v>
      </c>
      <c r="H55" s="8" t="n">
        <v>2800000</v>
      </c>
      <c r="I55" s="8" t="n">
        <v>2800000</v>
      </c>
      <c r="J55" s="8" t="n">
        <v>2800000</v>
      </c>
      <c r="K55" s="8" t="n">
        <v>2800000</v>
      </c>
      <c r="L55" s="8" t="n">
        <v>2800000</v>
      </c>
      <c r="M55" s="8" t="n">
        <v>2800000</v>
      </c>
      <c r="N55" s="8" t="n">
        <v>2800000</v>
      </c>
      <c r="O55" s="8" t="n">
        <v>2800000</v>
      </c>
      <c r="P55" s="9">
        <f>SUM(D55:O55)</f>
        <v/>
      </c>
      <c r="Q55" s="10" t="inlineStr"/>
    </row>
    <row r="56" ht="17" customHeight="1">
      <c r="C56" s="20" t="inlineStr">
        <is>
          <t>BU 贡献利润</t>
        </is>
      </c>
      <c r="D56" s="21">
        <f>D54-D55</f>
        <v/>
      </c>
      <c r="E56" s="21">
        <f>E54-E55</f>
        <v/>
      </c>
      <c r="F56" s="21">
        <f>F54-F55</f>
        <v/>
      </c>
      <c r="G56" s="21">
        <f>G54-G55</f>
        <v/>
      </c>
      <c r="H56" s="21">
        <f>H54-H55</f>
        <v/>
      </c>
      <c r="I56" s="21">
        <f>I54-I55</f>
        <v/>
      </c>
      <c r="J56" s="21">
        <f>J54-J55</f>
        <v/>
      </c>
      <c r="K56" s="21">
        <f>K54-K55</f>
        <v/>
      </c>
      <c r="L56" s="21">
        <f>L54-L55</f>
        <v/>
      </c>
      <c r="M56" s="21">
        <f>M54-M55</f>
        <v/>
      </c>
      <c r="N56" s="21">
        <f>N54-N55</f>
        <v/>
      </c>
      <c r="O56" s="21">
        <f>O54-O55</f>
        <v/>
      </c>
      <c r="P56" s="21">
        <f>SUM(D56:O56)</f>
        <v/>
      </c>
      <c r="Q56" s="22" t="inlineStr"/>
    </row>
    <row r="57" ht="17" customHeight="1">
      <c r="C57" s="7" t="inlineStr">
        <is>
          <t>集团分摊费用（预算）</t>
        </is>
      </c>
      <c r="D57" s="8" t="n">
        <v>1200000</v>
      </c>
      <c r="E57" s="8" t="n">
        <v>1200000</v>
      </c>
      <c r="F57" s="8" t="n">
        <v>1200000</v>
      </c>
      <c r="G57" s="8" t="n">
        <v>1200000</v>
      </c>
      <c r="H57" s="8" t="n">
        <v>1200000</v>
      </c>
      <c r="I57" s="8" t="n">
        <v>1200000</v>
      </c>
      <c r="J57" s="8" t="n">
        <v>1200000</v>
      </c>
      <c r="K57" s="8" t="n">
        <v>1200000</v>
      </c>
      <c r="L57" s="8" t="n">
        <v>1200000</v>
      </c>
      <c r="M57" s="8" t="n">
        <v>1200000</v>
      </c>
      <c r="N57" s="8" t="n">
        <v>1200000</v>
      </c>
      <c r="O57" s="8" t="n">
        <v>1200000</v>
      </c>
      <c r="P57" s="9">
        <f>SUM(D57:O57)</f>
        <v/>
      </c>
      <c r="Q57" s="10" t="inlineStr"/>
    </row>
    <row r="58" ht="17" customHeight="1">
      <c r="C58" s="20" t="inlineStr">
        <is>
          <t>净利润</t>
        </is>
      </c>
      <c r="D58" s="21">
        <f>D56-D57</f>
        <v/>
      </c>
      <c r="E58" s="21">
        <f>E56-E57</f>
        <v/>
      </c>
      <c r="F58" s="21">
        <f>F56-F57</f>
        <v/>
      </c>
      <c r="G58" s="21">
        <f>G56-G57</f>
        <v/>
      </c>
      <c r="H58" s="21">
        <f>H56-H57</f>
        <v/>
      </c>
      <c r="I58" s="21">
        <f>I56-I57</f>
        <v/>
      </c>
      <c r="J58" s="21">
        <f>J56-J57</f>
        <v/>
      </c>
      <c r="K58" s="21">
        <f>K56-K57</f>
        <v/>
      </c>
      <c r="L58" s="21">
        <f>L56-L57</f>
        <v/>
      </c>
      <c r="M58" s="21">
        <f>M56-M57</f>
        <v/>
      </c>
      <c r="N58" s="21">
        <f>N56-N57</f>
        <v/>
      </c>
      <c r="O58" s="21">
        <f>O56-O57</f>
        <v/>
      </c>
      <c r="P58" s="21">
        <f>SUM(D58:O58)</f>
        <v/>
      </c>
      <c r="Q58" s="22" t="inlineStr"/>
    </row>
  </sheetData>
  <mergeCells count="7">
    <mergeCell ref="C27:R27"/>
    <mergeCell ref="C2:R2"/>
    <mergeCell ref="C19:R19"/>
    <mergeCell ref="C47:R47"/>
    <mergeCell ref="C50:R50"/>
    <mergeCell ref="C4:R4"/>
    <mergeCell ref="C12:R1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C2:R58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" customWidth="1" min="2" max="2"/>
    <col width="2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9" customWidth="1" min="17" max="17"/>
    <col width="28" customWidth="1" min="18" max="18"/>
  </cols>
  <sheetData>
    <row r="1" ht="8" customHeight="1"/>
    <row r="2" ht="28" customHeight="1">
      <c r="C2" s="4" t="inlineStr">
        <is>
          <t>拼多多 — 年度 BP</t>
        </is>
      </c>
    </row>
    <row r="3" ht="20" customHeight="1">
      <c r="C3" s="5" t="inlineStr">
        <is>
          <t>科目</t>
        </is>
      </c>
      <c r="D3" s="5" t="inlineStr">
        <is>
          <t>1月</t>
        </is>
      </c>
      <c r="E3" s="5" t="inlineStr">
        <is>
          <t>2月</t>
        </is>
      </c>
      <c r="F3" s="5" t="inlineStr">
        <is>
          <t>3月</t>
        </is>
      </c>
      <c r="G3" s="5" t="inlineStr">
        <is>
          <t>4月</t>
        </is>
      </c>
      <c r="H3" s="5" t="inlineStr">
        <is>
          <t>5月</t>
        </is>
      </c>
      <c r="I3" s="5" t="inlineStr">
        <is>
          <t>6月</t>
        </is>
      </c>
      <c r="J3" s="5" t="inlineStr">
        <is>
          <t>7月</t>
        </is>
      </c>
      <c r="K3" s="5" t="inlineStr">
        <is>
          <t>8月</t>
        </is>
      </c>
      <c r="L3" s="5" t="inlineStr">
        <is>
          <t>9月</t>
        </is>
      </c>
      <c r="M3" s="5" t="inlineStr">
        <is>
          <t>10月</t>
        </is>
      </c>
      <c r="N3" s="5" t="inlineStr">
        <is>
          <t>11月</t>
        </is>
      </c>
      <c r="O3" s="5" t="inlineStr">
        <is>
          <t>12月</t>
        </is>
      </c>
      <c r="P3" s="5" t="inlineStr">
        <is>
          <t>合计</t>
        </is>
      </c>
      <c r="Q3" s="5" t="inlineStr">
        <is>
          <t>费比</t>
        </is>
      </c>
    </row>
    <row r="4" ht="18" customHeight="1">
      <c r="C4" s="6" t="inlineStr">
        <is>
          <t xml:space="preserve">  一、GMV 层</t>
        </is>
      </c>
    </row>
    <row r="5" ht="17" customHeight="1">
      <c r="C5" s="7" t="inlineStr">
        <is>
          <t>自补前 GMV（月度目标）</t>
        </is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9">
        <f>SUM(D5:O5)</f>
        <v/>
      </c>
      <c r="Q5" s="10" t="inlineStr"/>
      <c r="R5" s="11" t="inlineStr">
        <is>
          <t>渠道填写</t>
        </is>
      </c>
    </row>
    <row r="6" ht="17" customHeight="1">
      <c r="C6" s="12" t="inlineStr">
        <is>
          <t>国补/自补费用率</t>
        </is>
      </c>
      <c r="D6" s="13" t="n">
        <v>0.1</v>
      </c>
      <c r="E6" s="13" t="n">
        <v>0.1</v>
      </c>
      <c r="F6" s="13" t="n">
        <v>0.1</v>
      </c>
      <c r="G6" s="13" t="n">
        <v>0.1</v>
      </c>
      <c r="H6" s="13" t="n">
        <v>0.1</v>
      </c>
      <c r="I6" s="13" t="n">
        <v>0.1</v>
      </c>
      <c r="J6" s="13" t="n">
        <v>0.1</v>
      </c>
      <c r="K6" s="13" t="n">
        <v>0.1</v>
      </c>
      <c r="L6" s="13" t="n">
        <v>0.1</v>
      </c>
      <c r="M6" s="13" t="n">
        <v>0.1</v>
      </c>
      <c r="N6" s="13" t="n">
        <v>0.1</v>
      </c>
      <c r="O6" s="13" t="n">
        <v>0.1</v>
      </c>
      <c r="P6" s="14">
        <f>SUM(D6:O6)</f>
        <v/>
      </c>
      <c r="Q6" s="15" t="inlineStr"/>
    </row>
    <row r="7" ht="17" customHeight="1">
      <c r="C7" s="16" t="inlineStr">
        <is>
          <t>国补/自补费用</t>
        </is>
      </c>
      <c r="D7" s="17">
        <f>D5*D6</f>
        <v/>
      </c>
      <c r="E7" s="17">
        <f>E5*E6</f>
        <v/>
      </c>
      <c r="F7" s="17">
        <f>F5*F6</f>
        <v/>
      </c>
      <c r="G7" s="17">
        <f>G5*G6</f>
        <v/>
      </c>
      <c r="H7" s="17">
        <f>H5*H6</f>
        <v/>
      </c>
      <c r="I7" s="17">
        <f>I5*I6</f>
        <v/>
      </c>
      <c r="J7" s="17">
        <f>J5*J6</f>
        <v/>
      </c>
      <c r="K7" s="17">
        <f>K5*K6</f>
        <v/>
      </c>
      <c r="L7" s="17">
        <f>L5*L6</f>
        <v/>
      </c>
      <c r="M7" s="17">
        <f>M5*M6</f>
        <v/>
      </c>
      <c r="N7" s="17">
        <f>N5*N6</f>
        <v/>
      </c>
      <c r="O7" s="17">
        <f>O5*O6</f>
        <v/>
      </c>
      <c r="P7" s="18">
        <f>SUM(D7:O7)</f>
        <v/>
      </c>
      <c r="Q7" s="19" t="inlineStr"/>
    </row>
    <row r="8" ht="17" customHeight="1">
      <c r="C8" s="20" t="inlineStr">
        <is>
          <t>GMV（剔除国补）</t>
        </is>
      </c>
      <c r="D8" s="21">
        <f>D5-D7</f>
        <v/>
      </c>
      <c r="E8" s="21">
        <f>E5-E7</f>
        <v/>
      </c>
      <c r="F8" s="21">
        <f>F5-F7</f>
        <v/>
      </c>
      <c r="G8" s="21">
        <f>G5-G7</f>
        <v/>
      </c>
      <c r="H8" s="21">
        <f>H5-H7</f>
        <v/>
      </c>
      <c r="I8" s="21">
        <f>I5-I7</f>
        <v/>
      </c>
      <c r="J8" s="21">
        <f>J5-J7</f>
        <v/>
      </c>
      <c r="K8" s="21">
        <f>K5-K7</f>
        <v/>
      </c>
      <c r="L8" s="21">
        <f>L5-L7</f>
        <v/>
      </c>
      <c r="M8" s="21">
        <f>M5-M7</f>
        <v/>
      </c>
      <c r="N8" s="21">
        <f>N5-N7</f>
        <v/>
      </c>
      <c r="O8" s="21">
        <f>O5-O7</f>
        <v/>
      </c>
      <c r="P8" s="21">
        <f>SUM(D8:O8)</f>
        <v/>
      </c>
      <c r="Q8" s="22" t="inlineStr"/>
    </row>
    <row r="9" ht="17" customHeight="1">
      <c r="C9" s="12" t="inlineStr">
        <is>
          <t>退货率</t>
        </is>
      </c>
      <c r="D9" s="13" t="n">
        <v>0.19</v>
      </c>
      <c r="E9" s="13" t="n">
        <v>0.19</v>
      </c>
      <c r="F9" s="13" t="n">
        <v>0.19</v>
      </c>
      <c r="G9" s="13" t="n">
        <v>0.19</v>
      </c>
      <c r="H9" s="13" t="n">
        <v>0.19</v>
      </c>
      <c r="I9" s="13" t="n">
        <v>0.19</v>
      </c>
      <c r="J9" s="13" t="n">
        <v>0.19</v>
      </c>
      <c r="K9" s="13" t="n">
        <v>0.19</v>
      </c>
      <c r="L9" s="13" t="n">
        <v>0.19</v>
      </c>
      <c r="M9" s="13" t="n">
        <v>0.19</v>
      </c>
      <c r="N9" s="13" t="n">
        <v>0.19</v>
      </c>
      <c r="O9" s="13" t="n">
        <v>0.19</v>
      </c>
      <c r="P9" s="14">
        <f>SUM(D9:O9)</f>
        <v/>
      </c>
      <c r="Q9" s="15" t="inlineStr"/>
    </row>
    <row r="10" ht="17" customHeight="1">
      <c r="C10" s="20" t="inlineStr">
        <is>
          <t>GSV（去退货）</t>
        </is>
      </c>
      <c r="D10" s="21">
        <f>D8*(1-D9)</f>
        <v/>
      </c>
      <c r="E10" s="21">
        <f>E8*(1-E9)</f>
        <v/>
      </c>
      <c r="F10" s="21">
        <f>F8*(1-F9)</f>
        <v/>
      </c>
      <c r="G10" s="21">
        <f>G8*(1-G9)</f>
        <v/>
      </c>
      <c r="H10" s="21">
        <f>H8*(1-H9)</f>
        <v/>
      </c>
      <c r="I10" s="21">
        <f>I8*(1-I9)</f>
        <v/>
      </c>
      <c r="J10" s="21">
        <f>J8*(1-J9)</f>
        <v/>
      </c>
      <c r="K10" s="21">
        <f>K8*(1-K9)</f>
        <v/>
      </c>
      <c r="L10" s="21">
        <f>L8*(1-L9)</f>
        <v/>
      </c>
      <c r="M10" s="21">
        <f>M8*(1-M9)</f>
        <v/>
      </c>
      <c r="N10" s="21">
        <f>N8*(1-N9)</f>
        <v/>
      </c>
      <c r="O10" s="21">
        <f>O8*(1-O9)</f>
        <v/>
      </c>
      <c r="P10" s="21">
        <f>SUM(D10:O10)</f>
        <v/>
      </c>
      <c r="Q10" s="22" t="inlineStr"/>
    </row>
    <row r="11" ht="6" customHeight="1"/>
    <row r="12" ht="18" customHeight="1">
      <c r="C12" s="6" t="inlineStr">
        <is>
          <t xml:space="preserve">  二、营业收入层</t>
        </is>
      </c>
    </row>
    <row r="13" ht="17" customHeight="1">
      <c r="C13" s="12" t="inlineStr">
        <is>
          <t>合同折扣及返利费率（线下）</t>
        </is>
      </c>
      <c r="D13" s="13" t="n">
        <v>0.04</v>
      </c>
      <c r="E13" s="13" t="n">
        <v>0.04</v>
      </c>
      <c r="F13" s="13" t="n">
        <v>0.04</v>
      </c>
      <c r="G13" s="13" t="n">
        <v>0.04</v>
      </c>
      <c r="H13" s="13" t="n">
        <v>0.04</v>
      </c>
      <c r="I13" s="13" t="n">
        <v>0.04</v>
      </c>
      <c r="J13" s="13" t="n">
        <v>0.04</v>
      </c>
      <c r="K13" s="13" t="n">
        <v>0.04</v>
      </c>
      <c r="L13" s="13" t="n">
        <v>0.04</v>
      </c>
      <c r="M13" s="13" t="n">
        <v>0.04</v>
      </c>
      <c r="N13" s="13" t="n">
        <v>0.04</v>
      </c>
      <c r="O13" s="13" t="n">
        <v>0.04</v>
      </c>
      <c r="P13" s="14">
        <f>SUM(D13:O13)</f>
        <v/>
      </c>
      <c r="Q13" s="15" t="inlineStr"/>
    </row>
    <row r="14" ht="17" customHeight="1">
      <c r="C14" s="12" t="inlineStr">
        <is>
          <t>国补/自补折扣费率（线上）</t>
        </is>
      </c>
      <c r="D14" s="13" t="n">
        <v>0.1</v>
      </c>
      <c r="E14" s="13" t="n">
        <v>0.1</v>
      </c>
      <c r="F14" s="13" t="n">
        <v>0.1</v>
      </c>
      <c r="G14" s="13" t="n">
        <v>0.1</v>
      </c>
      <c r="H14" s="13" t="n">
        <v>0.1</v>
      </c>
      <c r="I14" s="13" t="n">
        <v>0.1</v>
      </c>
      <c r="J14" s="13" t="n">
        <v>0.1</v>
      </c>
      <c r="K14" s="13" t="n">
        <v>0.1</v>
      </c>
      <c r="L14" s="13" t="n">
        <v>0.1</v>
      </c>
      <c r="M14" s="13" t="n">
        <v>0.1</v>
      </c>
      <c r="N14" s="13" t="n">
        <v>0.1</v>
      </c>
      <c r="O14" s="13" t="n">
        <v>0.1</v>
      </c>
      <c r="P14" s="14">
        <f>SUM(D14:O14)</f>
        <v/>
      </c>
      <c r="Q14" s="15" t="inlineStr"/>
    </row>
    <row r="15" ht="17" customHeight="1">
      <c r="C15" s="12" t="inlineStr">
        <is>
          <t>红包/促销折扣费率</t>
        </is>
      </c>
      <c r="D15" s="13" t="n">
        <v>0.25</v>
      </c>
      <c r="E15" s="13" t="n">
        <v>0.25</v>
      </c>
      <c r="F15" s="13" t="n">
        <v>0.25</v>
      </c>
      <c r="G15" s="13" t="n">
        <v>0.25</v>
      </c>
      <c r="H15" s="13" t="n">
        <v>0.25</v>
      </c>
      <c r="I15" s="13" t="n">
        <v>0.25</v>
      </c>
      <c r="J15" s="13" t="n">
        <v>0.25</v>
      </c>
      <c r="K15" s="13" t="n">
        <v>0.25</v>
      </c>
      <c r="L15" s="13" t="n">
        <v>0.25</v>
      </c>
      <c r="M15" s="13" t="n">
        <v>0.25</v>
      </c>
      <c r="N15" s="13" t="n">
        <v>0.25</v>
      </c>
      <c r="O15" s="13" t="n">
        <v>0.25</v>
      </c>
      <c r="P15" s="14">
        <f>SUM(D15:O15)</f>
        <v/>
      </c>
      <c r="Q15" s="15" t="inlineStr"/>
    </row>
    <row r="16" ht="17" customHeight="1">
      <c r="C16" s="16" t="inlineStr">
        <is>
          <t>TTL折扣合计</t>
        </is>
      </c>
      <c r="D16" s="17">
        <f>(D13+D14+D15)*D10</f>
        <v/>
      </c>
      <c r="E16" s="17">
        <f>(E13+E14+E15)*E10</f>
        <v/>
      </c>
      <c r="F16" s="17">
        <f>(F13+F14+F15)*F10</f>
        <v/>
      </c>
      <c r="G16" s="17">
        <f>(G13+G14+G15)*G10</f>
        <v/>
      </c>
      <c r="H16" s="17">
        <f>(H13+H14+H15)*H10</f>
        <v/>
      </c>
      <c r="I16" s="17">
        <f>(I13+I14+I15)*I10</f>
        <v/>
      </c>
      <c r="J16" s="17">
        <f>(J13+J14+J15)*J10</f>
        <v/>
      </c>
      <c r="K16" s="17">
        <f>(K13+K14+K15)*K10</f>
        <v/>
      </c>
      <c r="L16" s="17">
        <f>(L13+L14+L15)*L10</f>
        <v/>
      </c>
      <c r="M16" s="17">
        <f>(M13+M14+M15)*M10</f>
        <v/>
      </c>
      <c r="N16" s="17">
        <f>(N13+N14+N15)*N10</f>
        <v/>
      </c>
      <c r="O16" s="17">
        <f>(O13+O14+O15)*O10</f>
        <v/>
      </c>
      <c r="P16" s="18">
        <f>SUM(D16:O16)</f>
        <v/>
      </c>
      <c r="Q16" s="19" t="inlineStr"/>
    </row>
    <row r="17" ht="17" customHeight="1">
      <c r="C17" s="20" t="inlineStr">
        <is>
          <t>营业收入（净销售收入）</t>
        </is>
      </c>
      <c r="D17" s="21">
        <f>D10-D16</f>
        <v/>
      </c>
      <c r="E17" s="21">
        <f>E10-E16</f>
        <v/>
      </c>
      <c r="F17" s="21">
        <f>F10-F16</f>
        <v/>
      </c>
      <c r="G17" s="21">
        <f>G10-G16</f>
        <v/>
      </c>
      <c r="H17" s="21">
        <f>H10-H16</f>
        <v/>
      </c>
      <c r="I17" s="21">
        <f>I10-I16</f>
        <v/>
      </c>
      <c r="J17" s="21">
        <f>J10-J16</f>
        <v/>
      </c>
      <c r="K17" s="21">
        <f>K10-K16</f>
        <v/>
      </c>
      <c r="L17" s="21">
        <f>L10-L16</f>
        <v/>
      </c>
      <c r="M17" s="21">
        <f>M10-M16</f>
        <v/>
      </c>
      <c r="N17" s="21">
        <f>N10-N16</f>
        <v/>
      </c>
      <c r="O17" s="21">
        <f>O10-O16</f>
        <v/>
      </c>
      <c r="P17" s="21">
        <f>SUM(D17:O17)</f>
        <v/>
      </c>
      <c r="Q17" s="22" t="inlineStr"/>
    </row>
    <row r="18" ht="6" customHeight="1"/>
    <row r="19" ht="18" customHeight="1">
      <c r="C19" s="6" t="inlineStr">
        <is>
          <t xml:space="preserve">  三、毛利层</t>
        </is>
      </c>
    </row>
    <row r="20" ht="17" customHeight="1">
      <c r="C20" s="12" t="inlineStr">
        <is>
          <t>标准主品及配件成本率</t>
        </is>
      </c>
      <c r="D20" s="13" t="n">
        <v>0.46</v>
      </c>
      <c r="E20" s="13" t="n">
        <v>0.46</v>
      </c>
      <c r="F20" s="13" t="n">
        <v>0.46</v>
      </c>
      <c r="G20" s="13" t="n">
        <v>0.46</v>
      </c>
      <c r="H20" s="13" t="n">
        <v>0.46</v>
      </c>
      <c r="I20" s="13" t="n">
        <v>0.46</v>
      </c>
      <c r="J20" s="13" t="n">
        <v>0.46</v>
      </c>
      <c r="K20" s="13" t="n">
        <v>0.46</v>
      </c>
      <c r="L20" s="13" t="n">
        <v>0.46</v>
      </c>
      <c r="M20" s="13" t="n">
        <v>0.46</v>
      </c>
      <c r="N20" s="13" t="n">
        <v>0.46</v>
      </c>
      <c r="O20" s="13" t="n">
        <v>0.46</v>
      </c>
      <c r="P20" s="14">
        <f>SUM(D20:O20)</f>
        <v/>
      </c>
      <c r="Q20" s="15" t="inlineStr"/>
    </row>
    <row r="21" ht="17" customHeight="1">
      <c r="C21" s="16" t="inlineStr">
        <is>
          <t>标准主品及配件成本</t>
        </is>
      </c>
      <c r="D21" s="17">
        <f>D17*D20</f>
        <v/>
      </c>
      <c r="E21" s="17">
        <f>E17*E20</f>
        <v/>
      </c>
      <c r="F21" s="17">
        <f>F17*F20</f>
        <v/>
      </c>
      <c r="G21" s="17">
        <f>G17*G20</f>
        <v/>
      </c>
      <c r="H21" s="17">
        <f>H17*H20</f>
        <v/>
      </c>
      <c r="I21" s="17">
        <f>I17*I20</f>
        <v/>
      </c>
      <c r="J21" s="17">
        <f>J17*J20</f>
        <v/>
      </c>
      <c r="K21" s="17">
        <f>K17*K20</f>
        <v/>
      </c>
      <c r="L21" s="17">
        <f>L17*L20</f>
        <v/>
      </c>
      <c r="M21" s="17">
        <f>M17*M20</f>
        <v/>
      </c>
      <c r="N21" s="17">
        <f>N17*N20</f>
        <v/>
      </c>
      <c r="O21" s="17">
        <f>O17*O20</f>
        <v/>
      </c>
      <c r="P21" s="18">
        <f>SUM(D21:O21)</f>
        <v/>
      </c>
      <c r="Q21" s="19" t="inlineStr"/>
    </row>
    <row r="22" ht="17" customHeight="1">
      <c r="C22" s="20" t="inlineStr">
        <is>
          <t>产品毛利</t>
        </is>
      </c>
      <c r="D22" s="21">
        <f>D17-D21</f>
        <v/>
      </c>
      <c r="E22" s="21">
        <f>E17-E21</f>
        <v/>
      </c>
      <c r="F22" s="21">
        <f>F17-F21</f>
        <v/>
      </c>
      <c r="G22" s="21">
        <f>G17-G21</f>
        <v/>
      </c>
      <c r="H22" s="21">
        <f>H17-H21</f>
        <v/>
      </c>
      <c r="I22" s="21">
        <f>I17-I21</f>
        <v/>
      </c>
      <c r="J22" s="21">
        <f>J17-J21</f>
        <v/>
      </c>
      <c r="K22" s="21">
        <f>K17-K21</f>
        <v/>
      </c>
      <c r="L22" s="21">
        <f>L17-L21</f>
        <v/>
      </c>
      <c r="M22" s="21">
        <f>M17-M21</f>
        <v/>
      </c>
      <c r="N22" s="21">
        <f>N17-N21</f>
        <v/>
      </c>
      <c r="O22" s="21">
        <f>O17-O21</f>
        <v/>
      </c>
      <c r="P22" s="21">
        <f>SUM(D22:O22)</f>
        <v/>
      </c>
      <c r="Q22" s="22" t="inlineStr"/>
    </row>
    <row r="23" ht="17" customHeight="1">
      <c r="C23" s="12" t="inlineStr">
        <is>
          <t>物流/仓储费率</t>
        </is>
      </c>
      <c r="D23" s="13" t="n">
        <v>0.025</v>
      </c>
      <c r="E23" s="13" t="n">
        <v>0.025</v>
      </c>
      <c r="F23" s="13" t="n">
        <v>0.025</v>
      </c>
      <c r="G23" s="13" t="n">
        <v>0.025</v>
      </c>
      <c r="H23" s="13" t="n">
        <v>0.025</v>
      </c>
      <c r="I23" s="13" t="n">
        <v>0.025</v>
      </c>
      <c r="J23" s="13" t="n">
        <v>0.025</v>
      </c>
      <c r="K23" s="13" t="n">
        <v>0.025</v>
      </c>
      <c r="L23" s="13" t="n">
        <v>0.025</v>
      </c>
      <c r="M23" s="13" t="n">
        <v>0.025</v>
      </c>
      <c r="N23" s="13" t="n">
        <v>0.025</v>
      </c>
      <c r="O23" s="13" t="n">
        <v>0.025</v>
      </c>
      <c r="P23" s="14">
        <f>SUM(D23:O23)</f>
        <v/>
      </c>
      <c r="Q23" s="15" t="inlineStr"/>
    </row>
    <row r="24" ht="17" customHeight="1">
      <c r="C24" s="16" t="inlineStr">
        <is>
          <t>物流/仓储费用</t>
        </is>
      </c>
      <c r="D24" s="17">
        <f>D17*D23</f>
        <v/>
      </c>
      <c r="E24" s="17">
        <f>E17*E23</f>
        <v/>
      </c>
      <c r="F24" s="17">
        <f>F17*F23</f>
        <v/>
      </c>
      <c r="G24" s="17">
        <f>G17*G23</f>
        <v/>
      </c>
      <c r="H24" s="17">
        <f>H17*H23</f>
        <v/>
      </c>
      <c r="I24" s="17">
        <f>I17*I23</f>
        <v/>
      </c>
      <c r="J24" s="17">
        <f>J17*J23</f>
        <v/>
      </c>
      <c r="K24" s="17">
        <f>K17*K23</f>
        <v/>
      </c>
      <c r="L24" s="17">
        <f>L17*L23</f>
        <v/>
      </c>
      <c r="M24" s="17">
        <f>M17*M23</f>
        <v/>
      </c>
      <c r="N24" s="17">
        <f>N17*N23</f>
        <v/>
      </c>
      <c r="O24" s="17">
        <f>O17*O23</f>
        <v/>
      </c>
      <c r="P24" s="18">
        <f>SUM(D24:O24)</f>
        <v/>
      </c>
      <c r="Q24" s="19" t="inlineStr"/>
    </row>
    <row r="25" ht="17" customHeight="1">
      <c r="C25" s="20" t="inlineStr">
        <is>
          <t>净毛利</t>
        </is>
      </c>
      <c r="D25" s="21">
        <f>D22-D24</f>
        <v/>
      </c>
      <c r="E25" s="21">
        <f>E22-E24</f>
        <v/>
      </c>
      <c r="F25" s="21">
        <f>F22-F24</f>
        <v/>
      </c>
      <c r="G25" s="21">
        <f>G22-G24</f>
        <v/>
      </c>
      <c r="H25" s="21">
        <f>H22-H24</f>
        <v/>
      </c>
      <c r="I25" s="21">
        <f>I22-I24</f>
        <v/>
      </c>
      <c r="J25" s="21">
        <f>J22-J24</f>
        <v/>
      </c>
      <c r="K25" s="21">
        <f>K22-K24</f>
        <v/>
      </c>
      <c r="L25" s="21">
        <f>L22-L24</f>
        <v/>
      </c>
      <c r="M25" s="21">
        <f>M22-M24</f>
        <v/>
      </c>
      <c r="N25" s="21">
        <f>N22-N24</f>
        <v/>
      </c>
      <c r="O25" s="21">
        <f>O22-O24</f>
        <v/>
      </c>
      <c r="P25" s="21">
        <f>SUM(D25:O25)</f>
        <v/>
      </c>
      <c r="Q25" s="22" t="inlineStr"/>
    </row>
    <row r="26" ht="6" customHeight="1"/>
    <row r="27" ht="18" customHeight="1">
      <c r="C27" s="6" t="inlineStr">
        <is>
          <t xml:space="preserve">  四、A&amp;P 营销与运营费用</t>
        </is>
      </c>
    </row>
    <row r="28" ht="17" customHeight="1">
      <c r="C28" s="12" t="inlineStr">
        <is>
          <t>品牌/内容/达人费率</t>
        </is>
      </c>
      <c r="D28" s="13" t="n">
        <v>0.02</v>
      </c>
      <c r="E28" s="13" t="n">
        <v>0.02</v>
      </c>
      <c r="F28" s="13" t="n">
        <v>0.02</v>
      </c>
      <c r="G28" s="13" t="n">
        <v>0.02</v>
      </c>
      <c r="H28" s="13" t="n">
        <v>0.02</v>
      </c>
      <c r="I28" s="13" t="n">
        <v>0.02</v>
      </c>
      <c r="J28" s="13" t="n">
        <v>0.02</v>
      </c>
      <c r="K28" s="13" t="n">
        <v>0.02</v>
      </c>
      <c r="L28" s="13" t="n">
        <v>0.02</v>
      </c>
      <c r="M28" s="13" t="n">
        <v>0.02</v>
      </c>
      <c r="N28" s="13" t="n">
        <v>0.02</v>
      </c>
      <c r="O28" s="13" t="n">
        <v>0.02</v>
      </c>
      <c r="P28" s="14">
        <f>SUM(D28:O28)</f>
        <v/>
      </c>
      <c r="Q28" s="15" t="inlineStr"/>
    </row>
    <row r="29" ht="17" customHeight="1">
      <c r="C29" s="16" t="inlineStr">
        <is>
          <t>品牌内容费用</t>
        </is>
      </c>
      <c r="D29" s="17">
        <f>D17*D28</f>
        <v/>
      </c>
      <c r="E29" s="17">
        <f>E17*E28</f>
        <v/>
      </c>
      <c r="F29" s="17">
        <f>F17*F28</f>
        <v/>
      </c>
      <c r="G29" s="17">
        <f>G17*G28</f>
        <v/>
      </c>
      <c r="H29" s="17">
        <f>H17*H28</f>
        <v/>
      </c>
      <c r="I29" s="17">
        <f>I17*I28</f>
        <v/>
      </c>
      <c r="J29" s="17">
        <f>J17*J28</f>
        <v/>
      </c>
      <c r="K29" s="17">
        <f>K17*K28</f>
        <v/>
      </c>
      <c r="L29" s="17">
        <f>L17*L28</f>
        <v/>
      </c>
      <c r="M29" s="17">
        <f>M17*M28</f>
        <v/>
      </c>
      <c r="N29" s="17">
        <f>N17*N28</f>
        <v/>
      </c>
      <c r="O29" s="17">
        <f>O17*O28</f>
        <v/>
      </c>
      <c r="P29" s="18">
        <f>SUM(D29:O29)</f>
        <v/>
      </c>
      <c r="Q29" s="19" t="inlineStr"/>
    </row>
    <row r="30" ht="17" customHeight="1">
      <c r="C30" s="12" t="inlineStr">
        <is>
          <t>站内投放费率</t>
        </is>
      </c>
      <c r="D30" s="13" t="n">
        <v>0.05</v>
      </c>
      <c r="E30" s="13" t="n">
        <v>0.05</v>
      </c>
      <c r="F30" s="13" t="n">
        <v>0.05</v>
      </c>
      <c r="G30" s="13" t="n">
        <v>0.05</v>
      </c>
      <c r="H30" s="13" t="n">
        <v>0.05</v>
      </c>
      <c r="I30" s="13" t="n">
        <v>0.05</v>
      </c>
      <c r="J30" s="13" t="n">
        <v>0.05</v>
      </c>
      <c r="K30" s="13" t="n">
        <v>0.05</v>
      </c>
      <c r="L30" s="13" t="n">
        <v>0.05</v>
      </c>
      <c r="M30" s="13" t="n">
        <v>0.05</v>
      </c>
      <c r="N30" s="13" t="n">
        <v>0.05</v>
      </c>
      <c r="O30" s="13" t="n">
        <v>0.05</v>
      </c>
      <c r="P30" s="14">
        <f>SUM(D30:O30)</f>
        <v/>
      </c>
      <c r="Q30" s="15" t="inlineStr"/>
    </row>
    <row r="31" ht="17" customHeight="1">
      <c r="C31" s="12" t="inlineStr">
        <is>
          <t>千川投放费率</t>
        </is>
      </c>
      <c r="D31" s="13" t="n">
        <v>0</v>
      </c>
      <c r="E31" s="13" t="n">
        <v>0</v>
      </c>
      <c r="F31" s="13" t="n">
        <v>0</v>
      </c>
      <c r="G31" s="13" t="n">
        <v>0</v>
      </c>
      <c r="H31" s="13" t="n">
        <v>0</v>
      </c>
      <c r="I31" s="13" t="n">
        <v>0</v>
      </c>
      <c r="J31" s="13" t="n">
        <v>0</v>
      </c>
      <c r="K31" s="13" t="n">
        <v>0</v>
      </c>
      <c r="L31" s="13" t="n">
        <v>0</v>
      </c>
      <c r="M31" s="13" t="n">
        <v>0</v>
      </c>
      <c r="N31" s="13" t="n">
        <v>0</v>
      </c>
      <c r="O31" s="13" t="n">
        <v>0</v>
      </c>
      <c r="P31" s="14">
        <f>SUM(D31:O31)</f>
        <v/>
      </c>
      <c r="Q31" s="15" t="inlineStr"/>
    </row>
    <row r="32" ht="17" customHeight="1">
      <c r="C32" s="12" t="inlineStr">
        <is>
          <t>站外投放费率</t>
        </is>
      </c>
      <c r="D32" s="13" t="n">
        <v>0.02</v>
      </c>
      <c r="E32" s="13" t="n">
        <v>0.02</v>
      </c>
      <c r="F32" s="13" t="n">
        <v>0.02</v>
      </c>
      <c r="G32" s="13" t="n">
        <v>0.02</v>
      </c>
      <c r="H32" s="13" t="n">
        <v>0.02</v>
      </c>
      <c r="I32" s="13" t="n">
        <v>0.02</v>
      </c>
      <c r="J32" s="13" t="n">
        <v>0.02</v>
      </c>
      <c r="K32" s="13" t="n">
        <v>0.02</v>
      </c>
      <c r="L32" s="13" t="n">
        <v>0.02</v>
      </c>
      <c r="M32" s="13" t="n">
        <v>0.02</v>
      </c>
      <c r="N32" s="13" t="n">
        <v>0.02</v>
      </c>
      <c r="O32" s="13" t="n">
        <v>0.02</v>
      </c>
      <c r="P32" s="14">
        <f>SUM(D32:O32)</f>
        <v/>
      </c>
      <c r="Q32" s="15" t="inlineStr"/>
    </row>
    <row r="33" ht="17" customHeight="1">
      <c r="C33" s="16" t="inlineStr">
        <is>
          <t>效果广告合计</t>
        </is>
      </c>
      <c r="D33" s="17">
        <f>(D30+D31+D32)*D17</f>
        <v/>
      </c>
      <c r="E33" s="17">
        <f>(E30+E31+E32)*E17</f>
        <v/>
      </c>
      <c r="F33" s="17">
        <f>(F30+F31+F32)*F17</f>
        <v/>
      </c>
      <c r="G33" s="17">
        <f>(G30+G31+G32)*G17</f>
        <v/>
      </c>
      <c r="H33" s="17">
        <f>(H30+H31+H32)*H17</f>
        <v/>
      </c>
      <c r="I33" s="17">
        <f>(I30+I31+I32)*I17</f>
        <v/>
      </c>
      <c r="J33" s="17">
        <f>(J30+J31+J32)*J17</f>
        <v/>
      </c>
      <c r="K33" s="17">
        <f>(K30+K31+K32)*K17</f>
        <v/>
      </c>
      <c r="L33" s="17">
        <f>(L30+L31+L32)*L17</f>
        <v/>
      </c>
      <c r="M33" s="17">
        <f>(M30+M31+M32)*M17</f>
        <v/>
      </c>
      <c r="N33" s="17">
        <f>(N30+N31+N32)*N17</f>
        <v/>
      </c>
      <c r="O33" s="17">
        <f>(O30+O31+O32)*O17</f>
        <v/>
      </c>
      <c r="P33" s="18">
        <f>SUM(D33:O33)</f>
        <v/>
      </c>
      <c r="Q33" s="19" t="inlineStr"/>
    </row>
    <row r="34" ht="17" customHeight="1">
      <c r="C34" s="12" t="inlineStr">
        <is>
          <t>线上运营费率（直播+赠品）</t>
        </is>
      </c>
      <c r="D34" s="13" t="n">
        <v>0.03</v>
      </c>
      <c r="E34" s="13" t="n">
        <v>0.03</v>
      </c>
      <c r="F34" s="13" t="n">
        <v>0.03</v>
      </c>
      <c r="G34" s="13" t="n">
        <v>0.03</v>
      </c>
      <c r="H34" s="13" t="n">
        <v>0.03</v>
      </c>
      <c r="I34" s="13" t="n">
        <v>0.03</v>
      </c>
      <c r="J34" s="13" t="n">
        <v>0.03</v>
      </c>
      <c r="K34" s="13" t="n">
        <v>0.03</v>
      </c>
      <c r="L34" s="13" t="n">
        <v>0.03</v>
      </c>
      <c r="M34" s="13" t="n">
        <v>0.03</v>
      </c>
      <c r="N34" s="13" t="n">
        <v>0.03</v>
      </c>
      <c r="O34" s="13" t="n">
        <v>0.03</v>
      </c>
      <c r="P34" s="14">
        <f>SUM(D34:O34)</f>
        <v/>
      </c>
      <c r="Q34" s="15" t="inlineStr"/>
    </row>
    <row r="35" ht="17" customHeight="1">
      <c r="C35" s="16" t="inlineStr">
        <is>
          <t>线上运营费用</t>
        </is>
      </c>
      <c r="D35" s="17">
        <f>D17*D34</f>
        <v/>
      </c>
      <c r="E35" s="17">
        <f>E17*E34</f>
        <v/>
      </c>
      <c r="F35" s="17">
        <f>F17*F34</f>
        <v/>
      </c>
      <c r="G35" s="17">
        <f>G17*G34</f>
        <v/>
      </c>
      <c r="H35" s="17">
        <f>H17*H34</f>
        <v/>
      </c>
      <c r="I35" s="17">
        <f>I17*I34</f>
        <v/>
      </c>
      <c r="J35" s="17">
        <f>J17*J34</f>
        <v/>
      </c>
      <c r="K35" s="17">
        <f>K17*K34</f>
        <v/>
      </c>
      <c r="L35" s="17">
        <f>L17*L34</f>
        <v/>
      </c>
      <c r="M35" s="17">
        <f>M17*M34</f>
        <v/>
      </c>
      <c r="N35" s="17">
        <f>N17*N34</f>
        <v/>
      </c>
      <c r="O35" s="17">
        <f>O17*O34</f>
        <v/>
      </c>
      <c r="P35" s="18">
        <f>SUM(D35:O35)</f>
        <v/>
      </c>
      <c r="Q35" s="19" t="inlineStr"/>
    </row>
    <row r="36" ht="17" customHeight="1">
      <c r="C36" s="7" t="inlineStr">
        <is>
          <t>线下市场/渠道费用（预算）</t>
        </is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9">
        <f>SUM(D36:O36)</f>
        <v/>
      </c>
      <c r="Q36" s="10" t="inlineStr"/>
    </row>
    <row r="37" ht="17" customHeight="1">
      <c r="C37" s="12" t="inlineStr">
        <is>
          <t>平台佣金费率</t>
        </is>
      </c>
      <c r="D37" s="13" t="n">
        <v>0.03</v>
      </c>
      <c r="E37" s="13" t="n">
        <v>0.03</v>
      </c>
      <c r="F37" s="13" t="n">
        <v>0.03</v>
      </c>
      <c r="G37" s="13" t="n">
        <v>0.03</v>
      </c>
      <c r="H37" s="13" t="n">
        <v>0.03</v>
      </c>
      <c r="I37" s="13" t="n">
        <v>0.03</v>
      </c>
      <c r="J37" s="13" t="n">
        <v>0.03</v>
      </c>
      <c r="K37" s="13" t="n">
        <v>0.03</v>
      </c>
      <c r="L37" s="13" t="n">
        <v>0.03</v>
      </c>
      <c r="M37" s="13" t="n">
        <v>0.03</v>
      </c>
      <c r="N37" s="13" t="n">
        <v>0.03</v>
      </c>
      <c r="O37" s="13" t="n">
        <v>0.03</v>
      </c>
      <c r="P37" s="14">
        <f>SUM(D37:O37)</f>
        <v/>
      </c>
      <c r="Q37" s="15" t="inlineStr"/>
    </row>
    <row r="38" ht="17" customHeight="1">
      <c r="C38" s="16" t="inlineStr">
        <is>
          <t>平台佣金</t>
        </is>
      </c>
      <c r="D38" s="17">
        <f>D17*D37</f>
        <v/>
      </c>
      <c r="E38" s="17">
        <f>E17*E37</f>
        <v/>
      </c>
      <c r="F38" s="17">
        <f>F17*F37</f>
        <v/>
      </c>
      <c r="G38" s="17">
        <f>G17*G37</f>
        <v/>
      </c>
      <c r="H38" s="17">
        <f>H17*H37</f>
        <v/>
      </c>
      <c r="I38" s="17">
        <f>I17*I37</f>
        <v/>
      </c>
      <c r="J38" s="17">
        <f>J17*J37</f>
        <v/>
      </c>
      <c r="K38" s="17">
        <f>K17*K37</f>
        <v/>
      </c>
      <c r="L38" s="17">
        <f>L17*L37</f>
        <v/>
      </c>
      <c r="M38" s="17">
        <f>M17*M37</f>
        <v/>
      </c>
      <c r="N38" s="17">
        <f>N17*N37</f>
        <v/>
      </c>
      <c r="O38" s="17">
        <f>O17*O37</f>
        <v/>
      </c>
      <c r="P38" s="18">
        <f>SUM(D38:O38)</f>
        <v/>
      </c>
      <c r="Q38" s="19" t="inlineStr"/>
    </row>
    <row r="39" ht="17" customHeight="1">
      <c r="C39" s="12" t="inlineStr">
        <is>
          <t>平台其他费率</t>
        </is>
      </c>
      <c r="D39" s="13" t="n">
        <v>0.014</v>
      </c>
      <c r="E39" s="13" t="n">
        <v>0.014</v>
      </c>
      <c r="F39" s="13" t="n">
        <v>0.014</v>
      </c>
      <c r="G39" s="13" t="n">
        <v>0.014</v>
      </c>
      <c r="H39" s="13" t="n">
        <v>0.014</v>
      </c>
      <c r="I39" s="13" t="n">
        <v>0.014</v>
      </c>
      <c r="J39" s="13" t="n">
        <v>0.014</v>
      </c>
      <c r="K39" s="13" t="n">
        <v>0.014</v>
      </c>
      <c r="L39" s="13" t="n">
        <v>0.014</v>
      </c>
      <c r="M39" s="13" t="n">
        <v>0.014</v>
      </c>
      <c r="N39" s="13" t="n">
        <v>0.014</v>
      </c>
      <c r="O39" s="13" t="n">
        <v>0.014</v>
      </c>
      <c r="P39" s="14">
        <f>SUM(D39:O39)</f>
        <v/>
      </c>
      <c r="Q39" s="15" t="inlineStr"/>
    </row>
    <row r="40" ht="17" customHeight="1">
      <c r="C40" s="16" t="inlineStr">
        <is>
          <t>平台其他费用</t>
        </is>
      </c>
      <c r="D40" s="17">
        <f>D17*D39</f>
        <v/>
      </c>
      <c r="E40" s="17">
        <f>E17*E39</f>
        <v/>
      </c>
      <c r="F40" s="17">
        <f>F17*F39</f>
        <v/>
      </c>
      <c r="G40" s="17">
        <f>G17*G39</f>
        <v/>
      </c>
      <c r="H40" s="17">
        <f>H17*H39</f>
        <v/>
      </c>
      <c r="I40" s="17">
        <f>I17*I39</f>
        <v/>
      </c>
      <c r="J40" s="17">
        <f>J17*J39</f>
        <v/>
      </c>
      <c r="K40" s="17">
        <f>K17*K39</f>
        <v/>
      </c>
      <c r="L40" s="17">
        <f>L17*L39</f>
        <v/>
      </c>
      <c r="M40" s="17">
        <f>M17*M39</f>
        <v/>
      </c>
      <c r="N40" s="17">
        <f>N17*N39</f>
        <v/>
      </c>
      <c r="O40" s="17">
        <f>O17*O39</f>
        <v/>
      </c>
      <c r="P40" s="18">
        <f>SUM(D40:O40)</f>
        <v/>
      </c>
      <c r="Q40" s="19" t="inlineStr"/>
    </row>
    <row r="41" ht="17" customHeight="1">
      <c r="C41" s="12" t="inlineStr">
        <is>
          <t>售后费率</t>
        </is>
      </c>
      <c r="D41" s="13" t="n">
        <v>0.03</v>
      </c>
      <c r="E41" s="13" t="n">
        <v>0.03</v>
      </c>
      <c r="F41" s="13" t="n">
        <v>0.03</v>
      </c>
      <c r="G41" s="13" t="n">
        <v>0.03</v>
      </c>
      <c r="H41" s="13" t="n">
        <v>0.03</v>
      </c>
      <c r="I41" s="13" t="n">
        <v>0.03</v>
      </c>
      <c r="J41" s="13" t="n">
        <v>0.03</v>
      </c>
      <c r="K41" s="13" t="n">
        <v>0.03</v>
      </c>
      <c r="L41" s="13" t="n">
        <v>0.03</v>
      </c>
      <c r="M41" s="13" t="n">
        <v>0.03</v>
      </c>
      <c r="N41" s="13" t="n">
        <v>0.03</v>
      </c>
      <c r="O41" s="13" t="n">
        <v>0.03</v>
      </c>
      <c r="P41" s="14">
        <f>SUM(D41:O41)</f>
        <v/>
      </c>
      <c r="Q41" s="15" t="inlineStr"/>
    </row>
    <row r="42" ht="17" customHeight="1">
      <c r="C42" s="16" t="inlineStr">
        <is>
          <t>售后费用</t>
        </is>
      </c>
      <c r="D42" s="17">
        <f>D17*D41</f>
        <v/>
      </c>
      <c r="E42" s="17">
        <f>E17*E41</f>
        <v/>
      </c>
      <c r="F42" s="17">
        <f>F17*F41</f>
        <v/>
      </c>
      <c r="G42" s="17">
        <f>G17*G41</f>
        <v/>
      </c>
      <c r="H42" s="17">
        <f>H17*H41</f>
        <v/>
      </c>
      <c r="I42" s="17">
        <f>I17*I41</f>
        <v/>
      </c>
      <c r="J42" s="17">
        <f>J17*J41</f>
        <v/>
      </c>
      <c r="K42" s="17">
        <f>K17*K41</f>
        <v/>
      </c>
      <c r="L42" s="17">
        <f>L17*L41</f>
        <v/>
      </c>
      <c r="M42" s="17">
        <f>M17*M41</f>
        <v/>
      </c>
      <c r="N42" s="17">
        <f>N17*N41</f>
        <v/>
      </c>
      <c r="O42" s="17">
        <f>O17*O41</f>
        <v/>
      </c>
      <c r="P42" s="18">
        <f>SUM(D42:O42)</f>
        <v/>
      </c>
      <c r="Q42" s="19" t="inlineStr"/>
    </row>
    <row r="43" ht="17" customHeight="1">
      <c r="C43" s="12" t="inlineStr">
        <is>
          <t>店铺运营综合费率</t>
        </is>
      </c>
      <c r="D43" s="13" t="n">
        <v>0.098</v>
      </c>
      <c r="E43" s="13" t="n">
        <v>0.098</v>
      </c>
      <c r="F43" s="13" t="n">
        <v>0.098</v>
      </c>
      <c r="G43" s="13" t="n">
        <v>0.098</v>
      </c>
      <c r="H43" s="13" t="n">
        <v>0.098</v>
      </c>
      <c r="I43" s="13" t="n">
        <v>0.098</v>
      </c>
      <c r="J43" s="13" t="n">
        <v>0.098</v>
      </c>
      <c r="K43" s="13" t="n">
        <v>0.098</v>
      </c>
      <c r="L43" s="13" t="n">
        <v>0.098</v>
      </c>
      <c r="M43" s="13" t="n">
        <v>0.098</v>
      </c>
      <c r="N43" s="13" t="n">
        <v>0.098</v>
      </c>
      <c r="O43" s="13" t="n">
        <v>0.098</v>
      </c>
      <c r="P43" s="14">
        <f>SUM(D43:O43)</f>
        <v/>
      </c>
      <c r="Q43" s="15" t="inlineStr"/>
    </row>
    <row r="44" ht="17" customHeight="1">
      <c r="C44" s="16" t="inlineStr">
        <is>
          <t>店铺运营费用</t>
        </is>
      </c>
      <c r="D44" s="17">
        <f>D17*D43</f>
        <v/>
      </c>
      <c r="E44" s="17">
        <f>E17*E43</f>
        <v/>
      </c>
      <c r="F44" s="17">
        <f>F17*F43</f>
        <v/>
      </c>
      <c r="G44" s="17">
        <f>G17*G43</f>
        <v/>
      </c>
      <c r="H44" s="17">
        <f>H17*H43</f>
        <v/>
      </c>
      <c r="I44" s="17">
        <f>I17*I43</f>
        <v/>
      </c>
      <c r="J44" s="17">
        <f>J17*J43</f>
        <v/>
      </c>
      <c r="K44" s="17">
        <f>K17*K43</f>
        <v/>
      </c>
      <c r="L44" s="17">
        <f>L17*L43</f>
        <v/>
      </c>
      <c r="M44" s="17">
        <f>M17*M43</f>
        <v/>
      </c>
      <c r="N44" s="17">
        <f>N17*N43</f>
        <v/>
      </c>
      <c r="O44" s="17">
        <f>O17*O43</f>
        <v/>
      </c>
      <c r="P44" s="18">
        <f>SUM(D44:O44)</f>
        <v/>
      </c>
      <c r="Q44" s="19" t="inlineStr"/>
    </row>
    <row r="45" ht="17" customHeight="1">
      <c r="C45" s="20" t="inlineStr">
        <is>
          <t>A&amp;P 合计</t>
        </is>
      </c>
      <c r="D45" s="21">
        <f>D29+D33+D35+D36+D38+D40+D42+D44</f>
        <v/>
      </c>
      <c r="E45" s="21">
        <f>E29+E33+E35+E36+E38+E40+E42+E44</f>
        <v/>
      </c>
      <c r="F45" s="21">
        <f>F29+F33+F35+F36+F38+F40+F42+F44</f>
        <v/>
      </c>
      <c r="G45" s="21">
        <f>G29+G33+G35+G36+G38+G40+G42+G44</f>
        <v/>
      </c>
      <c r="H45" s="21">
        <f>H29+H33+H35+H36+H38+H40+H42+H44</f>
        <v/>
      </c>
      <c r="I45" s="21">
        <f>I29+I33+I35+I36+I38+I40+I42+I44</f>
        <v/>
      </c>
      <c r="J45" s="21">
        <f>J29+J33+J35+J36+J38+J40+J42+J44</f>
        <v/>
      </c>
      <c r="K45" s="21">
        <f>K29+K33+K35+K36+K38+K40+K42+K44</f>
        <v/>
      </c>
      <c r="L45" s="21">
        <f>L29+L33+L35+L36+L38+L40+L42+L44</f>
        <v/>
      </c>
      <c r="M45" s="21">
        <f>M29+M33+M35+M36+M38+M40+M42+M44</f>
        <v/>
      </c>
      <c r="N45" s="21">
        <f>N29+N33+N35+N36+N38+N40+N42+N44</f>
        <v/>
      </c>
      <c r="O45" s="21">
        <f>O29+O33+O35+O36+O38+O40+O42+O44</f>
        <v/>
      </c>
      <c r="P45" s="21">
        <f>SUM(D45:O45)</f>
        <v/>
      </c>
      <c r="Q45" s="22" t="inlineStr"/>
    </row>
    <row r="46" ht="6" customHeight="1"/>
    <row r="47" ht="18" customHeight="1">
      <c r="C47" s="6" t="inlineStr">
        <is>
          <t xml:space="preserve">  五、店铺利润（渠道贡献）</t>
        </is>
      </c>
    </row>
    <row r="48" ht="17" customHeight="1">
      <c r="C48" s="20" t="inlineStr">
        <is>
          <t>店铺利润</t>
        </is>
      </c>
      <c r="D48" s="21">
        <f>D25-D45</f>
        <v/>
      </c>
      <c r="E48" s="21">
        <f>E25-E45</f>
        <v/>
      </c>
      <c r="F48" s="21">
        <f>F25-F45</f>
        <v/>
      </c>
      <c r="G48" s="21">
        <f>G25-G45</f>
        <v/>
      </c>
      <c r="H48" s="21">
        <f>H25-H45</f>
        <v/>
      </c>
      <c r="I48" s="21">
        <f>I25-I45</f>
        <v/>
      </c>
      <c r="J48" s="21">
        <f>J25-J45</f>
        <v/>
      </c>
      <c r="K48" s="21">
        <f>K25-K45</f>
        <v/>
      </c>
      <c r="L48" s="21">
        <f>L25-L45</f>
        <v/>
      </c>
      <c r="M48" s="21">
        <f>M25-M45</f>
        <v/>
      </c>
      <c r="N48" s="21">
        <f>N25-N45</f>
        <v/>
      </c>
      <c r="O48" s="21">
        <f>O25-O45</f>
        <v/>
      </c>
      <c r="P48" s="21">
        <f>SUM(D48:O48)</f>
        <v/>
      </c>
      <c r="Q48" s="22" t="inlineStr"/>
    </row>
    <row r="49" ht="6" customHeight="1"/>
    <row r="50" ht="18" customHeight="1">
      <c r="C50" s="6" t="inlineStr">
        <is>
          <t xml:space="preserve">  六、BU 可控 / 贡献层</t>
        </is>
      </c>
    </row>
    <row r="51" ht="17" customHeight="1">
      <c r="C51" s="7" t="inlineStr">
        <is>
          <t>销售管理费用（预算）</t>
        </is>
      </c>
      <c r="D51" s="8" t="n">
        <v>500000</v>
      </c>
      <c r="E51" s="8" t="n">
        <v>500000</v>
      </c>
      <c r="F51" s="8" t="n">
        <v>500000</v>
      </c>
      <c r="G51" s="8" t="n">
        <v>500000</v>
      </c>
      <c r="H51" s="8" t="n">
        <v>500000</v>
      </c>
      <c r="I51" s="8" t="n">
        <v>500000</v>
      </c>
      <c r="J51" s="8" t="n">
        <v>500000</v>
      </c>
      <c r="K51" s="8" t="n">
        <v>500000</v>
      </c>
      <c r="L51" s="8" t="n">
        <v>500000</v>
      </c>
      <c r="M51" s="8" t="n">
        <v>500000</v>
      </c>
      <c r="N51" s="8" t="n">
        <v>500000</v>
      </c>
      <c r="O51" s="8" t="n">
        <v>500000</v>
      </c>
      <c r="P51" s="9">
        <f>SUM(D51:O51)</f>
        <v/>
      </c>
      <c r="Q51" s="10" t="inlineStr"/>
    </row>
    <row r="52" ht="17" customHeight="1">
      <c r="C52" s="7" t="inlineStr">
        <is>
          <t>研发费用（预算）</t>
        </is>
      </c>
      <c r="D52" s="8" t="n">
        <v>3000000</v>
      </c>
      <c r="E52" s="8" t="n">
        <v>3000000</v>
      </c>
      <c r="F52" s="8" t="n">
        <v>3000000</v>
      </c>
      <c r="G52" s="8" t="n">
        <v>3000000</v>
      </c>
      <c r="H52" s="8" t="n">
        <v>3000000</v>
      </c>
      <c r="I52" s="8" t="n">
        <v>3000000</v>
      </c>
      <c r="J52" s="8" t="n">
        <v>3000000</v>
      </c>
      <c r="K52" s="8" t="n">
        <v>3000000</v>
      </c>
      <c r="L52" s="8" t="n">
        <v>3000000</v>
      </c>
      <c r="M52" s="8" t="n">
        <v>3000000</v>
      </c>
      <c r="N52" s="8" t="n">
        <v>3000000</v>
      </c>
      <c r="O52" s="8" t="n">
        <v>3000000</v>
      </c>
      <c r="P52" s="9">
        <f>SUM(D52:O52)</f>
        <v/>
      </c>
      <c r="Q52" s="10" t="inlineStr"/>
    </row>
    <row r="53" ht="17" customHeight="1">
      <c r="C53" s="16" t="inlineStr">
        <is>
          <t>BU可控费用合计</t>
        </is>
      </c>
      <c r="D53" s="17">
        <f>D51+D52</f>
        <v/>
      </c>
      <c r="E53" s="17">
        <f>E51+E52</f>
        <v/>
      </c>
      <c r="F53" s="17">
        <f>F51+F52</f>
        <v/>
      </c>
      <c r="G53" s="17">
        <f>G51+G52</f>
        <v/>
      </c>
      <c r="H53" s="17">
        <f>H51+H52</f>
        <v/>
      </c>
      <c r="I53" s="17">
        <f>I51+I52</f>
        <v/>
      </c>
      <c r="J53" s="17">
        <f>J51+J52</f>
        <v/>
      </c>
      <c r="K53" s="17">
        <f>K51+K52</f>
        <v/>
      </c>
      <c r="L53" s="17">
        <f>L51+L52</f>
        <v/>
      </c>
      <c r="M53" s="17">
        <f>M51+M52</f>
        <v/>
      </c>
      <c r="N53" s="17">
        <f>N51+N52</f>
        <v/>
      </c>
      <c r="O53" s="17">
        <f>O51+O52</f>
        <v/>
      </c>
      <c r="P53" s="18">
        <f>SUM(D53:O53)</f>
        <v/>
      </c>
      <c r="Q53" s="19" t="inlineStr"/>
    </row>
    <row r="54" ht="17" customHeight="1">
      <c r="C54" s="20" t="inlineStr">
        <is>
          <t>BU 可控利润</t>
        </is>
      </c>
      <c r="D54" s="21">
        <f>D48-D53</f>
        <v/>
      </c>
      <c r="E54" s="21">
        <f>E48-E53</f>
        <v/>
      </c>
      <c r="F54" s="21">
        <f>F48-F53</f>
        <v/>
      </c>
      <c r="G54" s="21">
        <f>G48-G53</f>
        <v/>
      </c>
      <c r="H54" s="21">
        <f>H48-H53</f>
        <v/>
      </c>
      <c r="I54" s="21">
        <f>I48-I53</f>
        <v/>
      </c>
      <c r="J54" s="21">
        <f>J48-J53</f>
        <v/>
      </c>
      <c r="K54" s="21">
        <f>K48-K53</f>
        <v/>
      </c>
      <c r="L54" s="21">
        <f>L48-L53</f>
        <v/>
      </c>
      <c r="M54" s="21">
        <f>M48-M53</f>
        <v/>
      </c>
      <c r="N54" s="21">
        <f>N48-N53</f>
        <v/>
      </c>
      <c r="O54" s="21">
        <f>O48-O53</f>
        <v/>
      </c>
      <c r="P54" s="21">
        <f>SUM(D54:O54)</f>
        <v/>
      </c>
      <c r="Q54" s="22" t="inlineStr"/>
    </row>
    <row r="55" ht="17" customHeight="1">
      <c r="C55" s="7" t="inlineStr">
        <is>
          <t>BU 贡献费用（预算）</t>
        </is>
      </c>
      <c r="D55" s="8" t="n">
        <v>2800000</v>
      </c>
      <c r="E55" s="8" t="n">
        <v>2800000</v>
      </c>
      <c r="F55" s="8" t="n">
        <v>2800000</v>
      </c>
      <c r="G55" s="8" t="n">
        <v>2800000</v>
      </c>
      <c r="H55" s="8" t="n">
        <v>2800000</v>
      </c>
      <c r="I55" s="8" t="n">
        <v>2800000</v>
      </c>
      <c r="J55" s="8" t="n">
        <v>2800000</v>
      </c>
      <c r="K55" s="8" t="n">
        <v>2800000</v>
      </c>
      <c r="L55" s="8" t="n">
        <v>2800000</v>
      </c>
      <c r="M55" s="8" t="n">
        <v>2800000</v>
      </c>
      <c r="N55" s="8" t="n">
        <v>2800000</v>
      </c>
      <c r="O55" s="8" t="n">
        <v>2800000</v>
      </c>
      <c r="P55" s="9">
        <f>SUM(D55:O55)</f>
        <v/>
      </c>
      <c r="Q55" s="10" t="inlineStr"/>
    </row>
    <row r="56" ht="17" customHeight="1">
      <c r="C56" s="20" t="inlineStr">
        <is>
          <t>BU 贡献利润</t>
        </is>
      </c>
      <c r="D56" s="21">
        <f>D54-D55</f>
        <v/>
      </c>
      <c r="E56" s="21">
        <f>E54-E55</f>
        <v/>
      </c>
      <c r="F56" s="21">
        <f>F54-F55</f>
        <v/>
      </c>
      <c r="G56" s="21">
        <f>G54-G55</f>
        <v/>
      </c>
      <c r="H56" s="21">
        <f>H54-H55</f>
        <v/>
      </c>
      <c r="I56" s="21">
        <f>I54-I55</f>
        <v/>
      </c>
      <c r="J56" s="21">
        <f>J54-J55</f>
        <v/>
      </c>
      <c r="K56" s="21">
        <f>K54-K55</f>
        <v/>
      </c>
      <c r="L56" s="21">
        <f>L54-L55</f>
        <v/>
      </c>
      <c r="M56" s="21">
        <f>M54-M55</f>
        <v/>
      </c>
      <c r="N56" s="21">
        <f>N54-N55</f>
        <v/>
      </c>
      <c r="O56" s="21">
        <f>O54-O55</f>
        <v/>
      </c>
      <c r="P56" s="21">
        <f>SUM(D56:O56)</f>
        <v/>
      </c>
      <c r="Q56" s="22" t="inlineStr"/>
    </row>
    <row r="57" ht="17" customHeight="1">
      <c r="C57" s="7" t="inlineStr">
        <is>
          <t>集团分摊费用（预算）</t>
        </is>
      </c>
      <c r="D57" s="8" t="n">
        <v>1200000</v>
      </c>
      <c r="E57" s="8" t="n">
        <v>1200000</v>
      </c>
      <c r="F57" s="8" t="n">
        <v>1200000</v>
      </c>
      <c r="G57" s="8" t="n">
        <v>1200000</v>
      </c>
      <c r="H57" s="8" t="n">
        <v>1200000</v>
      </c>
      <c r="I57" s="8" t="n">
        <v>1200000</v>
      </c>
      <c r="J57" s="8" t="n">
        <v>1200000</v>
      </c>
      <c r="K57" s="8" t="n">
        <v>1200000</v>
      </c>
      <c r="L57" s="8" t="n">
        <v>1200000</v>
      </c>
      <c r="M57" s="8" t="n">
        <v>1200000</v>
      </c>
      <c r="N57" s="8" t="n">
        <v>1200000</v>
      </c>
      <c r="O57" s="8" t="n">
        <v>1200000</v>
      </c>
      <c r="P57" s="9">
        <f>SUM(D57:O57)</f>
        <v/>
      </c>
      <c r="Q57" s="10" t="inlineStr"/>
    </row>
    <row r="58" ht="17" customHeight="1">
      <c r="C58" s="20" t="inlineStr">
        <is>
          <t>净利润</t>
        </is>
      </c>
      <c r="D58" s="21">
        <f>D56-D57</f>
        <v/>
      </c>
      <c r="E58" s="21">
        <f>E56-E57</f>
        <v/>
      </c>
      <c r="F58" s="21">
        <f>F56-F57</f>
        <v/>
      </c>
      <c r="G58" s="21">
        <f>G56-G57</f>
        <v/>
      </c>
      <c r="H58" s="21">
        <f>H56-H57</f>
        <v/>
      </c>
      <c r="I58" s="21">
        <f>I56-I57</f>
        <v/>
      </c>
      <c r="J58" s="21">
        <f>J56-J57</f>
        <v/>
      </c>
      <c r="K58" s="21">
        <f>K56-K57</f>
        <v/>
      </c>
      <c r="L58" s="21">
        <f>L56-L57</f>
        <v/>
      </c>
      <c r="M58" s="21">
        <f>M56-M57</f>
        <v/>
      </c>
      <c r="N58" s="21">
        <f>N56-N57</f>
        <v/>
      </c>
      <c r="O58" s="21">
        <f>O56-O57</f>
        <v/>
      </c>
      <c r="P58" s="21">
        <f>SUM(D58:O58)</f>
        <v/>
      </c>
      <c r="Q58" s="22" t="inlineStr"/>
    </row>
  </sheetData>
  <mergeCells count="7">
    <mergeCell ref="C27:R27"/>
    <mergeCell ref="C2:R2"/>
    <mergeCell ref="C19:R19"/>
    <mergeCell ref="C47:R47"/>
    <mergeCell ref="C50:R50"/>
    <mergeCell ref="C4:R4"/>
    <mergeCell ref="C12:R1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C2:R58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" customWidth="1" min="2" max="2"/>
    <col width="2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9" customWidth="1" min="17" max="17"/>
    <col width="28" customWidth="1" min="18" max="18"/>
  </cols>
  <sheetData>
    <row r="1" ht="8" customHeight="1"/>
    <row r="2" ht="28" customHeight="1">
      <c r="C2" s="4" t="inlineStr">
        <is>
          <t>得物 — 年度 BP</t>
        </is>
      </c>
    </row>
    <row r="3" ht="20" customHeight="1">
      <c r="C3" s="5" t="inlineStr">
        <is>
          <t>科目</t>
        </is>
      </c>
      <c r="D3" s="5" t="inlineStr">
        <is>
          <t>1月</t>
        </is>
      </c>
      <c r="E3" s="5" t="inlineStr">
        <is>
          <t>2月</t>
        </is>
      </c>
      <c r="F3" s="5" t="inlineStr">
        <is>
          <t>3月</t>
        </is>
      </c>
      <c r="G3" s="5" t="inlineStr">
        <is>
          <t>4月</t>
        </is>
      </c>
      <c r="H3" s="5" t="inlineStr">
        <is>
          <t>5月</t>
        </is>
      </c>
      <c r="I3" s="5" t="inlineStr">
        <is>
          <t>6月</t>
        </is>
      </c>
      <c r="J3" s="5" t="inlineStr">
        <is>
          <t>7月</t>
        </is>
      </c>
      <c r="K3" s="5" t="inlineStr">
        <is>
          <t>8月</t>
        </is>
      </c>
      <c r="L3" s="5" t="inlineStr">
        <is>
          <t>9月</t>
        </is>
      </c>
      <c r="M3" s="5" t="inlineStr">
        <is>
          <t>10月</t>
        </is>
      </c>
      <c r="N3" s="5" t="inlineStr">
        <is>
          <t>11月</t>
        </is>
      </c>
      <c r="O3" s="5" t="inlineStr">
        <is>
          <t>12月</t>
        </is>
      </c>
      <c r="P3" s="5" t="inlineStr">
        <is>
          <t>合计</t>
        </is>
      </c>
      <c r="Q3" s="5" t="inlineStr">
        <is>
          <t>费比</t>
        </is>
      </c>
    </row>
    <row r="4" ht="18" customHeight="1">
      <c r="C4" s="6" t="inlineStr">
        <is>
          <t xml:space="preserve">  一、GMV 层</t>
        </is>
      </c>
    </row>
    <row r="5" ht="17" customHeight="1">
      <c r="C5" s="7" t="inlineStr">
        <is>
          <t>自补前 GMV（月度目标）</t>
        </is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9">
        <f>SUM(D5:O5)</f>
        <v/>
      </c>
      <c r="Q5" s="10" t="inlineStr"/>
      <c r="R5" s="11" t="inlineStr">
        <is>
          <t>渠道填写</t>
        </is>
      </c>
    </row>
    <row r="6" ht="17" customHeight="1">
      <c r="C6" s="12" t="inlineStr">
        <is>
          <t>国补/自补费用率</t>
        </is>
      </c>
      <c r="D6" s="13" t="n">
        <v>0.1</v>
      </c>
      <c r="E6" s="13" t="n">
        <v>0.1</v>
      </c>
      <c r="F6" s="13" t="n">
        <v>0.1</v>
      </c>
      <c r="G6" s="13" t="n">
        <v>0.1</v>
      </c>
      <c r="H6" s="13" t="n">
        <v>0.1</v>
      </c>
      <c r="I6" s="13" t="n">
        <v>0.1</v>
      </c>
      <c r="J6" s="13" t="n">
        <v>0.1</v>
      </c>
      <c r="K6" s="13" t="n">
        <v>0.1</v>
      </c>
      <c r="L6" s="13" t="n">
        <v>0.1</v>
      </c>
      <c r="M6" s="13" t="n">
        <v>0.1</v>
      </c>
      <c r="N6" s="13" t="n">
        <v>0.1</v>
      </c>
      <c r="O6" s="13" t="n">
        <v>0.1</v>
      </c>
      <c r="P6" s="14">
        <f>SUM(D6:O6)</f>
        <v/>
      </c>
      <c r="Q6" s="15" t="inlineStr"/>
    </row>
    <row r="7" ht="17" customHeight="1">
      <c r="C7" s="16" t="inlineStr">
        <is>
          <t>国补/自补费用</t>
        </is>
      </c>
      <c r="D7" s="17">
        <f>D5*D6</f>
        <v/>
      </c>
      <c r="E7" s="17">
        <f>E5*E6</f>
        <v/>
      </c>
      <c r="F7" s="17">
        <f>F5*F6</f>
        <v/>
      </c>
      <c r="G7" s="17">
        <f>G5*G6</f>
        <v/>
      </c>
      <c r="H7" s="17">
        <f>H5*H6</f>
        <v/>
      </c>
      <c r="I7" s="17">
        <f>I5*I6</f>
        <v/>
      </c>
      <c r="J7" s="17">
        <f>J5*J6</f>
        <v/>
      </c>
      <c r="K7" s="17">
        <f>K5*K6</f>
        <v/>
      </c>
      <c r="L7" s="17">
        <f>L5*L6</f>
        <v/>
      </c>
      <c r="M7" s="17">
        <f>M5*M6</f>
        <v/>
      </c>
      <c r="N7" s="17">
        <f>N5*N6</f>
        <v/>
      </c>
      <c r="O7" s="17">
        <f>O5*O6</f>
        <v/>
      </c>
      <c r="P7" s="18">
        <f>SUM(D7:O7)</f>
        <v/>
      </c>
      <c r="Q7" s="19" t="inlineStr"/>
    </row>
    <row r="8" ht="17" customHeight="1">
      <c r="C8" s="20" t="inlineStr">
        <is>
          <t>GMV（剔除国补）</t>
        </is>
      </c>
      <c r="D8" s="21">
        <f>D5-D7</f>
        <v/>
      </c>
      <c r="E8" s="21">
        <f>E5-E7</f>
        <v/>
      </c>
      <c r="F8" s="21">
        <f>F5-F7</f>
        <v/>
      </c>
      <c r="G8" s="21">
        <f>G5-G7</f>
        <v/>
      </c>
      <c r="H8" s="21">
        <f>H5-H7</f>
        <v/>
      </c>
      <c r="I8" s="21">
        <f>I5-I7</f>
        <v/>
      </c>
      <c r="J8" s="21">
        <f>J5-J7</f>
        <v/>
      </c>
      <c r="K8" s="21">
        <f>K5-K7</f>
        <v/>
      </c>
      <c r="L8" s="21">
        <f>L5-L7</f>
        <v/>
      </c>
      <c r="M8" s="21">
        <f>M5-M7</f>
        <v/>
      </c>
      <c r="N8" s="21">
        <f>N5-N7</f>
        <v/>
      </c>
      <c r="O8" s="21">
        <f>O5-O7</f>
        <v/>
      </c>
      <c r="P8" s="21">
        <f>SUM(D8:O8)</f>
        <v/>
      </c>
      <c r="Q8" s="22" t="inlineStr"/>
    </row>
    <row r="9" ht="17" customHeight="1">
      <c r="C9" s="12" t="inlineStr">
        <is>
          <t>退货率</t>
        </is>
      </c>
      <c r="D9" s="13" t="n">
        <v>0.19</v>
      </c>
      <c r="E9" s="13" t="n">
        <v>0.19</v>
      </c>
      <c r="F9" s="13" t="n">
        <v>0.19</v>
      </c>
      <c r="G9" s="13" t="n">
        <v>0.19</v>
      </c>
      <c r="H9" s="13" t="n">
        <v>0.19</v>
      </c>
      <c r="I9" s="13" t="n">
        <v>0.19</v>
      </c>
      <c r="J9" s="13" t="n">
        <v>0.19</v>
      </c>
      <c r="K9" s="13" t="n">
        <v>0.19</v>
      </c>
      <c r="L9" s="13" t="n">
        <v>0.19</v>
      </c>
      <c r="M9" s="13" t="n">
        <v>0.19</v>
      </c>
      <c r="N9" s="13" t="n">
        <v>0.19</v>
      </c>
      <c r="O9" s="13" t="n">
        <v>0.19</v>
      </c>
      <c r="P9" s="14">
        <f>SUM(D9:O9)</f>
        <v/>
      </c>
      <c r="Q9" s="15" t="inlineStr"/>
    </row>
    <row r="10" ht="17" customHeight="1">
      <c r="C10" s="20" t="inlineStr">
        <is>
          <t>GSV（去退货）</t>
        </is>
      </c>
      <c r="D10" s="21">
        <f>D8*(1-D9)</f>
        <v/>
      </c>
      <c r="E10" s="21">
        <f>E8*(1-E9)</f>
        <v/>
      </c>
      <c r="F10" s="21">
        <f>F8*(1-F9)</f>
        <v/>
      </c>
      <c r="G10" s="21">
        <f>G8*(1-G9)</f>
        <v/>
      </c>
      <c r="H10" s="21">
        <f>H8*(1-H9)</f>
        <v/>
      </c>
      <c r="I10" s="21">
        <f>I8*(1-I9)</f>
        <v/>
      </c>
      <c r="J10" s="21">
        <f>J8*(1-J9)</f>
        <v/>
      </c>
      <c r="K10" s="21">
        <f>K8*(1-K9)</f>
        <v/>
      </c>
      <c r="L10" s="21">
        <f>L8*(1-L9)</f>
        <v/>
      </c>
      <c r="M10" s="21">
        <f>M8*(1-M9)</f>
        <v/>
      </c>
      <c r="N10" s="21">
        <f>N8*(1-N9)</f>
        <v/>
      </c>
      <c r="O10" s="21">
        <f>O8*(1-O9)</f>
        <v/>
      </c>
      <c r="P10" s="21">
        <f>SUM(D10:O10)</f>
        <v/>
      </c>
      <c r="Q10" s="22" t="inlineStr"/>
    </row>
    <row r="11" ht="6" customHeight="1"/>
    <row r="12" ht="18" customHeight="1">
      <c r="C12" s="6" t="inlineStr">
        <is>
          <t xml:space="preserve">  二、营业收入层</t>
        </is>
      </c>
    </row>
    <row r="13" ht="17" customHeight="1">
      <c r="C13" s="12" t="inlineStr">
        <is>
          <t>合同折扣及返利费率（线下）</t>
        </is>
      </c>
      <c r="D13" s="13" t="n">
        <v>0.04</v>
      </c>
      <c r="E13" s="13" t="n">
        <v>0.04</v>
      </c>
      <c r="F13" s="13" t="n">
        <v>0.04</v>
      </c>
      <c r="G13" s="13" t="n">
        <v>0.04</v>
      </c>
      <c r="H13" s="13" t="n">
        <v>0.04</v>
      </c>
      <c r="I13" s="13" t="n">
        <v>0.04</v>
      </c>
      <c r="J13" s="13" t="n">
        <v>0.04</v>
      </c>
      <c r="K13" s="13" t="n">
        <v>0.04</v>
      </c>
      <c r="L13" s="13" t="n">
        <v>0.04</v>
      </c>
      <c r="M13" s="13" t="n">
        <v>0.04</v>
      </c>
      <c r="N13" s="13" t="n">
        <v>0.04</v>
      </c>
      <c r="O13" s="13" t="n">
        <v>0.04</v>
      </c>
      <c r="P13" s="14">
        <f>SUM(D13:O13)</f>
        <v/>
      </c>
      <c r="Q13" s="15" t="inlineStr"/>
    </row>
    <row r="14" ht="17" customHeight="1">
      <c r="C14" s="12" t="inlineStr">
        <is>
          <t>国补/自补折扣费率（线上）</t>
        </is>
      </c>
      <c r="D14" s="13" t="n">
        <v>0.1</v>
      </c>
      <c r="E14" s="13" t="n">
        <v>0.1</v>
      </c>
      <c r="F14" s="13" t="n">
        <v>0.1</v>
      </c>
      <c r="G14" s="13" t="n">
        <v>0.1</v>
      </c>
      <c r="H14" s="13" t="n">
        <v>0.1</v>
      </c>
      <c r="I14" s="13" t="n">
        <v>0.1</v>
      </c>
      <c r="J14" s="13" t="n">
        <v>0.1</v>
      </c>
      <c r="K14" s="13" t="n">
        <v>0.1</v>
      </c>
      <c r="L14" s="13" t="n">
        <v>0.1</v>
      </c>
      <c r="M14" s="13" t="n">
        <v>0.1</v>
      </c>
      <c r="N14" s="13" t="n">
        <v>0.1</v>
      </c>
      <c r="O14" s="13" t="n">
        <v>0.1</v>
      </c>
      <c r="P14" s="14">
        <f>SUM(D14:O14)</f>
        <v/>
      </c>
      <c r="Q14" s="15" t="inlineStr"/>
    </row>
    <row r="15" ht="17" customHeight="1">
      <c r="C15" s="12" t="inlineStr">
        <is>
          <t>红包/促销折扣费率</t>
        </is>
      </c>
      <c r="D15" s="13" t="n">
        <v>0.05</v>
      </c>
      <c r="E15" s="13" t="n">
        <v>0.05</v>
      </c>
      <c r="F15" s="13" t="n">
        <v>0.05</v>
      </c>
      <c r="G15" s="13" t="n">
        <v>0.05</v>
      </c>
      <c r="H15" s="13" t="n">
        <v>0.05</v>
      </c>
      <c r="I15" s="13" t="n">
        <v>0.05</v>
      </c>
      <c r="J15" s="13" t="n">
        <v>0.05</v>
      </c>
      <c r="K15" s="13" t="n">
        <v>0.05</v>
      </c>
      <c r="L15" s="13" t="n">
        <v>0.05</v>
      </c>
      <c r="M15" s="13" t="n">
        <v>0.05</v>
      </c>
      <c r="N15" s="13" t="n">
        <v>0.05</v>
      </c>
      <c r="O15" s="13" t="n">
        <v>0.05</v>
      </c>
      <c r="P15" s="14">
        <f>SUM(D15:O15)</f>
        <v/>
      </c>
      <c r="Q15" s="15" t="inlineStr"/>
    </row>
    <row r="16" ht="17" customHeight="1">
      <c r="C16" s="16" t="inlineStr">
        <is>
          <t>TTL折扣合计</t>
        </is>
      </c>
      <c r="D16" s="17">
        <f>(D13+D14+D15)*D10</f>
        <v/>
      </c>
      <c r="E16" s="17">
        <f>(E13+E14+E15)*E10</f>
        <v/>
      </c>
      <c r="F16" s="17">
        <f>(F13+F14+F15)*F10</f>
        <v/>
      </c>
      <c r="G16" s="17">
        <f>(G13+G14+G15)*G10</f>
        <v/>
      </c>
      <c r="H16" s="17">
        <f>(H13+H14+H15)*H10</f>
        <v/>
      </c>
      <c r="I16" s="17">
        <f>(I13+I14+I15)*I10</f>
        <v/>
      </c>
      <c r="J16" s="17">
        <f>(J13+J14+J15)*J10</f>
        <v/>
      </c>
      <c r="K16" s="17">
        <f>(K13+K14+K15)*K10</f>
        <v/>
      </c>
      <c r="L16" s="17">
        <f>(L13+L14+L15)*L10</f>
        <v/>
      </c>
      <c r="M16" s="17">
        <f>(M13+M14+M15)*M10</f>
        <v/>
      </c>
      <c r="N16" s="17">
        <f>(N13+N14+N15)*N10</f>
        <v/>
      </c>
      <c r="O16" s="17">
        <f>(O13+O14+O15)*O10</f>
        <v/>
      </c>
      <c r="P16" s="18">
        <f>SUM(D16:O16)</f>
        <v/>
      </c>
      <c r="Q16" s="19" t="inlineStr"/>
    </row>
    <row r="17" ht="17" customHeight="1">
      <c r="C17" s="20" t="inlineStr">
        <is>
          <t>营业收入（净销售收入）</t>
        </is>
      </c>
      <c r="D17" s="21">
        <f>D10-D16</f>
        <v/>
      </c>
      <c r="E17" s="21">
        <f>E10-E16</f>
        <v/>
      </c>
      <c r="F17" s="21">
        <f>F10-F16</f>
        <v/>
      </c>
      <c r="G17" s="21">
        <f>G10-G16</f>
        <v/>
      </c>
      <c r="H17" s="21">
        <f>H10-H16</f>
        <v/>
      </c>
      <c r="I17" s="21">
        <f>I10-I16</f>
        <v/>
      </c>
      <c r="J17" s="21">
        <f>J10-J16</f>
        <v/>
      </c>
      <c r="K17" s="21">
        <f>K10-K16</f>
        <v/>
      </c>
      <c r="L17" s="21">
        <f>L10-L16</f>
        <v/>
      </c>
      <c r="M17" s="21">
        <f>M10-M16</f>
        <v/>
      </c>
      <c r="N17" s="21">
        <f>N10-N16</f>
        <v/>
      </c>
      <c r="O17" s="21">
        <f>O10-O16</f>
        <v/>
      </c>
      <c r="P17" s="21">
        <f>SUM(D17:O17)</f>
        <v/>
      </c>
      <c r="Q17" s="22" t="inlineStr"/>
    </row>
    <row r="18" ht="6" customHeight="1"/>
    <row r="19" ht="18" customHeight="1">
      <c r="C19" s="6" t="inlineStr">
        <is>
          <t xml:space="preserve">  三、毛利层</t>
        </is>
      </c>
    </row>
    <row r="20" ht="17" customHeight="1">
      <c r="C20" s="12" t="inlineStr">
        <is>
          <t>标准主品及配件成本率</t>
        </is>
      </c>
      <c r="D20" s="13" t="n">
        <v>0.46</v>
      </c>
      <c r="E20" s="13" t="n">
        <v>0.46</v>
      </c>
      <c r="F20" s="13" t="n">
        <v>0.46</v>
      </c>
      <c r="G20" s="13" t="n">
        <v>0.46</v>
      </c>
      <c r="H20" s="13" t="n">
        <v>0.46</v>
      </c>
      <c r="I20" s="13" t="n">
        <v>0.46</v>
      </c>
      <c r="J20" s="13" t="n">
        <v>0.46</v>
      </c>
      <c r="K20" s="13" t="n">
        <v>0.46</v>
      </c>
      <c r="L20" s="13" t="n">
        <v>0.46</v>
      </c>
      <c r="M20" s="13" t="n">
        <v>0.46</v>
      </c>
      <c r="N20" s="13" t="n">
        <v>0.46</v>
      </c>
      <c r="O20" s="13" t="n">
        <v>0.46</v>
      </c>
      <c r="P20" s="14">
        <f>SUM(D20:O20)</f>
        <v/>
      </c>
      <c r="Q20" s="15" t="inlineStr"/>
    </row>
    <row r="21" ht="17" customHeight="1">
      <c r="C21" s="16" t="inlineStr">
        <is>
          <t>标准主品及配件成本</t>
        </is>
      </c>
      <c r="D21" s="17">
        <f>D17*D20</f>
        <v/>
      </c>
      <c r="E21" s="17">
        <f>E17*E20</f>
        <v/>
      </c>
      <c r="F21" s="17">
        <f>F17*F20</f>
        <v/>
      </c>
      <c r="G21" s="17">
        <f>G17*G20</f>
        <v/>
      </c>
      <c r="H21" s="17">
        <f>H17*H20</f>
        <v/>
      </c>
      <c r="I21" s="17">
        <f>I17*I20</f>
        <v/>
      </c>
      <c r="J21" s="17">
        <f>J17*J20</f>
        <v/>
      </c>
      <c r="K21" s="17">
        <f>K17*K20</f>
        <v/>
      </c>
      <c r="L21" s="17">
        <f>L17*L20</f>
        <v/>
      </c>
      <c r="M21" s="17">
        <f>M17*M20</f>
        <v/>
      </c>
      <c r="N21" s="17">
        <f>N17*N20</f>
        <v/>
      </c>
      <c r="O21" s="17">
        <f>O17*O20</f>
        <v/>
      </c>
      <c r="P21" s="18">
        <f>SUM(D21:O21)</f>
        <v/>
      </c>
      <c r="Q21" s="19" t="inlineStr"/>
    </row>
    <row r="22" ht="17" customHeight="1">
      <c r="C22" s="20" t="inlineStr">
        <is>
          <t>产品毛利</t>
        </is>
      </c>
      <c r="D22" s="21">
        <f>D17-D21</f>
        <v/>
      </c>
      <c r="E22" s="21">
        <f>E17-E21</f>
        <v/>
      </c>
      <c r="F22" s="21">
        <f>F17-F21</f>
        <v/>
      </c>
      <c r="G22" s="21">
        <f>G17-G21</f>
        <v/>
      </c>
      <c r="H22" s="21">
        <f>H17-H21</f>
        <v/>
      </c>
      <c r="I22" s="21">
        <f>I17-I21</f>
        <v/>
      </c>
      <c r="J22" s="21">
        <f>J17-J21</f>
        <v/>
      </c>
      <c r="K22" s="21">
        <f>K17-K21</f>
        <v/>
      </c>
      <c r="L22" s="21">
        <f>L17-L21</f>
        <v/>
      </c>
      <c r="M22" s="21">
        <f>M17-M21</f>
        <v/>
      </c>
      <c r="N22" s="21">
        <f>N17-N21</f>
        <v/>
      </c>
      <c r="O22" s="21">
        <f>O17-O21</f>
        <v/>
      </c>
      <c r="P22" s="21">
        <f>SUM(D22:O22)</f>
        <v/>
      </c>
      <c r="Q22" s="22" t="inlineStr"/>
    </row>
    <row r="23" ht="17" customHeight="1">
      <c r="C23" s="12" t="inlineStr">
        <is>
          <t>物流/仓储费率</t>
        </is>
      </c>
      <c r="D23" s="13" t="n">
        <v>0.025</v>
      </c>
      <c r="E23" s="13" t="n">
        <v>0.025</v>
      </c>
      <c r="F23" s="13" t="n">
        <v>0.025</v>
      </c>
      <c r="G23" s="13" t="n">
        <v>0.025</v>
      </c>
      <c r="H23" s="13" t="n">
        <v>0.025</v>
      </c>
      <c r="I23" s="13" t="n">
        <v>0.025</v>
      </c>
      <c r="J23" s="13" t="n">
        <v>0.025</v>
      </c>
      <c r="K23" s="13" t="n">
        <v>0.025</v>
      </c>
      <c r="L23" s="13" t="n">
        <v>0.025</v>
      </c>
      <c r="M23" s="13" t="n">
        <v>0.025</v>
      </c>
      <c r="N23" s="13" t="n">
        <v>0.025</v>
      </c>
      <c r="O23" s="13" t="n">
        <v>0.025</v>
      </c>
      <c r="P23" s="14">
        <f>SUM(D23:O23)</f>
        <v/>
      </c>
      <c r="Q23" s="15" t="inlineStr"/>
    </row>
    <row r="24" ht="17" customHeight="1">
      <c r="C24" s="16" t="inlineStr">
        <is>
          <t>物流/仓储费用</t>
        </is>
      </c>
      <c r="D24" s="17">
        <f>D17*D23</f>
        <v/>
      </c>
      <c r="E24" s="17">
        <f>E17*E23</f>
        <v/>
      </c>
      <c r="F24" s="17">
        <f>F17*F23</f>
        <v/>
      </c>
      <c r="G24" s="17">
        <f>G17*G23</f>
        <v/>
      </c>
      <c r="H24" s="17">
        <f>H17*H23</f>
        <v/>
      </c>
      <c r="I24" s="17">
        <f>I17*I23</f>
        <v/>
      </c>
      <c r="J24" s="17">
        <f>J17*J23</f>
        <v/>
      </c>
      <c r="K24" s="17">
        <f>K17*K23</f>
        <v/>
      </c>
      <c r="L24" s="17">
        <f>L17*L23</f>
        <v/>
      </c>
      <c r="M24" s="17">
        <f>M17*M23</f>
        <v/>
      </c>
      <c r="N24" s="17">
        <f>N17*N23</f>
        <v/>
      </c>
      <c r="O24" s="17">
        <f>O17*O23</f>
        <v/>
      </c>
      <c r="P24" s="18">
        <f>SUM(D24:O24)</f>
        <v/>
      </c>
      <c r="Q24" s="19" t="inlineStr"/>
    </row>
    <row r="25" ht="17" customHeight="1">
      <c r="C25" s="20" t="inlineStr">
        <is>
          <t>净毛利</t>
        </is>
      </c>
      <c r="D25" s="21">
        <f>D22-D24</f>
        <v/>
      </c>
      <c r="E25" s="21">
        <f>E22-E24</f>
        <v/>
      </c>
      <c r="F25" s="21">
        <f>F22-F24</f>
        <v/>
      </c>
      <c r="G25" s="21">
        <f>G22-G24</f>
        <v/>
      </c>
      <c r="H25" s="21">
        <f>H22-H24</f>
        <v/>
      </c>
      <c r="I25" s="21">
        <f>I22-I24</f>
        <v/>
      </c>
      <c r="J25" s="21">
        <f>J22-J24</f>
        <v/>
      </c>
      <c r="K25" s="21">
        <f>K22-K24</f>
        <v/>
      </c>
      <c r="L25" s="21">
        <f>L22-L24</f>
        <v/>
      </c>
      <c r="M25" s="21">
        <f>M22-M24</f>
        <v/>
      </c>
      <c r="N25" s="21">
        <f>N22-N24</f>
        <v/>
      </c>
      <c r="O25" s="21">
        <f>O22-O24</f>
        <v/>
      </c>
      <c r="P25" s="21">
        <f>SUM(D25:O25)</f>
        <v/>
      </c>
      <c r="Q25" s="22" t="inlineStr"/>
    </row>
    <row r="26" ht="6" customHeight="1"/>
    <row r="27" ht="18" customHeight="1">
      <c r="C27" s="6" t="inlineStr">
        <is>
          <t xml:space="preserve">  四、A&amp;P 营销与运营费用</t>
        </is>
      </c>
    </row>
    <row r="28" ht="17" customHeight="1">
      <c r="C28" s="12" t="inlineStr">
        <is>
          <t>品牌/内容/达人费率</t>
        </is>
      </c>
      <c r="D28" s="13" t="n">
        <v>0.05</v>
      </c>
      <c r="E28" s="13" t="n">
        <v>0.05</v>
      </c>
      <c r="F28" s="13" t="n">
        <v>0.05</v>
      </c>
      <c r="G28" s="13" t="n">
        <v>0.05</v>
      </c>
      <c r="H28" s="13" t="n">
        <v>0.05</v>
      </c>
      <c r="I28" s="13" t="n">
        <v>0.05</v>
      </c>
      <c r="J28" s="13" t="n">
        <v>0.05</v>
      </c>
      <c r="K28" s="13" t="n">
        <v>0.05</v>
      </c>
      <c r="L28" s="13" t="n">
        <v>0.05</v>
      </c>
      <c r="M28" s="13" t="n">
        <v>0.05</v>
      </c>
      <c r="N28" s="13" t="n">
        <v>0.05</v>
      </c>
      <c r="O28" s="13" t="n">
        <v>0.05</v>
      </c>
      <c r="P28" s="14">
        <f>SUM(D28:O28)</f>
        <v/>
      </c>
      <c r="Q28" s="15" t="inlineStr"/>
    </row>
    <row r="29" ht="17" customHeight="1">
      <c r="C29" s="16" t="inlineStr">
        <is>
          <t>品牌内容费用</t>
        </is>
      </c>
      <c r="D29" s="17">
        <f>D17*D28</f>
        <v/>
      </c>
      <c r="E29" s="17">
        <f>E17*E28</f>
        <v/>
      </c>
      <c r="F29" s="17">
        <f>F17*F28</f>
        <v/>
      </c>
      <c r="G29" s="17">
        <f>G17*G28</f>
        <v/>
      </c>
      <c r="H29" s="17">
        <f>H17*H28</f>
        <v/>
      </c>
      <c r="I29" s="17">
        <f>I17*I28</f>
        <v/>
      </c>
      <c r="J29" s="17">
        <f>J17*J28</f>
        <v/>
      </c>
      <c r="K29" s="17">
        <f>K17*K28</f>
        <v/>
      </c>
      <c r="L29" s="17">
        <f>L17*L28</f>
        <v/>
      </c>
      <c r="M29" s="17">
        <f>M17*M28</f>
        <v/>
      </c>
      <c r="N29" s="17">
        <f>N17*N28</f>
        <v/>
      </c>
      <c r="O29" s="17">
        <f>O17*O28</f>
        <v/>
      </c>
      <c r="P29" s="18">
        <f>SUM(D29:O29)</f>
        <v/>
      </c>
      <c r="Q29" s="19" t="inlineStr"/>
    </row>
    <row r="30" ht="17" customHeight="1">
      <c r="C30" s="12" t="inlineStr">
        <is>
          <t>站内投放费率</t>
        </is>
      </c>
      <c r="D30" s="13" t="n">
        <v>0.06</v>
      </c>
      <c r="E30" s="13" t="n">
        <v>0.06</v>
      </c>
      <c r="F30" s="13" t="n">
        <v>0.06</v>
      </c>
      <c r="G30" s="13" t="n">
        <v>0.06</v>
      </c>
      <c r="H30" s="13" t="n">
        <v>0.06</v>
      </c>
      <c r="I30" s="13" t="n">
        <v>0.06</v>
      </c>
      <c r="J30" s="13" t="n">
        <v>0.06</v>
      </c>
      <c r="K30" s="13" t="n">
        <v>0.06</v>
      </c>
      <c r="L30" s="13" t="n">
        <v>0.06</v>
      </c>
      <c r="M30" s="13" t="n">
        <v>0.06</v>
      </c>
      <c r="N30" s="13" t="n">
        <v>0.06</v>
      </c>
      <c r="O30" s="13" t="n">
        <v>0.06</v>
      </c>
      <c r="P30" s="14">
        <f>SUM(D30:O30)</f>
        <v/>
      </c>
      <c r="Q30" s="15" t="inlineStr"/>
    </row>
    <row r="31" ht="17" customHeight="1">
      <c r="C31" s="12" t="inlineStr">
        <is>
          <t>千川投放费率</t>
        </is>
      </c>
      <c r="D31" s="13" t="n">
        <v>0</v>
      </c>
      <c r="E31" s="13" t="n">
        <v>0</v>
      </c>
      <c r="F31" s="13" t="n">
        <v>0</v>
      </c>
      <c r="G31" s="13" t="n">
        <v>0</v>
      </c>
      <c r="H31" s="13" t="n">
        <v>0</v>
      </c>
      <c r="I31" s="13" t="n">
        <v>0</v>
      </c>
      <c r="J31" s="13" t="n">
        <v>0</v>
      </c>
      <c r="K31" s="13" t="n">
        <v>0</v>
      </c>
      <c r="L31" s="13" t="n">
        <v>0</v>
      </c>
      <c r="M31" s="13" t="n">
        <v>0</v>
      </c>
      <c r="N31" s="13" t="n">
        <v>0</v>
      </c>
      <c r="O31" s="13" t="n">
        <v>0</v>
      </c>
      <c r="P31" s="14">
        <f>SUM(D31:O31)</f>
        <v/>
      </c>
      <c r="Q31" s="15" t="inlineStr"/>
    </row>
    <row r="32" ht="17" customHeight="1">
      <c r="C32" s="12" t="inlineStr">
        <is>
          <t>站外投放费率</t>
        </is>
      </c>
      <c r="D32" s="13" t="n">
        <v>0.02</v>
      </c>
      <c r="E32" s="13" t="n">
        <v>0.02</v>
      </c>
      <c r="F32" s="13" t="n">
        <v>0.02</v>
      </c>
      <c r="G32" s="13" t="n">
        <v>0.02</v>
      </c>
      <c r="H32" s="13" t="n">
        <v>0.02</v>
      </c>
      <c r="I32" s="13" t="n">
        <v>0.02</v>
      </c>
      <c r="J32" s="13" t="n">
        <v>0.02</v>
      </c>
      <c r="K32" s="13" t="n">
        <v>0.02</v>
      </c>
      <c r="L32" s="13" t="n">
        <v>0.02</v>
      </c>
      <c r="M32" s="13" t="n">
        <v>0.02</v>
      </c>
      <c r="N32" s="13" t="n">
        <v>0.02</v>
      </c>
      <c r="O32" s="13" t="n">
        <v>0.02</v>
      </c>
      <c r="P32" s="14">
        <f>SUM(D32:O32)</f>
        <v/>
      </c>
      <c r="Q32" s="15" t="inlineStr"/>
    </row>
    <row r="33" ht="17" customHeight="1">
      <c r="C33" s="16" t="inlineStr">
        <is>
          <t>效果广告合计</t>
        </is>
      </c>
      <c r="D33" s="17">
        <f>(D30+D31+D32)*D17</f>
        <v/>
      </c>
      <c r="E33" s="17">
        <f>(E30+E31+E32)*E17</f>
        <v/>
      </c>
      <c r="F33" s="17">
        <f>(F30+F31+F32)*F17</f>
        <v/>
      </c>
      <c r="G33" s="17">
        <f>(G30+G31+G32)*G17</f>
        <v/>
      </c>
      <c r="H33" s="17">
        <f>(H30+H31+H32)*H17</f>
        <v/>
      </c>
      <c r="I33" s="17">
        <f>(I30+I31+I32)*I17</f>
        <v/>
      </c>
      <c r="J33" s="17">
        <f>(J30+J31+J32)*J17</f>
        <v/>
      </c>
      <c r="K33" s="17">
        <f>(K30+K31+K32)*K17</f>
        <v/>
      </c>
      <c r="L33" s="17">
        <f>(L30+L31+L32)*L17</f>
        <v/>
      </c>
      <c r="M33" s="17">
        <f>(M30+M31+M32)*M17</f>
        <v/>
      </c>
      <c r="N33" s="17">
        <f>(N30+N31+N32)*N17</f>
        <v/>
      </c>
      <c r="O33" s="17">
        <f>(O30+O31+O32)*O17</f>
        <v/>
      </c>
      <c r="P33" s="18">
        <f>SUM(D33:O33)</f>
        <v/>
      </c>
      <c r="Q33" s="19" t="inlineStr"/>
    </row>
    <row r="34" ht="17" customHeight="1">
      <c r="C34" s="12" t="inlineStr">
        <is>
          <t>线上运营费率（直播+赠品）</t>
        </is>
      </c>
      <c r="D34" s="13" t="n">
        <v>0.03</v>
      </c>
      <c r="E34" s="13" t="n">
        <v>0.03</v>
      </c>
      <c r="F34" s="13" t="n">
        <v>0.03</v>
      </c>
      <c r="G34" s="13" t="n">
        <v>0.03</v>
      </c>
      <c r="H34" s="13" t="n">
        <v>0.03</v>
      </c>
      <c r="I34" s="13" t="n">
        <v>0.03</v>
      </c>
      <c r="J34" s="13" t="n">
        <v>0.03</v>
      </c>
      <c r="K34" s="13" t="n">
        <v>0.03</v>
      </c>
      <c r="L34" s="13" t="n">
        <v>0.03</v>
      </c>
      <c r="M34" s="13" t="n">
        <v>0.03</v>
      </c>
      <c r="N34" s="13" t="n">
        <v>0.03</v>
      </c>
      <c r="O34" s="13" t="n">
        <v>0.03</v>
      </c>
      <c r="P34" s="14">
        <f>SUM(D34:O34)</f>
        <v/>
      </c>
      <c r="Q34" s="15" t="inlineStr"/>
    </row>
    <row r="35" ht="17" customHeight="1">
      <c r="C35" s="16" t="inlineStr">
        <is>
          <t>线上运营费用</t>
        </is>
      </c>
      <c r="D35" s="17">
        <f>D17*D34</f>
        <v/>
      </c>
      <c r="E35" s="17">
        <f>E17*E34</f>
        <v/>
      </c>
      <c r="F35" s="17">
        <f>F17*F34</f>
        <v/>
      </c>
      <c r="G35" s="17">
        <f>G17*G34</f>
        <v/>
      </c>
      <c r="H35" s="17">
        <f>H17*H34</f>
        <v/>
      </c>
      <c r="I35" s="17">
        <f>I17*I34</f>
        <v/>
      </c>
      <c r="J35" s="17">
        <f>J17*J34</f>
        <v/>
      </c>
      <c r="K35" s="17">
        <f>K17*K34</f>
        <v/>
      </c>
      <c r="L35" s="17">
        <f>L17*L34</f>
        <v/>
      </c>
      <c r="M35" s="17">
        <f>M17*M34</f>
        <v/>
      </c>
      <c r="N35" s="17">
        <f>N17*N34</f>
        <v/>
      </c>
      <c r="O35" s="17">
        <f>O17*O34</f>
        <v/>
      </c>
      <c r="P35" s="18">
        <f>SUM(D35:O35)</f>
        <v/>
      </c>
      <c r="Q35" s="19" t="inlineStr"/>
    </row>
    <row r="36" ht="17" customHeight="1">
      <c r="C36" s="7" t="inlineStr">
        <is>
          <t>线下市场/渠道费用（预算）</t>
        </is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9">
        <f>SUM(D36:O36)</f>
        <v/>
      </c>
      <c r="Q36" s="10" t="inlineStr"/>
    </row>
    <row r="37" ht="17" customHeight="1">
      <c r="C37" s="12" t="inlineStr">
        <is>
          <t>平台佣金费率</t>
        </is>
      </c>
      <c r="D37" s="13" t="n">
        <v>0.08</v>
      </c>
      <c r="E37" s="13" t="n">
        <v>0.08</v>
      </c>
      <c r="F37" s="13" t="n">
        <v>0.08</v>
      </c>
      <c r="G37" s="13" t="n">
        <v>0.08</v>
      </c>
      <c r="H37" s="13" t="n">
        <v>0.08</v>
      </c>
      <c r="I37" s="13" t="n">
        <v>0.08</v>
      </c>
      <c r="J37" s="13" t="n">
        <v>0.08</v>
      </c>
      <c r="K37" s="13" t="n">
        <v>0.08</v>
      </c>
      <c r="L37" s="13" t="n">
        <v>0.08</v>
      </c>
      <c r="M37" s="13" t="n">
        <v>0.08</v>
      </c>
      <c r="N37" s="13" t="n">
        <v>0.08</v>
      </c>
      <c r="O37" s="13" t="n">
        <v>0.08</v>
      </c>
      <c r="P37" s="14">
        <f>SUM(D37:O37)</f>
        <v/>
      </c>
      <c r="Q37" s="15" t="inlineStr"/>
    </row>
    <row r="38" ht="17" customHeight="1">
      <c r="C38" s="16" t="inlineStr">
        <is>
          <t>平台佣金</t>
        </is>
      </c>
      <c r="D38" s="17">
        <f>D17*D37</f>
        <v/>
      </c>
      <c r="E38" s="17">
        <f>E17*E37</f>
        <v/>
      </c>
      <c r="F38" s="17">
        <f>F17*F37</f>
        <v/>
      </c>
      <c r="G38" s="17">
        <f>G17*G37</f>
        <v/>
      </c>
      <c r="H38" s="17">
        <f>H17*H37</f>
        <v/>
      </c>
      <c r="I38" s="17">
        <f>I17*I37</f>
        <v/>
      </c>
      <c r="J38" s="17">
        <f>J17*J37</f>
        <v/>
      </c>
      <c r="K38" s="17">
        <f>K17*K37</f>
        <v/>
      </c>
      <c r="L38" s="17">
        <f>L17*L37</f>
        <v/>
      </c>
      <c r="M38" s="17">
        <f>M17*M37</f>
        <v/>
      </c>
      <c r="N38" s="17">
        <f>N17*N37</f>
        <v/>
      </c>
      <c r="O38" s="17">
        <f>O17*O37</f>
        <v/>
      </c>
      <c r="P38" s="18">
        <f>SUM(D38:O38)</f>
        <v/>
      </c>
      <c r="Q38" s="19" t="inlineStr"/>
    </row>
    <row r="39" ht="17" customHeight="1">
      <c r="C39" s="12" t="inlineStr">
        <is>
          <t>平台其他费率</t>
        </is>
      </c>
      <c r="D39" s="13" t="n">
        <v>0.014</v>
      </c>
      <c r="E39" s="13" t="n">
        <v>0.014</v>
      </c>
      <c r="F39" s="13" t="n">
        <v>0.014</v>
      </c>
      <c r="G39" s="13" t="n">
        <v>0.014</v>
      </c>
      <c r="H39" s="13" t="n">
        <v>0.014</v>
      </c>
      <c r="I39" s="13" t="n">
        <v>0.014</v>
      </c>
      <c r="J39" s="13" t="n">
        <v>0.014</v>
      </c>
      <c r="K39" s="13" t="n">
        <v>0.014</v>
      </c>
      <c r="L39" s="13" t="n">
        <v>0.014</v>
      </c>
      <c r="M39" s="13" t="n">
        <v>0.014</v>
      </c>
      <c r="N39" s="13" t="n">
        <v>0.014</v>
      </c>
      <c r="O39" s="13" t="n">
        <v>0.014</v>
      </c>
      <c r="P39" s="14">
        <f>SUM(D39:O39)</f>
        <v/>
      </c>
      <c r="Q39" s="15" t="inlineStr"/>
    </row>
    <row r="40" ht="17" customHeight="1">
      <c r="C40" s="16" t="inlineStr">
        <is>
          <t>平台其他费用</t>
        </is>
      </c>
      <c r="D40" s="17">
        <f>D17*D39</f>
        <v/>
      </c>
      <c r="E40" s="17">
        <f>E17*E39</f>
        <v/>
      </c>
      <c r="F40" s="17">
        <f>F17*F39</f>
        <v/>
      </c>
      <c r="G40" s="17">
        <f>G17*G39</f>
        <v/>
      </c>
      <c r="H40" s="17">
        <f>H17*H39</f>
        <v/>
      </c>
      <c r="I40" s="17">
        <f>I17*I39</f>
        <v/>
      </c>
      <c r="J40" s="17">
        <f>J17*J39</f>
        <v/>
      </c>
      <c r="K40" s="17">
        <f>K17*K39</f>
        <v/>
      </c>
      <c r="L40" s="17">
        <f>L17*L39</f>
        <v/>
      </c>
      <c r="M40" s="17">
        <f>M17*M39</f>
        <v/>
      </c>
      <c r="N40" s="17">
        <f>N17*N39</f>
        <v/>
      </c>
      <c r="O40" s="17">
        <f>O17*O39</f>
        <v/>
      </c>
      <c r="P40" s="18">
        <f>SUM(D40:O40)</f>
        <v/>
      </c>
      <c r="Q40" s="19" t="inlineStr"/>
    </row>
    <row r="41" ht="17" customHeight="1">
      <c r="C41" s="12" t="inlineStr">
        <is>
          <t>售后费率</t>
        </is>
      </c>
      <c r="D41" s="13" t="n">
        <v>0.03</v>
      </c>
      <c r="E41" s="13" t="n">
        <v>0.03</v>
      </c>
      <c r="F41" s="13" t="n">
        <v>0.03</v>
      </c>
      <c r="G41" s="13" t="n">
        <v>0.03</v>
      </c>
      <c r="H41" s="13" t="n">
        <v>0.03</v>
      </c>
      <c r="I41" s="13" t="n">
        <v>0.03</v>
      </c>
      <c r="J41" s="13" t="n">
        <v>0.03</v>
      </c>
      <c r="K41" s="13" t="n">
        <v>0.03</v>
      </c>
      <c r="L41" s="13" t="n">
        <v>0.03</v>
      </c>
      <c r="M41" s="13" t="n">
        <v>0.03</v>
      </c>
      <c r="N41" s="13" t="n">
        <v>0.03</v>
      </c>
      <c r="O41" s="13" t="n">
        <v>0.03</v>
      </c>
      <c r="P41" s="14">
        <f>SUM(D41:O41)</f>
        <v/>
      </c>
      <c r="Q41" s="15" t="inlineStr"/>
    </row>
    <row r="42" ht="17" customHeight="1">
      <c r="C42" s="16" t="inlineStr">
        <is>
          <t>售后费用</t>
        </is>
      </c>
      <c r="D42" s="17">
        <f>D17*D41</f>
        <v/>
      </c>
      <c r="E42" s="17">
        <f>E17*E41</f>
        <v/>
      </c>
      <c r="F42" s="17">
        <f>F17*F41</f>
        <v/>
      </c>
      <c r="G42" s="17">
        <f>G17*G41</f>
        <v/>
      </c>
      <c r="H42" s="17">
        <f>H17*H41</f>
        <v/>
      </c>
      <c r="I42" s="17">
        <f>I17*I41</f>
        <v/>
      </c>
      <c r="J42" s="17">
        <f>J17*J41</f>
        <v/>
      </c>
      <c r="K42" s="17">
        <f>K17*K41</f>
        <v/>
      </c>
      <c r="L42" s="17">
        <f>L17*L41</f>
        <v/>
      </c>
      <c r="M42" s="17">
        <f>M17*M41</f>
        <v/>
      </c>
      <c r="N42" s="17">
        <f>N17*N41</f>
        <v/>
      </c>
      <c r="O42" s="17">
        <f>O17*O41</f>
        <v/>
      </c>
      <c r="P42" s="18">
        <f>SUM(D42:O42)</f>
        <v/>
      </c>
      <c r="Q42" s="19" t="inlineStr"/>
    </row>
    <row r="43" ht="17" customHeight="1">
      <c r="C43" s="12" t="inlineStr">
        <is>
          <t>店铺运营综合费率</t>
        </is>
      </c>
      <c r="D43" s="13" t="n">
        <v>0.098</v>
      </c>
      <c r="E43" s="13" t="n">
        <v>0.098</v>
      </c>
      <c r="F43" s="13" t="n">
        <v>0.098</v>
      </c>
      <c r="G43" s="13" t="n">
        <v>0.098</v>
      </c>
      <c r="H43" s="13" t="n">
        <v>0.098</v>
      </c>
      <c r="I43" s="13" t="n">
        <v>0.098</v>
      </c>
      <c r="J43" s="13" t="n">
        <v>0.098</v>
      </c>
      <c r="K43" s="13" t="n">
        <v>0.098</v>
      </c>
      <c r="L43" s="13" t="n">
        <v>0.098</v>
      </c>
      <c r="M43" s="13" t="n">
        <v>0.098</v>
      </c>
      <c r="N43" s="13" t="n">
        <v>0.098</v>
      </c>
      <c r="O43" s="13" t="n">
        <v>0.098</v>
      </c>
      <c r="P43" s="14">
        <f>SUM(D43:O43)</f>
        <v/>
      </c>
      <c r="Q43" s="15" t="inlineStr"/>
    </row>
    <row r="44" ht="17" customHeight="1">
      <c r="C44" s="16" t="inlineStr">
        <is>
          <t>店铺运营费用</t>
        </is>
      </c>
      <c r="D44" s="17">
        <f>D17*D43</f>
        <v/>
      </c>
      <c r="E44" s="17">
        <f>E17*E43</f>
        <v/>
      </c>
      <c r="F44" s="17">
        <f>F17*F43</f>
        <v/>
      </c>
      <c r="G44" s="17">
        <f>G17*G43</f>
        <v/>
      </c>
      <c r="H44" s="17">
        <f>H17*H43</f>
        <v/>
      </c>
      <c r="I44" s="17">
        <f>I17*I43</f>
        <v/>
      </c>
      <c r="J44" s="17">
        <f>J17*J43</f>
        <v/>
      </c>
      <c r="K44" s="17">
        <f>K17*K43</f>
        <v/>
      </c>
      <c r="L44" s="17">
        <f>L17*L43</f>
        <v/>
      </c>
      <c r="M44" s="17">
        <f>M17*M43</f>
        <v/>
      </c>
      <c r="N44" s="17">
        <f>N17*N43</f>
        <v/>
      </c>
      <c r="O44" s="17">
        <f>O17*O43</f>
        <v/>
      </c>
      <c r="P44" s="18">
        <f>SUM(D44:O44)</f>
        <v/>
      </c>
      <c r="Q44" s="19" t="inlineStr"/>
    </row>
    <row r="45" ht="17" customHeight="1">
      <c r="C45" s="20" t="inlineStr">
        <is>
          <t>A&amp;P 合计</t>
        </is>
      </c>
      <c r="D45" s="21">
        <f>D29+D33+D35+D36+D38+D40+D42+D44</f>
        <v/>
      </c>
      <c r="E45" s="21">
        <f>E29+E33+E35+E36+E38+E40+E42+E44</f>
        <v/>
      </c>
      <c r="F45" s="21">
        <f>F29+F33+F35+F36+F38+F40+F42+F44</f>
        <v/>
      </c>
      <c r="G45" s="21">
        <f>G29+G33+G35+G36+G38+G40+G42+G44</f>
        <v/>
      </c>
      <c r="H45" s="21">
        <f>H29+H33+H35+H36+H38+H40+H42+H44</f>
        <v/>
      </c>
      <c r="I45" s="21">
        <f>I29+I33+I35+I36+I38+I40+I42+I44</f>
        <v/>
      </c>
      <c r="J45" s="21">
        <f>J29+J33+J35+J36+J38+J40+J42+J44</f>
        <v/>
      </c>
      <c r="K45" s="21">
        <f>K29+K33+K35+K36+K38+K40+K42+K44</f>
        <v/>
      </c>
      <c r="L45" s="21">
        <f>L29+L33+L35+L36+L38+L40+L42+L44</f>
        <v/>
      </c>
      <c r="M45" s="21">
        <f>M29+M33+M35+M36+M38+M40+M42+M44</f>
        <v/>
      </c>
      <c r="N45" s="21">
        <f>N29+N33+N35+N36+N38+N40+N42+N44</f>
        <v/>
      </c>
      <c r="O45" s="21">
        <f>O29+O33+O35+O36+O38+O40+O42+O44</f>
        <v/>
      </c>
      <c r="P45" s="21">
        <f>SUM(D45:O45)</f>
        <v/>
      </c>
      <c r="Q45" s="22" t="inlineStr"/>
    </row>
    <row r="46" ht="6" customHeight="1"/>
    <row r="47" ht="18" customHeight="1">
      <c r="C47" s="6" t="inlineStr">
        <is>
          <t xml:space="preserve">  五、店铺利润（渠道贡献）</t>
        </is>
      </c>
    </row>
    <row r="48" ht="17" customHeight="1">
      <c r="C48" s="20" t="inlineStr">
        <is>
          <t>店铺利润</t>
        </is>
      </c>
      <c r="D48" s="21">
        <f>D25-D45</f>
        <v/>
      </c>
      <c r="E48" s="21">
        <f>E25-E45</f>
        <v/>
      </c>
      <c r="F48" s="21">
        <f>F25-F45</f>
        <v/>
      </c>
      <c r="G48" s="21">
        <f>G25-G45</f>
        <v/>
      </c>
      <c r="H48" s="21">
        <f>H25-H45</f>
        <v/>
      </c>
      <c r="I48" s="21">
        <f>I25-I45</f>
        <v/>
      </c>
      <c r="J48" s="21">
        <f>J25-J45</f>
        <v/>
      </c>
      <c r="K48" s="21">
        <f>K25-K45</f>
        <v/>
      </c>
      <c r="L48" s="21">
        <f>L25-L45</f>
        <v/>
      </c>
      <c r="M48" s="21">
        <f>M25-M45</f>
        <v/>
      </c>
      <c r="N48" s="21">
        <f>N25-N45</f>
        <v/>
      </c>
      <c r="O48" s="21">
        <f>O25-O45</f>
        <v/>
      </c>
      <c r="P48" s="21">
        <f>SUM(D48:O48)</f>
        <v/>
      </c>
      <c r="Q48" s="22" t="inlineStr"/>
    </row>
    <row r="49" ht="6" customHeight="1"/>
    <row r="50" ht="18" customHeight="1">
      <c r="C50" s="6" t="inlineStr">
        <is>
          <t xml:space="preserve">  六、BU 可控 / 贡献层</t>
        </is>
      </c>
    </row>
    <row r="51" ht="17" customHeight="1">
      <c r="C51" s="7" t="inlineStr">
        <is>
          <t>销售管理费用（预算）</t>
        </is>
      </c>
      <c r="D51" s="8" t="n">
        <v>500000</v>
      </c>
      <c r="E51" s="8" t="n">
        <v>500000</v>
      </c>
      <c r="F51" s="8" t="n">
        <v>500000</v>
      </c>
      <c r="G51" s="8" t="n">
        <v>500000</v>
      </c>
      <c r="H51" s="8" t="n">
        <v>500000</v>
      </c>
      <c r="I51" s="8" t="n">
        <v>500000</v>
      </c>
      <c r="J51" s="8" t="n">
        <v>500000</v>
      </c>
      <c r="K51" s="8" t="n">
        <v>500000</v>
      </c>
      <c r="L51" s="8" t="n">
        <v>500000</v>
      </c>
      <c r="M51" s="8" t="n">
        <v>500000</v>
      </c>
      <c r="N51" s="8" t="n">
        <v>500000</v>
      </c>
      <c r="O51" s="8" t="n">
        <v>500000</v>
      </c>
      <c r="P51" s="9">
        <f>SUM(D51:O51)</f>
        <v/>
      </c>
      <c r="Q51" s="10" t="inlineStr"/>
    </row>
    <row r="52" ht="17" customHeight="1">
      <c r="C52" s="7" t="inlineStr">
        <is>
          <t>研发费用（预算）</t>
        </is>
      </c>
      <c r="D52" s="8" t="n">
        <v>3000000</v>
      </c>
      <c r="E52" s="8" t="n">
        <v>3000000</v>
      </c>
      <c r="F52" s="8" t="n">
        <v>3000000</v>
      </c>
      <c r="G52" s="8" t="n">
        <v>3000000</v>
      </c>
      <c r="H52" s="8" t="n">
        <v>3000000</v>
      </c>
      <c r="I52" s="8" t="n">
        <v>3000000</v>
      </c>
      <c r="J52" s="8" t="n">
        <v>3000000</v>
      </c>
      <c r="K52" s="8" t="n">
        <v>3000000</v>
      </c>
      <c r="L52" s="8" t="n">
        <v>3000000</v>
      </c>
      <c r="M52" s="8" t="n">
        <v>3000000</v>
      </c>
      <c r="N52" s="8" t="n">
        <v>3000000</v>
      </c>
      <c r="O52" s="8" t="n">
        <v>3000000</v>
      </c>
      <c r="P52" s="9">
        <f>SUM(D52:O52)</f>
        <v/>
      </c>
      <c r="Q52" s="10" t="inlineStr"/>
    </row>
    <row r="53" ht="17" customHeight="1">
      <c r="C53" s="16" t="inlineStr">
        <is>
          <t>BU可控费用合计</t>
        </is>
      </c>
      <c r="D53" s="17">
        <f>D51+D52</f>
        <v/>
      </c>
      <c r="E53" s="17">
        <f>E51+E52</f>
        <v/>
      </c>
      <c r="F53" s="17">
        <f>F51+F52</f>
        <v/>
      </c>
      <c r="G53" s="17">
        <f>G51+G52</f>
        <v/>
      </c>
      <c r="H53" s="17">
        <f>H51+H52</f>
        <v/>
      </c>
      <c r="I53" s="17">
        <f>I51+I52</f>
        <v/>
      </c>
      <c r="J53" s="17">
        <f>J51+J52</f>
        <v/>
      </c>
      <c r="K53" s="17">
        <f>K51+K52</f>
        <v/>
      </c>
      <c r="L53" s="17">
        <f>L51+L52</f>
        <v/>
      </c>
      <c r="M53" s="17">
        <f>M51+M52</f>
        <v/>
      </c>
      <c r="N53" s="17">
        <f>N51+N52</f>
        <v/>
      </c>
      <c r="O53" s="17">
        <f>O51+O52</f>
        <v/>
      </c>
      <c r="P53" s="18">
        <f>SUM(D53:O53)</f>
        <v/>
      </c>
      <c r="Q53" s="19" t="inlineStr"/>
    </row>
    <row r="54" ht="17" customHeight="1">
      <c r="C54" s="20" t="inlineStr">
        <is>
          <t>BU 可控利润</t>
        </is>
      </c>
      <c r="D54" s="21">
        <f>D48-D53</f>
        <v/>
      </c>
      <c r="E54" s="21">
        <f>E48-E53</f>
        <v/>
      </c>
      <c r="F54" s="21">
        <f>F48-F53</f>
        <v/>
      </c>
      <c r="G54" s="21">
        <f>G48-G53</f>
        <v/>
      </c>
      <c r="H54" s="21">
        <f>H48-H53</f>
        <v/>
      </c>
      <c r="I54" s="21">
        <f>I48-I53</f>
        <v/>
      </c>
      <c r="J54" s="21">
        <f>J48-J53</f>
        <v/>
      </c>
      <c r="K54" s="21">
        <f>K48-K53</f>
        <v/>
      </c>
      <c r="L54" s="21">
        <f>L48-L53</f>
        <v/>
      </c>
      <c r="M54" s="21">
        <f>M48-M53</f>
        <v/>
      </c>
      <c r="N54" s="21">
        <f>N48-N53</f>
        <v/>
      </c>
      <c r="O54" s="21">
        <f>O48-O53</f>
        <v/>
      </c>
      <c r="P54" s="21">
        <f>SUM(D54:O54)</f>
        <v/>
      </c>
      <c r="Q54" s="22" t="inlineStr"/>
    </row>
    <row r="55" ht="17" customHeight="1">
      <c r="C55" s="7" t="inlineStr">
        <is>
          <t>BU 贡献费用（预算）</t>
        </is>
      </c>
      <c r="D55" s="8" t="n">
        <v>2800000</v>
      </c>
      <c r="E55" s="8" t="n">
        <v>2800000</v>
      </c>
      <c r="F55" s="8" t="n">
        <v>2800000</v>
      </c>
      <c r="G55" s="8" t="n">
        <v>2800000</v>
      </c>
      <c r="H55" s="8" t="n">
        <v>2800000</v>
      </c>
      <c r="I55" s="8" t="n">
        <v>2800000</v>
      </c>
      <c r="J55" s="8" t="n">
        <v>2800000</v>
      </c>
      <c r="K55" s="8" t="n">
        <v>2800000</v>
      </c>
      <c r="L55" s="8" t="n">
        <v>2800000</v>
      </c>
      <c r="M55" s="8" t="n">
        <v>2800000</v>
      </c>
      <c r="N55" s="8" t="n">
        <v>2800000</v>
      </c>
      <c r="O55" s="8" t="n">
        <v>2800000</v>
      </c>
      <c r="P55" s="9">
        <f>SUM(D55:O55)</f>
        <v/>
      </c>
      <c r="Q55" s="10" t="inlineStr"/>
    </row>
    <row r="56" ht="17" customHeight="1">
      <c r="C56" s="20" t="inlineStr">
        <is>
          <t>BU 贡献利润</t>
        </is>
      </c>
      <c r="D56" s="21">
        <f>D54-D55</f>
        <v/>
      </c>
      <c r="E56" s="21">
        <f>E54-E55</f>
        <v/>
      </c>
      <c r="F56" s="21">
        <f>F54-F55</f>
        <v/>
      </c>
      <c r="G56" s="21">
        <f>G54-G55</f>
        <v/>
      </c>
      <c r="H56" s="21">
        <f>H54-H55</f>
        <v/>
      </c>
      <c r="I56" s="21">
        <f>I54-I55</f>
        <v/>
      </c>
      <c r="J56" s="21">
        <f>J54-J55</f>
        <v/>
      </c>
      <c r="K56" s="21">
        <f>K54-K55</f>
        <v/>
      </c>
      <c r="L56" s="21">
        <f>L54-L55</f>
        <v/>
      </c>
      <c r="M56" s="21">
        <f>M54-M55</f>
        <v/>
      </c>
      <c r="N56" s="21">
        <f>N54-N55</f>
        <v/>
      </c>
      <c r="O56" s="21">
        <f>O54-O55</f>
        <v/>
      </c>
      <c r="P56" s="21">
        <f>SUM(D56:O56)</f>
        <v/>
      </c>
      <c r="Q56" s="22" t="inlineStr"/>
    </row>
    <row r="57" ht="17" customHeight="1">
      <c r="C57" s="7" t="inlineStr">
        <is>
          <t>集团分摊费用（预算）</t>
        </is>
      </c>
      <c r="D57" s="8" t="n">
        <v>1200000</v>
      </c>
      <c r="E57" s="8" t="n">
        <v>1200000</v>
      </c>
      <c r="F57" s="8" t="n">
        <v>1200000</v>
      </c>
      <c r="G57" s="8" t="n">
        <v>1200000</v>
      </c>
      <c r="H57" s="8" t="n">
        <v>1200000</v>
      </c>
      <c r="I57" s="8" t="n">
        <v>1200000</v>
      </c>
      <c r="J57" s="8" t="n">
        <v>1200000</v>
      </c>
      <c r="K57" s="8" t="n">
        <v>1200000</v>
      </c>
      <c r="L57" s="8" t="n">
        <v>1200000</v>
      </c>
      <c r="M57" s="8" t="n">
        <v>1200000</v>
      </c>
      <c r="N57" s="8" t="n">
        <v>1200000</v>
      </c>
      <c r="O57" s="8" t="n">
        <v>1200000</v>
      </c>
      <c r="P57" s="9">
        <f>SUM(D57:O57)</f>
        <v/>
      </c>
      <c r="Q57" s="10" t="inlineStr"/>
    </row>
    <row r="58" ht="17" customHeight="1">
      <c r="C58" s="20" t="inlineStr">
        <is>
          <t>净利润</t>
        </is>
      </c>
      <c r="D58" s="21">
        <f>D56-D57</f>
        <v/>
      </c>
      <c r="E58" s="21">
        <f>E56-E57</f>
        <v/>
      </c>
      <c r="F58" s="21">
        <f>F56-F57</f>
        <v/>
      </c>
      <c r="G58" s="21">
        <f>G56-G57</f>
        <v/>
      </c>
      <c r="H58" s="21">
        <f>H56-H57</f>
        <v/>
      </c>
      <c r="I58" s="21">
        <f>I56-I57</f>
        <v/>
      </c>
      <c r="J58" s="21">
        <f>J56-J57</f>
        <v/>
      </c>
      <c r="K58" s="21">
        <f>K56-K57</f>
        <v/>
      </c>
      <c r="L58" s="21">
        <f>L56-L57</f>
        <v/>
      </c>
      <c r="M58" s="21">
        <f>M56-M57</f>
        <v/>
      </c>
      <c r="N58" s="21">
        <f>N56-N57</f>
        <v/>
      </c>
      <c r="O58" s="21">
        <f>O56-O57</f>
        <v/>
      </c>
      <c r="P58" s="21">
        <f>SUM(D58:O58)</f>
        <v/>
      </c>
      <c r="Q58" s="22" t="inlineStr"/>
    </row>
  </sheetData>
  <mergeCells count="7">
    <mergeCell ref="C27:R27"/>
    <mergeCell ref="C2:R2"/>
    <mergeCell ref="C19:R19"/>
    <mergeCell ref="C47:R47"/>
    <mergeCell ref="C50:R50"/>
    <mergeCell ref="C4:R4"/>
    <mergeCell ref="C12:R1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C2:R58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" customWidth="1" min="2" max="2"/>
    <col width="2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9" customWidth="1" min="17" max="17"/>
    <col width="28" customWidth="1" min="18" max="18"/>
  </cols>
  <sheetData>
    <row r="1" ht="8" customHeight="1"/>
    <row r="2" ht="28" customHeight="1">
      <c r="C2" s="4" t="inlineStr">
        <is>
          <t>视频号/官网/小程序 — 年度 BP</t>
        </is>
      </c>
    </row>
    <row r="3" ht="20" customHeight="1">
      <c r="C3" s="5" t="inlineStr">
        <is>
          <t>科目</t>
        </is>
      </c>
      <c r="D3" s="5" t="inlineStr">
        <is>
          <t>1月</t>
        </is>
      </c>
      <c r="E3" s="5" t="inlineStr">
        <is>
          <t>2月</t>
        </is>
      </c>
      <c r="F3" s="5" t="inlineStr">
        <is>
          <t>3月</t>
        </is>
      </c>
      <c r="G3" s="5" t="inlineStr">
        <is>
          <t>4月</t>
        </is>
      </c>
      <c r="H3" s="5" t="inlineStr">
        <is>
          <t>5月</t>
        </is>
      </c>
      <c r="I3" s="5" t="inlineStr">
        <is>
          <t>6月</t>
        </is>
      </c>
      <c r="J3" s="5" t="inlineStr">
        <is>
          <t>7月</t>
        </is>
      </c>
      <c r="K3" s="5" t="inlineStr">
        <is>
          <t>8月</t>
        </is>
      </c>
      <c r="L3" s="5" t="inlineStr">
        <is>
          <t>9月</t>
        </is>
      </c>
      <c r="M3" s="5" t="inlineStr">
        <is>
          <t>10月</t>
        </is>
      </c>
      <c r="N3" s="5" t="inlineStr">
        <is>
          <t>11月</t>
        </is>
      </c>
      <c r="O3" s="5" t="inlineStr">
        <is>
          <t>12月</t>
        </is>
      </c>
      <c r="P3" s="5" t="inlineStr">
        <is>
          <t>合计</t>
        </is>
      </c>
      <c r="Q3" s="5" t="inlineStr">
        <is>
          <t>费比</t>
        </is>
      </c>
    </row>
    <row r="4" ht="18" customHeight="1">
      <c r="C4" s="6" t="inlineStr">
        <is>
          <t xml:space="preserve">  一、GMV 层</t>
        </is>
      </c>
    </row>
    <row r="5" ht="17" customHeight="1">
      <c r="C5" s="7" t="inlineStr">
        <is>
          <t>自补前 GMV（月度目标）</t>
        </is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9">
        <f>SUM(D5:O5)</f>
        <v/>
      </c>
      <c r="Q5" s="10" t="inlineStr"/>
      <c r="R5" s="11" t="inlineStr">
        <is>
          <t>渠道填写</t>
        </is>
      </c>
    </row>
    <row r="6" ht="17" customHeight="1">
      <c r="C6" s="12" t="inlineStr">
        <is>
          <t>国补/自补费用率</t>
        </is>
      </c>
      <c r="D6" s="13" t="n">
        <v>0.1</v>
      </c>
      <c r="E6" s="13" t="n">
        <v>0.1</v>
      </c>
      <c r="F6" s="13" t="n">
        <v>0.1</v>
      </c>
      <c r="G6" s="13" t="n">
        <v>0.1</v>
      </c>
      <c r="H6" s="13" t="n">
        <v>0.1</v>
      </c>
      <c r="I6" s="13" t="n">
        <v>0.1</v>
      </c>
      <c r="J6" s="13" t="n">
        <v>0.1</v>
      </c>
      <c r="K6" s="13" t="n">
        <v>0.1</v>
      </c>
      <c r="L6" s="13" t="n">
        <v>0.1</v>
      </c>
      <c r="M6" s="13" t="n">
        <v>0.1</v>
      </c>
      <c r="N6" s="13" t="n">
        <v>0.1</v>
      </c>
      <c r="O6" s="13" t="n">
        <v>0.1</v>
      </c>
      <c r="P6" s="14">
        <f>SUM(D6:O6)</f>
        <v/>
      </c>
      <c r="Q6" s="15" t="inlineStr"/>
    </row>
    <row r="7" ht="17" customHeight="1">
      <c r="C7" s="16" t="inlineStr">
        <is>
          <t>国补/自补费用</t>
        </is>
      </c>
      <c r="D7" s="17">
        <f>D5*D6</f>
        <v/>
      </c>
      <c r="E7" s="17">
        <f>E5*E6</f>
        <v/>
      </c>
      <c r="F7" s="17">
        <f>F5*F6</f>
        <v/>
      </c>
      <c r="G7" s="17">
        <f>G5*G6</f>
        <v/>
      </c>
      <c r="H7" s="17">
        <f>H5*H6</f>
        <v/>
      </c>
      <c r="I7" s="17">
        <f>I5*I6</f>
        <v/>
      </c>
      <c r="J7" s="17">
        <f>J5*J6</f>
        <v/>
      </c>
      <c r="K7" s="17">
        <f>K5*K6</f>
        <v/>
      </c>
      <c r="L7" s="17">
        <f>L5*L6</f>
        <v/>
      </c>
      <c r="M7" s="17">
        <f>M5*M6</f>
        <v/>
      </c>
      <c r="N7" s="17">
        <f>N5*N6</f>
        <v/>
      </c>
      <c r="O7" s="17">
        <f>O5*O6</f>
        <v/>
      </c>
      <c r="P7" s="18">
        <f>SUM(D7:O7)</f>
        <v/>
      </c>
      <c r="Q7" s="19" t="inlineStr"/>
    </row>
    <row r="8" ht="17" customHeight="1">
      <c r="C8" s="20" t="inlineStr">
        <is>
          <t>GMV（剔除国补）</t>
        </is>
      </c>
      <c r="D8" s="21">
        <f>D5-D7</f>
        <v/>
      </c>
      <c r="E8" s="21">
        <f>E5-E7</f>
        <v/>
      </c>
      <c r="F8" s="21">
        <f>F5-F7</f>
        <v/>
      </c>
      <c r="G8" s="21">
        <f>G5-G7</f>
        <v/>
      </c>
      <c r="H8" s="21">
        <f>H5-H7</f>
        <v/>
      </c>
      <c r="I8" s="21">
        <f>I5-I7</f>
        <v/>
      </c>
      <c r="J8" s="21">
        <f>J5-J7</f>
        <v/>
      </c>
      <c r="K8" s="21">
        <f>K5-K7</f>
        <v/>
      </c>
      <c r="L8" s="21">
        <f>L5-L7</f>
        <v/>
      </c>
      <c r="M8" s="21">
        <f>M5-M7</f>
        <v/>
      </c>
      <c r="N8" s="21">
        <f>N5-N7</f>
        <v/>
      </c>
      <c r="O8" s="21">
        <f>O5-O7</f>
        <v/>
      </c>
      <c r="P8" s="21">
        <f>SUM(D8:O8)</f>
        <v/>
      </c>
      <c r="Q8" s="22" t="inlineStr"/>
    </row>
    <row r="9" ht="17" customHeight="1">
      <c r="C9" s="12" t="inlineStr">
        <is>
          <t>退货率</t>
        </is>
      </c>
      <c r="D9" s="13" t="n">
        <v>0.19</v>
      </c>
      <c r="E9" s="13" t="n">
        <v>0.19</v>
      </c>
      <c r="F9" s="13" t="n">
        <v>0.19</v>
      </c>
      <c r="G9" s="13" t="n">
        <v>0.19</v>
      </c>
      <c r="H9" s="13" t="n">
        <v>0.19</v>
      </c>
      <c r="I9" s="13" t="n">
        <v>0.19</v>
      </c>
      <c r="J9" s="13" t="n">
        <v>0.19</v>
      </c>
      <c r="K9" s="13" t="n">
        <v>0.19</v>
      </c>
      <c r="L9" s="13" t="n">
        <v>0.19</v>
      </c>
      <c r="M9" s="13" t="n">
        <v>0.19</v>
      </c>
      <c r="N9" s="13" t="n">
        <v>0.19</v>
      </c>
      <c r="O9" s="13" t="n">
        <v>0.19</v>
      </c>
      <c r="P9" s="14">
        <f>SUM(D9:O9)</f>
        <v/>
      </c>
      <c r="Q9" s="15" t="inlineStr"/>
    </row>
    <row r="10" ht="17" customHeight="1">
      <c r="C10" s="20" t="inlineStr">
        <is>
          <t>GSV（去退货）</t>
        </is>
      </c>
      <c r="D10" s="21">
        <f>D8*(1-D9)</f>
        <v/>
      </c>
      <c r="E10" s="21">
        <f>E8*(1-E9)</f>
        <v/>
      </c>
      <c r="F10" s="21">
        <f>F8*(1-F9)</f>
        <v/>
      </c>
      <c r="G10" s="21">
        <f>G8*(1-G9)</f>
        <v/>
      </c>
      <c r="H10" s="21">
        <f>H8*(1-H9)</f>
        <v/>
      </c>
      <c r="I10" s="21">
        <f>I8*(1-I9)</f>
        <v/>
      </c>
      <c r="J10" s="21">
        <f>J8*(1-J9)</f>
        <v/>
      </c>
      <c r="K10" s="21">
        <f>K8*(1-K9)</f>
        <v/>
      </c>
      <c r="L10" s="21">
        <f>L8*(1-L9)</f>
        <v/>
      </c>
      <c r="M10" s="21">
        <f>M8*(1-M9)</f>
        <v/>
      </c>
      <c r="N10" s="21">
        <f>N8*(1-N9)</f>
        <v/>
      </c>
      <c r="O10" s="21">
        <f>O8*(1-O9)</f>
        <v/>
      </c>
      <c r="P10" s="21">
        <f>SUM(D10:O10)</f>
        <v/>
      </c>
      <c r="Q10" s="22" t="inlineStr"/>
    </row>
    <row r="11" ht="6" customHeight="1"/>
    <row r="12" ht="18" customHeight="1">
      <c r="C12" s="6" t="inlineStr">
        <is>
          <t xml:space="preserve">  二、营业收入层</t>
        </is>
      </c>
    </row>
    <row r="13" ht="17" customHeight="1">
      <c r="C13" s="12" t="inlineStr">
        <is>
          <t>合同折扣及返利费率（线下）</t>
        </is>
      </c>
      <c r="D13" s="13" t="n">
        <v>0.04</v>
      </c>
      <c r="E13" s="13" t="n">
        <v>0.04</v>
      </c>
      <c r="F13" s="13" t="n">
        <v>0.04</v>
      </c>
      <c r="G13" s="13" t="n">
        <v>0.04</v>
      </c>
      <c r="H13" s="13" t="n">
        <v>0.04</v>
      </c>
      <c r="I13" s="13" t="n">
        <v>0.04</v>
      </c>
      <c r="J13" s="13" t="n">
        <v>0.04</v>
      </c>
      <c r="K13" s="13" t="n">
        <v>0.04</v>
      </c>
      <c r="L13" s="13" t="n">
        <v>0.04</v>
      </c>
      <c r="M13" s="13" t="n">
        <v>0.04</v>
      </c>
      <c r="N13" s="13" t="n">
        <v>0.04</v>
      </c>
      <c r="O13" s="13" t="n">
        <v>0.04</v>
      </c>
      <c r="P13" s="14">
        <f>SUM(D13:O13)</f>
        <v/>
      </c>
      <c r="Q13" s="15" t="inlineStr"/>
    </row>
    <row r="14" ht="17" customHeight="1">
      <c r="C14" s="12" t="inlineStr">
        <is>
          <t>国补/自补折扣费率（线上）</t>
        </is>
      </c>
      <c r="D14" s="13" t="n">
        <v>0.1</v>
      </c>
      <c r="E14" s="13" t="n">
        <v>0.1</v>
      </c>
      <c r="F14" s="13" t="n">
        <v>0.1</v>
      </c>
      <c r="G14" s="13" t="n">
        <v>0.1</v>
      </c>
      <c r="H14" s="13" t="n">
        <v>0.1</v>
      </c>
      <c r="I14" s="13" t="n">
        <v>0.1</v>
      </c>
      <c r="J14" s="13" t="n">
        <v>0.1</v>
      </c>
      <c r="K14" s="13" t="n">
        <v>0.1</v>
      </c>
      <c r="L14" s="13" t="n">
        <v>0.1</v>
      </c>
      <c r="M14" s="13" t="n">
        <v>0.1</v>
      </c>
      <c r="N14" s="13" t="n">
        <v>0.1</v>
      </c>
      <c r="O14" s="13" t="n">
        <v>0.1</v>
      </c>
      <c r="P14" s="14">
        <f>SUM(D14:O14)</f>
        <v/>
      </c>
      <c r="Q14" s="15" t="inlineStr"/>
    </row>
    <row r="15" ht="17" customHeight="1">
      <c r="C15" s="12" t="inlineStr">
        <is>
          <t>红包/促销折扣费率</t>
        </is>
      </c>
      <c r="D15" s="13" t="n">
        <v>0.17</v>
      </c>
      <c r="E15" s="13" t="n">
        <v>0.17</v>
      </c>
      <c r="F15" s="13" t="n">
        <v>0.17</v>
      </c>
      <c r="G15" s="13" t="n">
        <v>0.17</v>
      </c>
      <c r="H15" s="13" t="n">
        <v>0.17</v>
      </c>
      <c r="I15" s="13" t="n">
        <v>0.17</v>
      </c>
      <c r="J15" s="13" t="n">
        <v>0.17</v>
      </c>
      <c r="K15" s="13" t="n">
        <v>0.17</v>
      </c>
      <c r="L15" s="13" t="n">
        <v>0.17</v>
      </c>
      <c r="M15" s="13" t="n">
        <v>0.17</v>
      </c>
      <c r="N15" s="13" t="n">
        <v>0.17</v>
      </c>
      <c r="O15" s="13" t="n">
        <v>0.17</v>
      </c>
      <c r="P15" s="14">
        <f>SUM(D15:O15)</f>
        <v/>
      </c>
      <c r="Q15" s="15" t="inlineStr"/>
    </row>
    <row r="16" ht="17" customHeight="1">
      <c r="C16" s="16" t="inlineStr">
        <is>
          <t>TTL折扣合计</t>
        </is>
      </c>
      <c r="D16" s="17">
        <f>(D13+D14+D15)*D10</f>
        <v/>
      </c>
      <c r="E16" s="17">
        <f>(E13+E14+E15)*E10</f>
        <v/>
      </c>
      <c r="F16" s="17">
        <f>(F13+F14+F15)*F10</f>
        <v/>
      </c>
      <c r="G16" s="17">
        <f>(G13+G14+G15)*G10</f>
        <v/>
      </c>
      <c r="H16" s="17">
        <f>(H13+H14+H15)*H10</f>
        <v/>
      </c>
      <c r="I16" s="17">
        <f>(I13+I14+I15)*I10</f>
        <v/>
      </c>
      <c r="J16" s="17">
        <f>(J13+J14+J15)*J10</f>
        <v/>
      </c>
      <c r="K16" s="17">
        <f>(K13+K14+K15)*K10</f>
        <v/>
      </c>
      <c r="L16" s="17">
        <f>(L13+L14+L15)*L10</f>
        <v/>
      </c>
      <c r="M16" s="17">
        <f>(M13+M14+M15)*M10</f>
        <v/>
      </c>
      <c r="N16" s="17">
        <f>(N13+N14+N15)*N10</f>
        <v/>
      </c>
      <c r="O16" s="17">
        <f>(O13+O14+O15)*O10</f>
        <v/>
      </c>
      <c r="P16" s="18">
        <f>SUM(D16:O16)</f>
        <v/>
      </c>
      <c r="Q16" s="19" t="inlineStr"/>
    </row>
    <row r="17" ht="17" customHeight="1">
      <c r="C17" s="20" t="inlineStr">
        <is>
          <t>营业收入（净销售收入）</t>
        </is>
      </c>
      <c r="D17" s="21">
        <f>D10-D16</f>
        <v/>
      </c>
      <c r="E17" s="21">
        <f>E10-E16</f>
        <v/>
      </c>
      <c r="F17" s="21">
        <f>F10-F16</f>
        <v/>
      </c>
      <c r="G17" s="21">
        <f>G10-G16</f>
        <v/>
      </c>
      <c r="H17" s="21">
        <f>H10-H16</f>
        <v/>
      </c>
      <c r="I17" s="21">
        <f>I10-I16</f>
        <v/>
      </c>
      <c r="J17" s="21">
        <f>J10-J16</f>
        <v/>
      </c>
      <c r="K17" s="21">
        <f>K10-K16</f>
        <v/>
      </c>
      <c r="L17" s="21">
        <f>L10-L16</f>
        <v/>
      </c>
      <c r="M17" s="21">
        <f>M10-M16</f>
        <v/>
      </c>
      <c r="N17" s="21">
        <f>N10-N16</f>
        <v/>
      </c>
      <c r="O17" s="21">
        <f>O10-O16</f>
        <v/>
      </c>
      <c r="P17" s="21">
        <f>SUM(D17:O17)</f>
        <v/>
      </c>
      <c r="Q17" s="22" t="inlineStr"/>
    </row>
    <row r="18" ht="6" customHeight="1"/>
    <row r="19" ht="18" customHeight="1">
      <c r="C19" s="6" t="inlineStr">
        <is>
          <t xml:space="preserve">  三、毛利层</t>
        </is>
      </c>
    </row>
    <row r="20" ht="17" customHeight="1">
      <c r="C20" s="12" t="inlineStr">
        <is>
          <t>标准主品及配件成本率</t>
        </is>
      </c>
      <c r="D20" s="13" t="n">
        <v>0.46</v>
      </c>
      <c r="E20" s="13" t="n">
        <v>0.46</v>
      </c>
      <c r="F20" s="13" t="n">
        <v>0.46</v>
      </c>
      <c r="G20" s="13" t="n">
        <v>0.46</v>
      </c>
      <c r="H20" s="13" t="n">
        <v>0.46</v>
      </c>
      <c r="I20" s="13" t="n">
        <v>0.46</v>
      </c>
      <c r="J20" s="13" t="n">
        <v>0.46</v>
      </c>
      <c r="K20" s="13" t="n">
        <v>0.46</v>
      </c>
      <c r="L20" s="13" t="n">
        <v>0.46</v>
      </c>
      <c r="M20" s="13" t="n">
        <v>0.46</v>
      </c>
      <c r="N20" s="13" t="n">
        <v>0.46</v>
      </c>
      <c r="O20" s="13" t="n">
        <v>0.46</v>
      </c>
      <c r="P20" s="14">
        <f>SUM(D20:O20)</f>
        <v/>
      </c>
      <c r="Q20" s="15" t="inlineStr"/>
    </row>
    <row r="21" ht="17" customHeight="1">
      <c r="C21" s="16" t="inlineStr">
        <is>
          <t>标准主品及配件成本</t>
        </is>
      </c>
      <c r="D21" s="17">
        <f>D17*D20</f>
        <v/>
      </c>
      <c r="E21" s="17">
        <f>E17*E20</f>
        <v/>
      </c>
      <c r="F21" s="17">
        <f>F17*F20</f>
        <v/>
      </c>
      <c r="G21" s="17">
        <f>G17*G20</f>
        <v/>
      </c>
      <c r="H21" s="17">
        <f>H17*H20</f>
        <v/>
      </c>
      <c r="I21" s="17">
        <f>I17*I20</f>
        <v/>
      </c>
      <c r="J21" s="17">
        <f>J17*J20</f>
        <v/>
      </c>
      <c r="K21" s="17">
        <f>K17*K20</f>
        <v/>
      </c>
      <c r="L21" s="17">
        <f>L17*L20</f>
        <v/>
      </c>
      <c r="M21" s="17">
        <f>M17*M20</f>
        <v/>
      </c>
      <c r="N21" s="17">
        <f>N17*N20</f>
        <v/>
      </c>
      <c r="O21" s="17">
        <f>O17*O20</f>
        <v/>
      </c>
      <c r="P21" s="18">
        <f>SUM(D21:O21)</f>
        <v/>
      </c>
      <c r="Q21" s="19" t="inlineStr"/>
    </row>
    <row r="22" ht="17" customHeight="1">
      <c r="C22" s="20" t="inlineStr">
        <is>
          <t>产品毛利</t>
        </is>
      </c>
      <c r="D22" s="21">
        <f>D17-D21</f>
        <v/>
      </c>
      <c r="E22" s="21">
        <f>E17-E21</f>
        <v/>
      </c>
      <c r="F22" s="21">
        <f>F17-F21</f>
        <v/>
      </c>
      <c r="G22" s="21">
        <f>G17-G21</f>
        <v/>
      </c>
      <c r="H22" s="21">
        <f>H17-H21</f>
        <v/>
      </c>
      <c r="I22" s="21">
        <f>I17-I21</f>
        <v/>
      </c>
      <c r="J22" s="21">
        <f>J17-J21</f>
        <v/>
      </c>
      <c r="K22" s="21">
        <f>K17-K21</f>
        <v/>
      </c>
      <c r="L22" s="21">
        <f>L17-L21</f>
        <v/>
      </c>
      <c r="M22" s="21">
        <f>M17-M21</f>
        <v/>
      </c>
      <c r="N22" s="21">
        <f>N17-N21</f>
        <v/>
      </c>
      <c r="O22" s="21">
        <f>O17-O21</f>
        <v/>
      </c>
      <c r="P22" s="21">
        <f>SUM(D22:O22)</f>
        <v/>
      </c>
      <c r="Q22" s="22" t="inlineStr"/>
    </row>
    <row r="23" ht="17" customHeight="1">
      <c r="C23" s="12" t="inlineStr">
        <is>
          <t>物流/仓储费率</t>
        </is>
      </c>
      <c r="D23" s="13" t="n">
        <v>0.025</v>
      </c>
      <c r="E23" s="13" t="n">
        <v>0.025</v>
      </c>
      <c r="F23" s="13" t="n">
        <v>0.025</v>
      </c>
      <c r="G23" s="13" t="n">
        <v>0.025</v>
      </c>
      <c r="H23" s="13" t="n">
        <v>0.025</v>
      </c>
      <c r="I23" s="13" t="n">
        <v>0.025</v>
      </c>
      <c r="J23" s="13" t="n">
        <v>0.025</v>
      </c>
      <c r="K23" s="13" t="n">
        <v>0.025</v>
      </c>
      <c r="L23" s="13" t="n">
        <v>0.025</v>
      </c>
      <c r="M23" s="13" t="n">
        <v>0.025</v>
      </c>
      <c r="N23" s="13" t="n">
        <v>0.025</v>
      </c>
      <c r="O23" s="13" t="n">
        <v>0.025</v>
      </c>
      <c r="P23" s="14">
        <f>SUM(D23:O23)</f>
        <v/>
      </c>
      <c r="Q23" s="15" t="inlineStr"/>
    </row>
    <row r="24" ht="17" customHeight="1">
      <c r="C24" s="16" t="inlineStr">
        <is>
          <t>物流/仓储费用</t>
        </is>
      </c>
      <c r="D24" s="17">
        <f>D17*D23</f>
        <v/>
      </c>
      <c r="E24" s="17">
        <f>E17*E23</f>
        <v/>
      </c>
      <c r="F24" s="17">
        <f>F17*F23</f>
        <v/>
      </c>
      <c r="G24" s="17">
        <f>G17*G23</f>
        <v/>
      </c>
      <c r="H24" s="17">
        <f>H17*H23</f>
        <v/>
      </c>
      <c r="I24" s="17">
        <f>I17*I23</f>
        <v/>
      </c>
      <c r="J24" s="17">
        <f>J17*J23</f>
        <v/>
      </c>
      <c r="K24" s="17">
        <f>K17*K23</f>
        <v/>
      </c>
      <c r="L24" s="17">
        <f>L17*L23</f>
        <v/>
      </c>
      <c r="M24" s="17">
        <f>M17*M23</f>
        <v/>
      </c>
      <c r="N24" s="17">
        <f>N17*N23</f>
        <v/>
      </c>
      <c r="O24" s="17">
        <f>O17*O23</f>
        <v/>
      </c>
      <c r="P24" s="18">
        <f>SUM(D24:O24)</f>
        <v/>
      </c>
      <c r="Q24" s="19" t="inlineStr"/>
    </row>
    <row r="25" ht="17" customHeight="1">
      <c r="C25" s="20" t="inlineStr">
        <is>
          <t>净毛利</t>
        </is>
      </c>
      <c r="D25" s="21">
        <f>D22-D24</f>
        <v/>
      </c>
      <c r="E25" s="21">
        <f>E22-E24</f>
        <v/>
      </c>
      <c r="F25" s="21">
        <f>F22-F24</f>
        <v/>
      </c>
      <c r="G25" s="21">
        <f>G22-G24</f>
        <v/>
      </c>
      <c r="H25" s="21">
        <f>H22-H24</f>
        <v/>
      </c>
      <c r="I25" s="21">
        <f>I22-I24</f>
        <v/>
      </c>
      <c r="J25" s="21">
        <f>J22-J24</f>
        <v/>
      </c>
      <c r="K25" s="21">
        <f>K22-K24</f>
        <v/>
      </c>
      <c r="L25" s="21">
        <f>L22-L24</f>
        <v/>
      </c>
      <c r="M25" s="21">
        <f>M22-M24</f>
        <v/>
      </c>
      <c r="N25" s="21">
        <f>N22-N24</f>
        <v/>
      </c>
      <c r="O25" s="21">
        <f>O22-O24</f>
        <v/>
      </c>
      <c r="P25" s="21">
        <f>SUM(D25:O25)</f>
        <v/>
      </c>
      <c r="Q25" s="22" t="inlineStr"/>
    </row>
    <row r="26" ht="6" customHeight="1"/>
    <row r="27" ht="18" customHeight="1">
      <c r="C27" s="6" t="inlineStr">
        <is>
          <t xml:space="preserve">  四、A&amp;P 营销与运营费用</t>
        </is>
      </c>
    </row>
    <row r="28" ht="17" customHeight="1">
      <c r="C28" s="12" t="inlineStr">
        <is>
          <t>品牌/内容/达人费率</t>
        </is>
      </c>
      <c r="D28" s="13" t="n">
        <v>0.07000000000000001</v>
      </c>
      <c r="E28" s="13" t="n">
        <v>0.07000000000000001</v>
      </c>
      <c r="F28" s="13" t="n">
        <v>0.07000000000000001</v>
      </c>
      <c r="G28" s="13" t="n">
        <v>0.07000000000000001</v>
      </c>
      <c r="H28" s="13" t="n">
        <v>0.07000000000000001</v>
      </c>
      <c r="I28" s="13" t="n">
        <v>0.07000000000000001</v>
      </c>
      <c r="J28" s="13" t="n">
        <v>0.07000000000000001</v>
      </c>
      <c r="K28" s="13" t="n">
        <v>0.07000000000000001</v>
      </c>
      <c r="L28" s="13" t="n">
        <v>0.07000000000000001</v>
      </c>
      <c r="M28" s="13" t="n">
        <v>0.07000000000000001</v>
      </c>
      <c r="N28" s="13" t="n">
        <v>0.07000000000000001</v>
      </c>
      <c r="O28" s="13" t="n">
        <v>0.07000000000000001</v>
      </c>
      <c r="P28" s="14">
        <f>SUM(D28:O28)</f>
        <v/>
      </c>
      <c r="Q28" s="15" t="inlineStr"/>
    </row>
    <row r="29" ht="17" customHeight="1">
      <c r="C29" s="16" t="inlineStr">
        <is>
          <t>品牌内容费用</t>
        </is>
      </c>
      <c r="D29" s="17">
        <f>D17*D28</f>
        <v/>
      </c>
      <c r="E29" s="17">
        <f>E17*E28</f>
        <v/>
      </c>
      <c r="F29" s="17">
        <f>F17*F28</f>
        <v/>
      </c>
      <c r="G29" s="17">
        <f>G17*G28</f>
        <v/>
      </c>
      <c r="H29" s="17">
        <f>H17*H28</f>
        <v/>
      </c>
      <c r="I29" s="17">
        <f>I17*I28</f>
        <v/>
      </c>
      <c r="J29" s="17">
        <f>J17*J28</f>
        <v/>
      </c>
      <c r="K29" s="17">
        <f>K17*K28</f>
        <v/>
      </c>
      <c r="L29" s="17">
        <f>L17*L28</f>
        <v/>
      </c>
      <c r="M29" s="17">
        <f>M17*M28</f>
        <v/>
      </c>
      <c r="N29" s="17">
        <f>N17*N28</f>
        <v/>
      </c>
      <c r="O29" s="17">
        <f>O17*O28</f>
        <v/>
      </c>
      <c r="P29" s="18">
        <f>SUM(D29:O29)</f>
        <v/>
      </c>
      <c r="Q29" s="19" t="inlineStr"/>
    </row>
    <row r="30" ht="17" customHeight="1">
      <c r="C30" s="12" t="inlineStr">
        <is>
          <t>站内投放费率</t>
        </is>
      </c>
      <c r="D30" s="13" t="n">
        <v>0.05</v>
      </c>
      <c r="E30" s="13" t="n">
        <v>0.05</v>
      </c>
      <c r="F30" s="13" t="n">
        <v>0.05</v>
      </c>
      <c r="G30" s="13" t="n">
        <v>0.05</v>
      </c>
      <c r="H30" s="13" t="n">
        <v>0.05</v>
      </c>
      <c r="I30" s="13" t="n">
        <v>0.05</v>
      </c>
      <c r="J30" s="13" t="n">
        <v>0.05</v>
      </c>
      <c r="K30" s="13" t="n">
        <v>0.05</v>
      </c>
      <c r="L30" s="13" t="n">
        <v>0.05</v>
      </c>
      <c r="M30" s="13" t="n">
        <v>0.05</v>
      </c>
      <c r="N30" s="13" t="n">
        <v>0.05</v>
      </c>
      <c r="O30" s="13" t="n">
        <v>0.05</v>
      </c>
      <c r="P30" s="14">
        <f>SUM(D30:O30)</f>
        <v/>
      </c>
      <c r="Q30" s="15" t="inlineStr"/>
    </row>
    <row r="31" ht="17" customHeight="1">
      <c r="C31" s="12" t="inlineStr">
        <is>
          <t>千川投放费率</t>
        </is>
      </c>
      <c r="D31" s="13" t="n">
        <v>0.08</v>
      </c>
      <c r="E31" s="13" t="n">
        <v>0.08</v>
      </c>
      <c r="F31" s="13" t="n">
        <v>0.08</v>
      </c>
      <c r="G31" s="13" t="n">
        <v>0.08</v>
      </c>
      <c r="H31" s="13" t="n">
        <v>0.08</v>
      </c>
      <c r="I31" s="13" t="n">
        <v>0.08</v>
      </c>
      <c r="J31" s="13" t="n">
        <v>0.08</v>
      </c>
      <c r="K31" s="13" t="n">
        <v>0.08</v>
      </c>
      <c r="L31" s="13" t="n">
        <v>0.08</v>
      </c>
      <c r="M31" s="13" t="n">
        <v>0.08</v>
      </c>
      <c r="N31" s="13" t="n">
        <v>0.08</v>
      </c>
      <c r="O31" s="13" t="n">
        <v>0.08</v>
      </c>
      <c r="P31" s="14">
        <f>SUM(D31:O31)</f>
        <v/>
      </c>
      <c r="Q31" s="15" t="inlineStr"/>
    </row>
    <row r="32" ht="17" customHeight="1">
      <c r="C32" s="12" t="inlineStr">
        <is>
          <t>站外投放费率</t>
        </is>
      </c>
      <c r="D32" s="13" t="n">
        <v>0.02</v>
      </c>
      <c r="E32" s="13" t="n">
        <v>0.02</v>
      </c>
      <c r="F32" s="13" t="n">
        <v>0.02</v>
      </c>
      <c r="G32" s="13" t="n">
        <v>0.02</v>
      </c>
      <c r="H32" s="13" t="n">
        <v>0.02</v>
      </c>
      <c r="I32" s="13" t="n">
        <v>0.02</v>
      </c>
      <c r="J32" s="13" t="n">
        <v>0.02</v>
      </c>
      <c r="K32" s="13" t="n">
        <v>0.02</v>
      </c>
      <c r="L32" s="13" t="n">
        <v>0.02</v>
      </c>
      <c r="M32" s="13" t="n">
        <v>0.02</v>
      </c>
      <c r="N32" s="13" t="n">
        <v>0.02</v>
      </c>
      <c r="O32" s="13" t="n">
        <v>0.02</v>
      </c>
      <c r="P32" s="14">
        <f>SUM(D32:O32)</f>
        <v/>
      </c>
      <c r="Q32" s="15" t="inlineStr"/>
    </row>
    <row r="33" ht="17" customHeight="1">
      <c r="C33" s="16" t="inlineStr">
        <is>
          <t>效果广告合计</t>
        </is>
      </c>
      <c r="D33" s="17">
        <f>(D30+D31+D32)*D17</f>
        <v/>
      </c>
      <c r="E33" s="17">
        <f>(E30+E31+E32)*E17</f>
        <v/>
      </c>
      <c r="F33" s="17">
        <f>(F30+F31+F32)*F17</f>
        <v/>
      </c>
      <c r="G33" s="17">
        <f>(G30+G31+G32)*G17</f>
        <v/>
      </c>
      <c r="H33" s="17">
        <f>(H30+H31+H32)*H17</f>
        <v/>
      </c>
      <c r="I33" s="17">
        <f>(I30+I31+I32)*I17</f>
        <v/>
      </c>
      <c r="J33" s="17">
        <f>(J30+J31+J32)*J17</f>
        <v/>
      </c>
      <c r="K33" s="17">
        <f>(K30+K31+K32)*K17</f>
        <v/>
      </c>
      <c r="L33" s="17">
        <f>(L30+L31+L32)*L17</f>
        <v/>
      </c>
      <c r="M33" s="17">
        <f>(M30+M31+M32)*M17</f>
        <v/>
      </c>
      <c r="N33" s="17">
        <f>(N30+N31+N32)*N17</f>
        <v/>
      </c>
      <c r="O33" s="17">
        <f>(O30+O31+O32)*O17</f>
        <v/>
      </c>
      <c r="P33" s="18">
        <f>SUM(D33:O33)</f>
        <v/>
      </c>
      <c r="Q33" s="19" t="inlineStr"/>
    </row>
    <row r="34" ht="17" customHeight="1">
      <c r="C34" s="12" t="inlineStr">
        <is>
          <t>线上运营费率（直播+赠品）</t>
        </is>
      </c>
      <c r="D34" s="13" t="n">
        <v>0.03</v>
      </c>
      <c r="E34" s="13" t="n">
        <v>0.03</v>
      </c>
      <c r="F34" s="13" t="n">
        <v>0.03</v>
      </c>
      <c r="G34" s="13" t="n">
        <v>0.03</v>
      </c>
      <c r="H34" s="13" t="n">
        <v>0.03</v>
      </c>
      <c r="I34" s="13" t="n">
        <v>0.03</v>
      </c>
      <c r="J34" s="13" t="n">
        <v>0.03</v>
      </c>
      <c r="K34" s="13" t="n">
        <v>0.03</v>
      </c>
      <c r="L34" s="13" t="n">
        <v>0.03</v>
      </c>
      <c r="M34" s="13" t="n">
        <v>0.03</v>
      </c>
      <c r="N34" s="13" t="n">
        <v>0.03</v>
      </c>
      <c r="O34" s="13" t="n">
        <v>0.03</v>
      </c>
      <c r="P34" s="14">
        <f>SUM(D34:O34)</f>
        <v/>
      </c>
      <c r="Q34" s="15" t="inlineStr"/>
    </row>
    <row r="35" ht="17" customHeight="1">
      <c r="C35" s="16" t="inlineStr">
        <is>
          <t>线上运营费用</t>
        </is>
      </c>
      <c r="D35" s="17">
        <f>D17*D34</f>
        <v/>
      </c>
      <c r="E35" s="17">
        <f>E17*E34</f>
        <v/>
      </c>
      <c r="F35" s="17">
        <f>F17*F34</f>
        <v/>
      </c>
      <c r="G35" s="17">
        <f>G17*G34</f>
        <v/>
      </c>
      <c r="H35" s="17">
        <f>H17*H34</f>
        <v/>
      </c>
      <c r="I35" s="17">
        <f>I17*I34</f>
        <v/>
      </c>
      <c r="J35" s="17">
        <f>J17*J34</f>
        <v/>
      </c>
      <c r="K35" s="17">
        <f>K17*K34</f>
        <v/>
      </c>
      <c r="L35" s="17">
        <f>L17*L34</f>
        <v/>
      </c>
      <c r="M35" s="17">
        <f>M17*M34</f>
        <v/>
      </c>
      <c r="N35" s="17">
        <f>N17*N34</f>
        <v/>
      </c>
      <c r="O35" s="17">
        <f>O17*O34</f>
        <v/>
      </c>
      <c r="P35" s="18">
        <f>SUM(D35:O35)</f>
        <v/>
      </c>
      <c r="Q35" s="19" t="inlineStr"/>
    </row>
    <row r="36" ht="17" customHeight="1">
      <c r="C36" s="7" t="inlineStr">
        <is>
          <t>线下市场/渠道费用（预算）</t>
        </is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9">
        <f>SUM(D36:O36)</f>
        <v/>
      </c>
      <c r="Q36" s="10" t="inlineStr"/>
    </row>
    <row r="37" ht="17" customHeight="1">
      <c r="C37" s="12" t="inlineStr">
        <is>
          <t>平台佣金费率</t>
        </is>
      </c>
      <c r="D37" s="13" t="n">
        <v>0.01</v>
      </c>
      <c r="E37" s="13" t="n">
        <v>0.01</v>
      </c>
      <c r="F37" s="13" t="n">
        <v>0.01</v>
      </c>
      <c r="G37" s="13" t="n">
        <v>0.01</v>
      </c>
      <c r="H37" s="13" t="n">
        <v>0.01</v>
      </c>
      <c r="I37" s="13" t="n">
        <v>0.01</v>
      </c>
      <c r="J37" s="13" t="n">
        <v>0.01</v>
      </c>
      <c r="K37" s="13" t="n">
        <v>0.01</v>
      </c>
      <c r="L37" s="13" t="n">
        <v>0.01</v>
      </c>
      <c r="M37" s="13" t="n">
        <v>0.01</v>
      </c>
      <c r="N37" s="13" t="n">
        <v>0.01</v>
      </c>
      <c r="O37" s="13" t="n">
        <v>0.01</v>
      </c>
      <c r="P37" s="14">
        <f>SUM(D37:O37)</f>
        <v/>
      </c>
      <c r="Q37" s="15" t="inlineStr"/>
    </row>
    <row r="38" ht="17" customHeight="1">
      <c r="C38" s="16" t="inlineStr">
        <is>
          <t>平台佣金</t>
        </is>
      </c>
      <c r="D38" s="17">
        <f>D17*D37</f>
        <v/>
      </c>
      <c r="E38" s="17">
        <f>E17*E37</f>
        <v/>
      </c>
      <c r="F38" s="17">
        <f>F17*F37</f>
        <v/>
      </c>
      <c r="G38" s="17">
        <f>G17*G37</f>
        <v/>
      </c>
      <c r="H38" s="17">
        <f>H17*H37</f>
        <v/>
      </c>
      <c r="I38" s="17">
        <f>I17*I37</f>
        <v/>
      </c>
      <c r="J38" s="17">
        <f>J17*J37</f>
        <v/>
      </c>
      <c r="K38" s="17">
        <f>K17*K37</f>
        <v/>
      </c>
      <c r="L38" s="17">
        <f>L17*L37</f>
        <v/>
      </c>
      <c r="M38" s="17">
        <f>M17*M37</f>
        <v/>
      </c>
      <c r="N38" s="17">
        <f>N17*N37</f>
        <v/>
      </c>
      <c r="O38" s="17">
        <f>O17*O37</f>
        <v/>
      </c>
      <c r="P38" s="18">
        <f>SUM(D38:O38)</f>
        <v/>
      </c>
      <c r="Q38" s="19" t="inlineStr"/>
    </row>
    <row r="39" ht="17" customHeight="1">
      <c r="C39" s="12" t="inlineStr">
        <is>
          <t>平台其他费率</t>
        </is>
      </c>
      <c r="D39" s="13" t="n">
        <v>0.014</v>
      </c>
      <c r="E39" s="13" t="n">
        <v>0.014</v>
      </c>
      <c r="F39" s="13" t="n">
        <v>0.014</v>
      </c>
      <c r="G39" s="13" t="n">
        <v>0.014</v>
      </c>
      <c r="H39" s="13" t="n">
        <v>0.014</v>
      </c>
      <c r="I39" s="13" t="n">
        <v>0.014</v>
      </c>
      <c r="J39" s="13" t="n">
        <v>0.014</v>
      </c>
      <c r="K39" s="13" t="n">
        <v>0.014</v>
      </c>
      <c r="L39" s="13" t="n">
        <v>0.014</v>
      </c>
      <c r="M39" s="13" t="n">
        <v>0.014</v>
      </c>
      <c r="N39" s="13" t="n">
        <v>0.014</v>
      </c>
      <c r="O39" s="13" t="n">
        <v>0.014</v>
      </c>
      <c r="P39" s="14">
        <f>SUM(D39:O39)</f>
        <v/>
      </c>
      <c r="Q39" s="15" t="inlineStr"/>
    </row>
    <row r="40" ht="17" customHeight="1">
      <c r="C40" s="16" t="inlineStr">
        <is>
          <t>平台其他费用</t>
        </is>
      </c>
      <c r="D40" s="17">
        <f>D17*D39</f>
        <v/>
      </c>
      <c r="E40" s="17">
        <f>E17*E39</f>
        <v/>
      </c>
      <c r="F40" s="17">
        <f>F17*F39</f>
        <v/>
      </c>
      <c r="G40" s="17">
        <f>G17*G39</f>
        <v/>
      </c>
      <c r="H40" s="17">
        <f>H17*H39</f>
        <v/>
      </c>
      <c r="I40" s="17">
        <f>I17*I39</f>
        <v/>
      </c>
      <c r="J40" s="17">
        <f>J17*J39</f>
        <v/>
      </c>
      <c r="K40" s="17">
        <f>K17*K39</f>
        <v/>
      </c>
      <c r="L40" s="17">
        <f>L17*L39</f>
        <v/>
      </c>
      <c r="M40" s="17">
        <f>M17*M39</f>
        <v/>
      </c>
      <c r="N40" s="17">
        <f>N17*N39</f>
        <v/>
      </c>
      <c r="O40" s="17">
        <f>O17*O39</f>
        <v/>
      </c>
      <c r="P40" s="18">
        <f>SUM(D40:O40)</f>
        <v/>
      </c>
      <c r="Q40" s="19" t="inlineStr"/>
    </row>
    <row r="41" ht="17" customHeight="1">
      <c r="C41" s="12" t="inlineStr">
        <is>
          <t>售后费率</t>
        </is>
      </c>
      <c r="D41" s="13" t="n">
        <v>0.03</v>
      </c>
      <c r="E41" s="13" t="n">
        <v>0.03</v>
      </c>
      <c r="F41" s="13" t="n">
        <v>0.03</v>
      </c>
      <c r="G41" s="13" t="n">
        <v>0.03</v>
      </c>
      <c r="H41" s="13" t="n">
        <v>0.03</v>
      </c>
      <c r="I41" s="13" t="n">
        <v>0.03</v>
      </c>
      <c r="J41" s="13" t="n">
        <v>0.03</v>
      </c>
      <c r="K41" s="13" t="n">
        <v>0.03</v>
      </c>
      <c r="L41" s="13" t="n">
        <v>0.03</v>
      </c>
      <c r="M41" s="13" t="n">
        <v>0.03</v>
      </c>
      <c r="N41" s="13" t="n">
        <v>0.03</v>
      </c>
      <c r="O41" s="13" t="n">
        <v>0.03</v>
      </c>
      <c r="P41" s="14">
        <f>SUM(D41:O41)</f>
        <v/>
      </c>
      <c r="Q41" s="15" t="inlineStr"/>
    </row>
    <row r="42" ht="17" customHeight="1">
      <c r="C42" s="16" t="inlineStr">
        <is>
          <t>售后费用</t>
        </is>
      </c>
      <c r="D42" s="17">
        <f>D17*D41</f>
        <v/>
      </c>
      <c r="E42" s="17">
        <f>E17*E41</f>
        <v/>
      </c>
      <c r="F42" s="17">
        <f>F17*F41</f>
        <v/>
      </c>
      <c r="G42" s="17">
        <f>G17*G41</f>
        <v/>
      </c>
      <c r="H42" s="17">
        <f>H17*H41</f>
        <v/>
      </c>
      <c r="I42" s="17">
        <f>I17*I41</f>
        <v/>
      </c>
      <c r="J42" s="17">
        <f>J17*J41</f>
        <v/>
      </c>
      <c r="K42" s="17">
        <f>K17*K41</f>
        <v/>
      </c>
      <c r="L42" s="17">
        <f>L17*L41</f>
        <v/>
      </c>
      <c r="M42" s="17">
        <f>M17*M41</f>
        <v/>
      </c>
      <c r="N42" s="17">
        <f>N17*N41</f>
        <v/>
      </c>
      <c r="O42" s="17">
        <f>O17*O41</f>
        <v/>
      </c>
      <c r="P42" s="18">
        <f>SUM(D42:O42)</f>
        <v/>
      </c>
      <c r="Q42" s="19" t="inlineStr"/>
    </row>
    <row r="43" ht="17" customHeight="1">
      <c r="C43" s="12" t="inlineStr">
        <is>
          <t>店铺运营综合费率</t>
        </is>
      </c>
      <c r="D43" s="13" t="n">
        <v>0.098</v>
      </c>
      <c r="E43" s="13" t="n">
        <v>0.098</v>
      </c>
      <c r="F43" s="13" t="n">
        <v>0.098</v>
      </c>
      <c r="G43" s="13" t="n">
        <v>0.098</v>
      </c>
      <c r="H43" s="13" t="n">
        <v>0.098</v>
      </c>
      <c r="I43" s="13" t="n">
        <v>0.098</v>
      </c>
      <c r="J43" s="13" t="n">
        <v>0.098</v>
      </c>
      <c r="K43" s="13" t="n">
        <v>0.098</v>
      </c>
      <c r="L43" s="13" t="n">
        <v>0.098</v>
      </c>
      <c r="M43" s="13" t="n">
        <v>0.098</v>
      </c>
      <c r="N43" s="13" t="n">
        <v>0.098</v>
      </c>
      <c r="O43" s="13" t="n">
        <v>0.098</v>
      </c>
      <c r="P43" s="14">
        <f>SUM(D43:O43)</f>
        <v/>
      </c>
      <c r="Q43" s="15" t="inlineStr"/>
    </row>
    <row r="44" ht="17" customHeight="1">
      <c r="C44" s="16" t="inlineStr">
        <is>
          <t>店铺运营费用</t>
        </is>
      </c>
      <c r="D44" s="17">
        <f>D17*D43</f>
        <v/>
      </c>
      <c r="E44" s="17">
        <f>E17*E43</f>
        <v/>
      </c>
      <c r="F44" s="17">
        <f>F17*F43</f>
        <v/>
      </c>
      <c r="G44" s="17">
        <f>G17*G43</f>
        <v/>
      </c>
      <c r="H44" s="17">
        <f>H17*H43</f>
        <v/>
      </c>
      <c r="I44" s="17">
        <f>I17*I43</f>
        <v/>
      </c>
      <c r="J44" s="17">
        <f>J17*J43</f>
        <v/>
      </c>
      <c r="K44" s="17">
        <f>K17*K43</f>
        <v/>
      </c>
      <c r="L44" s="17">
        <f>L17*L43</f>
        <v/>
      </c>
      <c r="M44" s="17">
        <f>M17*M43</f>
        <v/>
      </c>
      <c r="N44" s="17">
        <f>N17*N43</f>
        <v/>
      </c>
      <c r="O44" s="17">
        <f>O17*O43</f>
        <v/>
      </c>
      <c r="P44" s="18">
        <f>SUM(D44:O44)</f>
        <v/>
      </c>
      <c r="Q44" s="19" t="inlineStr"/>
    </row>
    <row r="45" ht="17" customHeight="1">
      <c r="C45" s="20" t="inlineStr">
        <is>
          <t>A&amp;P 合计</t>
        </is>
      </c>
      <c r="D45" s="21">
        <f>D29+D33+D35+D36+D38+D40+D42+D44</f>
        <v/>
      </c>
      <c r="E45" s="21">
        <f>E29+E33+E35+E36+E38+E40+E42+E44</f>
        <v/>
      </c>
      <c r="F45" s="21">
        <f>F29+F33+F35+F36+F38+F40+F42+F44</f>
        <v/>
      </c>
      <c r="G45" s="21">
        <f>G29+G33+G35+G36+G38+G40+G42+G44</f>
        <v/>
      </c>
      <c r="H45" s="21">
        <f>H29+H33+H35+H36+H38+H40+H42+H44</f>
        <v/>
      </c>
      <c r="I45" s="21">
        <f>I29+I33+I35+I36+I38+I40+I42+I44</f>
        <v/>
      </c>
      <c r="J45" s="21">
        <f>J29+J33+J35+J36+J38+J40+J42+J44</f>
        <v/>
      </c>
      <c r="K45" s="21">
        <f>K29+K33+K35+K36+K38+K40+K42+K44</f>
        <v/>
      </c>
      <c r="L45" s="21">
        <f>L29+L33+L35+L36+L38+L40+L42+L44</f>
        <v/>
      </c>
      <c r="M45" s="21">
        <f>M29+M33+M35+M36+M38+M40+M42+M44</f>
        <v/>
      </c>
      <c r="N45" s="21">
        <f>N29+N33+N35+N36+N38+N40+N42+N44</f>
        <v/>
      </c>
      <c r="O45" s="21">
        <f>O29+O33+O35+O36+O38+O40+O42+O44</f>
        <v/>
      </c>
      <c r="P45" s="21">
        <f>SUM(D45:O45)</f>
        <v/>
      </c>
      <c r="Q45" s="22" t="inlineStr"/>
    </row>
    <row r="46" ht="6" customHeight="1"/>
    <row r="47" ht="18" customHeight="1">
      <c r="C47" s="6" t="inlineStr">
        <is>
          <t xml:space="preserve">  五、店铺利润（渠道贡献）</t>
        </is>
      </c>
    </row>
    <row r="48" ht="17" customHeight="1">
      <c r="C48" s="20" t="inlineStr">
        <is>
          <t>店铺利润</t>
        </is>
      </c>
      <c r="D48" s="21">
        <f>D25-D45</f>
        <v/>
      </c>
      <c r="E48" s="21">
        <f>E25-E45</f>
        <v/>
      </c>
      <c r="F48" s="21">
        <f>F25-F45</f>
        <v/>
      </c>
      <c r="G48" s="21">
        <f>G25-G45</f>
        <v/>
      </c>
      <c r="H48" s="21">
        <f>H25-H45</f>
        <v/>
      </c>
      <c r="I48" s="21">
        <f>I25-I45</f>
        <v/>
      </c>
      <c r="J48" s="21">
        <f>J25-J45</f>
        <v/>
      </c>
      <c r="K48" s="21">
        <f>K25-K45</f>
        <v/>
      </c>
      <c r="L48" s="21">
        <f>L25-L45</f>
        <v/>
      </c>
      <c r="M48" s="21">
        <f>M25-M45</f>
        <v/>
      </c>
      <c r="N48" s="21">
        <f>N25-N45</f>
        <v/>
      </c>
      <c r="O48" s="21">
        <f>O25-O45</f>
        <v/>
      </c>
      <c r="P48" s="21">
        <f>SUM(D48:O48)</f>
        <v/>
      </c>
      <c r="Q48" s="22" t="inlineStr"/>
    </row>
    <row r="49" ht="6" customHeight="1"/>
    <row r="50" ht="18" customHeight="1">
      <c r="C50" s="6" t="inlineStr">
        <is>
          <t xml:space="preserve">  六、BU 可控 / 贡献层</t>
        </is>
      </c>
    </row>
    <row r="51" ht="17" customHeight="1">
      <c r="C51" s="7" t="inlineStr">
        <is>
          <t>销售管理费用（预算）</t>
        </is>
      </c>
      <c r="D51" s="8" t="n">
        <v>500000</v>
      </c>
      <c r="E51" s="8" t="n">
        <v>500000</v>
      </c>
      <c r="F51" s="8" t="n">
        <v>500000</v>
      </c>
      <c r="G51" s="8" t="n">
        <v>500000</v>
      </c>
      <c r="H51" s="8" t="n">
        <v>500000</v>
      </c>
      <c r="I51" s="8" t="n">
        <v>500000</v>
      </c>
      <c r="J51" s="8" t="n">
        <v>500000</v>
      </c>
      <c r="K51" s="8" t="n">
        <v>500000</v>
      </c>
      <c r="L51" s="8" t="n">
        <v>500000</v>
      </c>
      <c r="M51" s="8" t="n">
        <v>500000</v>
      </c>
      <c r="N51" s="8" t="n">
        <v>500000</v>
      </c>
      <c r="O51" s="8" t="n">
        <v>500000</v>
      </c>
      <c r="P51" s="9">
        <f>SUM(D51:O51)</f>
        <v/>
      </c>
      <c r="Q51" s="10" t="inlineStr"/>
    </row>
    <row r="52" ht="17" customHeight="1">
      <c r="C52" s="7" t="inlineStr">
        <is>
          <t>研发费用（预算）</t>
        </is>
      </c>
      <c r="D52" s="8" t="n">
        <v>3000000</v>
      </c>
      <c r="E52" s="8" t="n">
        <v>3000000</v>
      </c>
      <c r="F52" s="8" t="n">
        <v>3000000</v>
      </c>
      <c r="G52" s="8" t="n">
        <v>3000000</v>
      </c>
      <c r="H52" s="8" t="n">
        <v>3000000</v>
      </c>
      <c r="I52" s="8" t="n">
        <v>3000000</v>
      </c>
      <c r="J52" s="8" t="n">
        <v>3000000</v>
      </c>
      <c r="K52" s="8" t="n">
        <v>3000000</v>
      </c>
      <c r="L52" s="8" t="n">
        <v>3000000</v>
      </c>
      <c r="M52" s="8" t="n">
        <v>3000000</v>
      </c>
      <c r="N52" s="8" t="n">
        <v>3000000</v>
      </c>
      <c r="O52" s="8" t="n">
        <v>3000000</v>
      </c>
      <c r="P52" s="9">
        <f>SUM(D52:O52)</f>
        <v/>
      </c>
      <c r="Q52" s="10" t="inlineStr"/>
    </row>
    <row r="53" ht="17" customHeight="1">
      <c r="C53" s="16" t="inlineStr">
        <is>
          <t>BU可控费用合计</t>
        </is>
      </c>
      <c r="D53" s="17">
        <f>D51+D52</f>
        <v/>
      </c>
      <c r="E53" s="17">
        <f>E51+E52</f>
        <v/>
      </c>
      <c r="F53" s="17">
        <f>F51+F52</f>
        <v/>
      </c>
      <c r="G53" s="17">
        <f>G51+G52</f>
        <v/>
      </c>
      <c r="H53" s="17">
        <f>H51+H52</f>
        <v/>
      </c>
      <c r="I53" s="17">
        <f>I51+I52</f>
        <v/>
      </c>
      <c r="J53" s="17">
        <f>J51+J52</f>
        <v/>
      </c>
      <c r="K53" s="17">
        <f>K51+K52</f>
        <v/>
      </c>
      <c r="L53" s="17">
        <f>L51+L52</f>
        <v/>
      </c>
      <c r="M53" s="17">
        <f>M51+M52</f>
        <v/>
      </c>
      <c r="N53" s="17">
        <f>N51+N52</f>
        <v/>
      </c>
      <c r="O53" s="17">
        <f>O51+O52</f>
        <v/>
      </c>
      <c r="P53" s="18">
        <f>SUM(D53:O53)</f>
        <v/>
      </c>
      <c r="Q53" s="19" t="inlineStr"/>
    </row>
    <row r="54" ht="17" customHeight="1">
      <c r="C54" s="20" t="inlineStr">
        <is>
          <t>BU 可控利润</t>
        </is>
      </c>
      <c r="D54" s="21">
        <f>D48-D53</f>
        <v/>
      </c>
      <c r="E54" s="21">
        <f>E48-E53</f>
        <v/>
      </c>
      <c r="F54" s="21">
        <f>F48-F53</f>
        <v/>
      </c>
      <c r="G54" s="21">
        <f>G48-G53</f>
        <v/>
      </c>
      <c r="H54" s="21">
        <f>H48-H53</f>
        <v/>
      </c>
      <c r="I54" s="21">
        <f>I48-I53</f>
        <v/>
      </c>
      <c r="J54" s="21">
        <f>J48-J53</f>
        <v/>
      </c>
      <c r="K54" s="21">
        <f>K48-K53</f>
        <v/>
      </c>
      <c r="L54" s="21">
        <f>L48-L53</f>
        <v/>
      </c>
      <c r="M54" s="21">
        <f>M48-M53</f>
        <v/>
      </c>
      <c r="N54" s="21">
        <f>N48-N53</f>
        <v/>
      </c>
      <c r="O54" s="21">
        <f>O48-O53</f>
        <v/>
      </c>
      <c r="P54" s="21">
        <f>SUM(D54:O54)</f>
        <v/>
      </c>
      <c r="Q54" s="22" t="inlineStr"/>
    </row>
    <row r="55" ht="17" customHeight="1">
      <c r="C55" s="7" t="inlineStr">
        <is>
          <t>BU 贡献费用（预算）</t>
        </is>
      </c>
      <c r="D55" s="8" t="n">
        <v>2800000</v>
      </c>
      <c r="E55" s="8" t="n">
        <v>2800000</v>
      </c>
      <c r="F55" s="8" t="n">
        <v>2800000</v>
      </c>
      <c r="G55" s="8" t="n">
        <v>2800000</v>
      </c>
      <c r="H55" s="8" t="n">
        <v>2800000</v>
      </c>
      <c r="I55" s="8" t="n">
        <v>2800000</v>
      </c>
      <c r="J55" s="8" t="n">
        <v>2800000</v>
      </c>
      <c r="K55" s="8" t="n">
        <v>2800000</v>
      </c>
      <c r="L55" s="8" t="n">
        <v>2800000</v>
      </c>
      <c r="M55" s="8" t="n">
        <v>2800000</v>
      </c>
      <c r="N55" s="8" t="n">
        <v>2800000</v>
      </c>
      <c r="O55" s="8" t="n">
        <v>2800000</v>
      </c>
      <c r="P55" s="9">
        <f>SUM(D55:O55)</f>
        <v/>
      </c>
      <c r="Q55" s="10" t="inlineStr"/>
    </row>
    <row r="56" ht="17" customHeight="1">
      <c r="C56" s="20" t="inlineStr">
        <is>
          <t>BU 贡献利润</t>
        </is>
      </c>
      <c r="D56" s="21">
        <f>D54-D55</f>
        <v/>
      </c>
      <c r="E56" s="21">
        <f>E54-E55</f>
        <v/>
      </c>
      <c r="F56" s="21">
        <f>F54-F55</f>
        <v/>
      </c>
      <c r="G56" s="21">
        <f>G54-G55</f>
        <v/>
      </c>
      <c r="H56" s="21">
        <f>H54-H55</f>
        <v/>
      </c>
      <c r="I56" s="21">
        <f>I54-I55</f>
        <v/>
      </c>
      <c r="J56" s="21">
        <f>J54-J55</f>
        <v/>
      </c>
      <c r="K56" s="21">
        <f>K54-K55</f>
        <v/>
      </c>
      <c r="L56" s="21">
        <f>L54-L55</f>
        <v/>
      </c>
      <c r="M56" s="21">
        <f>M54-M55</f>
        <v/>
      </c>
      <c r="N56" s="21">
        <f>N54-N55</f>
        <v/>
      </c>
      <c r="O56" s="21">
        <f>O54-O55</f>
        <v/>
      </c>
      <c r="P56" s="21">
        <f>SUM(D56:O56)</f>
        <v/>
      </c>
      <c r="Q56" s="22" t="inlineStr"/>
    </row>
    <row r="57" ht="17" customHeight="1">
      <c r="C57" s="7" t="inlineStr">
        <is>
          <t>集团分摊费用（预算）</t>
        </is>
      </c>
      <c r="D57" s="8" t="n">
        <v>1200000</v>
      </c>
      <c r="E57" s="8" t="n">
        <v>1200000</v>
      </c>
      <c r="F57" s="8" t="n">
        <v>1200000</v>
      </c>
      <c r="G57" s="8" t="n">
        <v>1200000</v>
      </c>
      <c r="H57" s="8" t="n">
        <v>1200000</v>
      </c>
      <c r="I57" s="8" t="n">
        <v>1200000</v>
      </c>
      <c r="J57" s="8" t="n">
        <v>1200000</v>
      </c>
      <c r="K57" s="8" t="n">
        <v>1200000</v>
      </c>
      <c r="L57" s="8" t="n">
        <v>1200000</v>
      </c>
      <c r="M57" s="8" t="n">
        <v>1200000</v>
      </c>
      <c r="N57" s="8" t="n">
        <v>1200000</v>
      </c>
      <c r="O57" s="8" t="n">
        <v>1200000</v>
      </c>
      <c r="P57" s="9">
        <f>SUM(D57:O57)</f>
        <v/>
      </c>
      <c r="Q57" s="10" t="inlineStr"/>
    </row>
    <row r="58" ht="17" customHeight="1">
      <c r="C58" s="20" t="inlineStr">
        <is>
          <t>净利润</t>
        </is>
      </c>
      <c r="D58" s="21">
        <f>D56-D57</f>
        <v/>
      </c>
      <c r="E58" s="21">
        <f>E56-E57</f>
        <v/>
      </c>
      <c r="F58" s="21">
        <f>F56-F57</f>
        <v/>
      </c>
      <c r="G58" s="21">
        <f>G56-G57</f>
        <v/>
      </c>
      <c r="H58" s="21">
        <f>H56-H57</f>
        <v/>
      </c>
      <c r="I58" s="21">
        <f>I56-I57</f>
        <v/>
      </c>
      <c r="J58" s="21">
        <f>J56-J57</f>
        <v/>
      </c>
      <c r="K58" s="21">
        <f>K56-K57</f>
        <v/>
      </c>
      <c r="L58" s="21">
        <f>L56-L57</f>
        <v/>
      </c>
      <c r="M58" s="21">
        <f>M56-M57</f>
        <v/>
      </c>
      <c r="N58" s="21">
        <f>N56-N57</f>
        <v/>
      </c>
      <c r="O58" s="21">
        <f>O56-O57</f>
        <v/>
      </c>
      <c r="P58" s="21">
        <f>SUM(D58:O58)</f>
        <v/>
      </c>
      <c r="Q58" s="22" t="inlineStr"/>
    </row>
  </sheetData>
  <mergeCells count="7">
    <mergeCell ref="C27:R27"/>
    <mergeCell ref="C2:R2"/>
    <mergeCell ref="C19:R19"/>
    <mergeCell ref="C47:R47"/>
    <mergeCell ref="C50:R50"/>
    <mergeCell ref="C4:R4"/>
    <mergeCell ref="C12:R1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C2:R58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" customWidth="1" min="2" max="2"/>
    <col width="2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9" customWidth="1" min="17" max="17"/>
    <col width="28" customWidth="1" min="18" max="18"/>
  </cols>
  <sheetData>
    <row r="1" ht="8" customHeight="1"/>
    <row r="2" ht="28" customHeight="1">
      <c r="C2" s="4" t="inlineStr">
        <is>
          <t>线下直营门店 — 年度 BP</t>
        </is>
      </c>
    </row>
    <row r="3" ht="20" customHeight="1">
      <c r="C3" s="5" t="inlineStr">
        <is>
          <t>科目</t>
        </is>
      </c>
      <c r="D3" s="5" t="inlineStr">
        <is>
          <t>1月</t>
        </is>
      </c>
      <c r="E3" s="5" t="inlineStr">
        <is>
          <t>2月</t>
        </is>
      </c>
      <c r="F3" s="5" t="inlineStr">
        <is>
          <t>3月</t>
        </is>
      </c>
      <c r="G3" s="5" t="inlineStr">
        <is>
          <t>4月</t>
        </is>
      </c>
      <c r="H3" s="5" t="inlineStr">
        <is>
          <t>5月</t>
        </is>
      </c>
      <c r="I3" s="5" t="inlineStr">
        <is>
          <t>6月</t>
        </is>
      </c>
      <c r="J3" s="5" t="inlineStr">
        <is>
          <t>7月</t>
        </is>
      </c>
      <c r="K3" s="5" t="inlineStr">
        <is>
          <t>8月</t>
        </is>
      </c>
      <c r="L3" s="5" t="inlineStr">
        <is>
          <t>9月</t>
        </is>
      </c>
      <c r="M3" s="5" t="inlineStr">
        <is>
          <t>10月</t>
        </is>
      </c>
      <c r="N3" s="5" t="inlineStr">
        <is>
          <t>11月</t>
        </is>
      </c>
      <c r="O3" s="5" t="inlineStr">
        <is>
          <t>12月</t>
        </is>
      </c>
      <c r="P3" s="5" t="inlineStr">
        <is>
          <t>合计</t>
        </is>
      </c>
      <c r="Q3" s="5" t="inlineStr">
        <is>
          <t>费比</t>
        </is>
      </c>
    </row>
    <row r="4" ht="18" customHeight="1">
      <c r="C4" s="6" t="inlineStr">
        <is>
          <t xml:space="preserve">  一、GMV 层</t>
        </is>
      </c>
    </row>
    <row r="5" ht="17" customHeight="1">
      <c r="C5" s="7" t="inlineStr">
        <is>
          <t>自补前 GMV（月度目标）</t>
        </is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9">
        <f>SUM(D5:O5)</f>
        <v/>
      </c>
      <c r="Q5" s="10" t="inlineStr"/>
      <c r="R5" s="11" t="inlineStr">
        <is>
          <t>渠道填写</t>
        </is>
      </c>
    </row>
    <row r="6" ht="17" customHeight="1">
      <c r="C6" s="12" t="inlineStr">
        <is>
          <t>国补/自补费用率</t>
        </is>
      </c>
      <c r="D6" s="13" t="n">
        <v>0.1</v>
      </c>
      <c r="E6" s="13" t="n">
        <v>0.1</v>
      </c>
      <c r="F6" s="13" t="n">
        <v>0.1</v>
      </c>
      <c r="G6" s="13" t="n">
        <v>0.1</v>
      </c>
      <c r="H6" s="13" t="n">
        <v>0.1</v>
      </c>
      <c r="I6" s="13" t="n">
        <v>0.1</v>
      </c>
      <c r="J6" s="13" t="n">
        <v>0.1</v>
      </c>
      <c r="K6" s="13" t="n">
        <v>0.1</v>
      </c>
      <c r="L6" s="13" t="n">
        <v>0.1</v>
      </c>
      <c r="M6" s="13" t="n">
        <v>0.1</v>
      </c>
      <c r="N6" s="13" t="n">
        <v>0.1</v>
      </c>
      <c r="O6" s="13" t="n">
        <v>0.1</v>
      </c>
      <c r="P6" s="14">
        <f>SUM(D6:O6)</f>
        <v/>
      </c>
      <c r="Q6" s="15" t="inlineStr"/>
    </row>
    <row r="7" ht="17" customHeight="1">
      <c r="C7" s="16" t="inlineStr">
        <is>
          <t>国补/自补费用</t>
        </is>
      </c>
      <c r="D7" s="17">
        <f>D5*D6</f>
        <v/>
      </c>
      <c r="E7" s="17">
        <f>E5*E6</f>
        <v/>
      </c>
      <c r="F7" s="17">
        <f>F5*F6</f>
        <v/>
      </c>
      <c r="G7" s="17">
        <f>G5*G6</f>
        <v/>
      </c>
      <c r="H7" s="17">
        <f>H5*H6</f>
        <v/>
      </c>
      <c r="I7" s="17">
        <f>I5*I6</f>
        <v/>
      </c>
      <c r="J7" s="17">
        <f>J5*J6</f>
        <v/>
      </c>
      <c r="K7" s="17">
        <f>K5*K6</f>
        <v/>
      </c>
      <c r="L7" s="17">
        <f>L5*L6</f>
        <v/>
      </c>
      <c r="M7" s="17">
        <f>M5*M6</f>
        <v/>
      </c>
      <c r="N7" s="17">
        <f>N5*N6</f>
        <v/>
      </c>
      <c r="O7" s="17">
        <f>O5*O6</f>
        <v/>
      </c>
      <c r="P7" s="18">
        <f>SUM(D7:O7)</f>
        <v/>
      </c>
      <c r="Q7" s="19" t="inlineStr"/>
    </row>
    <row r="8" ht="17" customHeight="1">
      <c r="C8" s="20" t="inlineStr">
        <is>
          <t>GMV（剔除国补）</t>
        </is>
      </c>
      <c r="D8" s="21">
        <f>D5-D7</f>
        <v/>
      </c>
      <c r="E8" s="21">
        <f>E5-E7</f>
        <v/>
      </c>
      <c r="F8" s="21">
        <f>F5-F7</f>
        <v/>
      </c>
      <c r="G8" s="21">
        <f>G5-G7</f>
        <v/>
      </c>
      <c r="H8" s="21">
        <f>H5-H7</f>
        <v/>
      </c>
      <c r="I8" s="21">
        <f>I5-I7</f>
        <v/>
      </c>
      <c r="J8" s="21">
        <f>J5-J7</f>
        <v/>
      </c>
      <c r="K8" s="21">
        <f>K5-K7</f>
        <v/>
      </c>
      <c r="L8" s="21">
        <f>L5-L7</f>
        <v/>
      </c>
      <c r="M8" s="21">
        <f>M5-M7</f>
        <v/>
      </c>
      <c r="N8" s="21">
        <f>N5-N7</f>
        <v/>
      </c>
      <c r="O8" s="21">
        <f>O5-O7</f>
        <v/>
      </c>
      <c r="P8" s="21">
        <f>SUM(D8:O8)</f>
        <v/>
      </c>
      <c r="Q8" s="22" t="inlineStr"/>
    </row>
    <row r="9" ht="17" customHeight="1">
      <c r="C9" s="12" t="inlineStr">
        <is>
          <t>退货率</t>
        </is>
      </c>
      <c r="D9" s="13" t="n">
        <v>0.19</v>
      </c>
      <c r="E9" s="13" t="n">
        <v>0.19</v>
      </c>
      <c r="F9" s="13" t="n">
        <v>0.19</v>
      </c>
      <c r="G9" s="13" t="n">
        <v>0.19</v>
      </c>
      <c r="H9" s="13" t="n">
        <v>0.19</v>
      </c>
      <c r="I9" s="13" t="n">
        <v>0.19</v>
      </c>
      <c r="J9" s="13" t="n">
        <v>0.19</v>
      </c>
      <c r="K9" s="13" t="n">
        <v>0.19</v>
      </c>
      <c r="L9" s="13" t="n">
        <v>0.19</v>
      </c>
      <c r="M9" s="13" t="n">
        <v>0.19</v>
      </c>
      <c r="N9" s="13" t="n">
        <v>0.19</v>
      </c>
      <c r="O9" s="13" t="n">
        <v>0.19</v>
      </c>
      <c r="P9" s="14">
        <f>SUM(D9:O9)</f>
        <v/>
      </c>
      <c r="Q9" s="15" t="inlineStr"/>
    </row>
    <row r="10" ht="17" customHeight="1">
      <c r="C10" s="20" t="inlineStr">
        <is>
          <t>GSV（去退货）</t>
        </is>
      </c>
      <c r="D10" s="21">
        <f>D8*(1-D9)</f>
        <v/>
      </c>
      <c r="E10" s="21">
        <f>E8*(1-E9)</f>
        <v/>
      </c>
      <c r="F10" s="21">
        <f>F8*(1-F9)</f>
        <v/>
      </c>
      <c r="G10" s="21">
        <f>G8*(1-G9)</f>
        <v/>
      </c>
      <c r="H10" s="21">
        <f>H8*(1-H9)</f>
        <v/>
      </c>
      <c r="I10" s="21">
        <f>I8*(1-I9)</f>
        <v/>
      </c>
      <c r="J10" s="21">
        <f>J8*(1-J9)</f>
        <v/>
      </c>
      <c r="K10" s="21">
        <f>K8*(1-K9)</f>
        <v/>
      </c>
      <c r="L10" s="21">
        <f>L8*(1-L9)</f>
        <v/>
      </c>
      <c r="M10" s="21">
        <f>M8*(1-M9)</f>
        <v/>
      </c>
      <c r="N10" s="21">
        <f>N8*(1-N9)</f>
        <v/>
      </c>
      <c r="O10" s="21">
        <f>O8*(1-O9)</f>
        <v/>
      </c>
      <c r="P10" s="21">
        <f>SUM(D10:O10)</f>
        <v/>
      </c>
      <c r="Q10" s="22" t="inlineStr"/>
    </row>
    <row r="11" ht="6" customHeight="1"/>
    <row r="12" ht="18" customHeight="1">
      <c r="C12" s="6" t="inlineStr">
        <is>
          <t xml:space="preserve">  二、营业收入层</t>
        </is>
      </c>
    </row>
    <row r="13" ht="17" customHeight="1">
      <c r="C13" s="12" t="inlineStr">
        <is>
          <t>合同折扣及返利费率（线下）</t>
        </is>
      </c>
      <c r="D13" s="13" t="n">
        <v>0.04</v>
      </c>
      <c r="E13" s="13" t="n">
        <v>0.04</v>
      </c>
      <c r="F13" s="13" t="n">
        <v>0.04</v>
      </c>
      <c r="G13" s="13" t="n">
        <v>0.04</v>
      </c>
      <c r="H13" s="13" t="n">
        <v>0.04</v>
      </c>
      <c r="I13" s="13" t="n">
        <v>0.04</v>
      </c>
      <c r="J13" s="13" t="n">
        <v>0.04</v>
      </c>
      <c r="K13" s="13" t="n">
        <v>0.04</v>
      </c>
      <c r="L13" s="13" t="n">
        <v>0.04</v>
      </c>
      <c r="M13" s="13" t="n">
        <v>0.04</v>
      </c>
      <c r="N13" s="13" t="n">
        <v>0.04</v>
      </c>
      <c r="O13" s="13" t="n">
        <v>0.04</v>
      </c>
      <c r="P13" s="14">
        <f>SUM(D13:O13)</f>
        <v/>
      </c>
      <c r="Q13" s="15" t="inlineStr"/>
    </row>
    <row r="14" ht="17" customHeight="1">
      <c r="C14" s="12" t="inlineStr">
        <is>
          <t>国补/自补折扣费率（线上）</t>
        </is>
      </c>
      <c r="D14" s="13" t="n">
        <v>0.1</v>
      </c>
      <c r="E14" s="13" t="n">
        <v>0.1</v>
      </c>
      <c r="F14" s="13" t="n">
        <v>0.1</v>
      </c>
      <c r="G14" s="13" t="n">
        <v>0.1</v>
      </c>
      <c r="H14" s="13" t="n">
        <v>0.1</v>
      </c>
      <c r="I14" s="13" t="n">
        <v>0.1</v>
      </c>
      <c r="J14" s="13" t="n">
        <v>0.1</v>
      </c>
      <c r="K14" s="13" t="n">
        <v>0.1</v>
      </c>
      <c r="L14" s="13" t="n">
        <v>0.1</v>
      </c>
      <c r="M14" s="13" t="n">
        <v>0.1</v>
      </c>
      <c r="N14" s="13" t="n">
        <v>0.1</v>
      </c>
      <c r="O14" s="13" t="n">
        <v>0.1</v>
      </c>
      <c r="P14" s="14">
        <f>SUM(D14:O14)</f>
        <v/>
      </c>
      <c r="Q14" s="15" t="inlineStr"/>
    </row>
    <row r="15" ht="17" customHeight="1">
      <c r="C15" s="12" t="inlineStr">
        <is>
          <t>红包/促销折扣费率</t>
        </is>
      </c>
      <c r="D15" s="13" t="n">
        <v>0.17</v>
      </c>
      <c r="E15" s="13" t="n">
        <v>0.17</v>
      </c>
      <c r="F15" s="13" t="n">
        <v>0.17</v>
      </c>
      <c r="G15" s="13" t="n">
        <v>0.17</v>
      </c>
      <c r="H15" s="13" t="n">
        <v>0.17</v>
      </c>
      <c r="I15" s="13" t="n">
        <v>0.17</v>
      </c>
      <c r="J15" s="13" t="n">
        <v>0.17</v>
      </c>
      <c r="K15" s="13" t="n">
        <v>0.17</v>
      </c>
      <c r="L15" s="13" t="n">
        <v>0.17</v>
      </c>
      <c r="M15" s="13" t="n">
        <v>0.17</v>
      </c>
      <c r="N15" s="13" t="n">
        <v>0.17</v>
      </c>
      <c r="O15" s="13" t="n">
        <v>0.17</v>
      </c>
      <c r="P15" s="14">
        <f>SUM(D15:O15)</f>
        <v/>
      </c>
      <c r="Q15" s="15" t="inlineStr"/>
    </row>
    <row r="16" ht="17" customHeight="1">
      <c r="C16" s="16" t="inlineStr">
        <is>
          <t>TTL折扣合计</t>
        </is>
      </c>
      <c r="D16" s="17">
        <f>(D13+D14+D15)*D10</f>
        <v/>
      </c>
      <c r="E16" s="17">
        <f>(E13+E14+E15)*E10</f>
        <v/>
      </c>
      <c r="F16" s="17">
        <f>(F13+F14+F15)*F10</f>
        <v/>
      </c>
      <c r="G16" s="17">
        <f>(G13+G14+G15)*G10</f>
        <v/>
      </c>
      <c r="H16" s="17">
        <f>(H13+H14+H15)*H10</f>
        <v/>
      </c>
      <c r="I16" s="17">
        <f>(I13+I14+I15)*I10</f>
        <v/>
      </c>
      <c r="J16" s="17">
        <f>(J13+J14+J15)*J10</f>
        <v/>
      </c>
      <c r="K16" s="17">
        <f>(K13+K14+K15)*K10</f>
        <v/>
      </c>
      <c r="L16" s="17">
        <f>(L13+L14+L15)*L10</f>
        <v/>
      </c>
      <c r="M16" s="17">
        <f>(M13+M14+M15)*M10</f>
        <v/>
      </c>
      <c r="N16" s="17">
        <f>(N13+N14+N15)*N10</f>
        <v/>
      </c>
      <c r="O16" s="17">
        <f>(O13+O14+O15)*O10</f>
        <v/>
      </c>
      <c r="P16" s="18">
        <f>SUM(D16:O16)</f>
        <v/>
      </c>
      <c r="Q16" s="19" t="inlineStr"/>
    </row>
    <row r="17" ht="17" customHeight="1">
      <c r="C17" s="20" t="inlineStr">
        <is>
          <t>营业收入（净销售收入）</t>
        </is>
      </c>
      <c r="D17" s="21">
        <f>D10-D16</f>
        <v/>
      </c>
      <c r="E17" s="21">
        <f>E10-E16</f>
        <v/>
      </c>
      <c r="F17" s="21">
        <f>F10-F16</f>
        <v/>
      </c>
      <c r="G17" s="21">
        <f>G10-G16</f>
        <v/>
      </c>
      <c r="H17" s="21">
        <f>H10-H16</f>
        <v/>
      </c>
      <c r="I17" s="21">
        <f>I10-I16</f>
        <v/>
      </c>
      <c r="J17" s="21">
        <f>J10-J16</f>
        <v/>
      </c>
      <c r="K17" s="21">
        <f>K10-K16</f>
        <v/>
      </c>
      <c r="L17" s="21">
        <f>L10-L16</f>
        <v/>
      </c>
      <c r="M17" s="21">
        <f>M10-M16</f>
        <v/>
      </c>
      <c r="N17" s="21">
        <f>N10-N16</f>
        <v/>
      </c>
      <c r="O17" s="21">
        <f>O10-O16</f>
        <v/>
      </c>
      <c r="P17" s="21">
        <f>SUM(D17:O17)</f>
        <v/>
      </c>
      <c r="Q17" s="22" t="inlineStr"/>
    </row>
    <row r="18" ht="6" customHeight="1"/>
    <row r="19" ht="18" customHeight="1">
      <c r="C19" s="6" t="inlineStr">
        <is>
          <t xml:space="preserve">  三、毛利层</t>
        </is>
      </c>
    </row>
    <row r="20" ht="17" customHeight="1">
      <c r="C20" s="12" t="inlineStr">
        <is>
          <t>标准主品及配件成本率</t>
        </is>
      </c>
      <c r="D20" s="13" t="n">
        <v>0.46</v>
      </c>
      <c r="E20" s="13" t="n">
        <v>0.46</v>
      </c>
      <c r="F20" s="13" t="n">
        <v>0.46</v>
      </c>
      <c r="G20" s="13" t="n">
        <v>0.46</v>
      </c>
      <c r="H20" s="13" t="n">
        <v>0.46</v>
      </c>
      <c r="I20" s="13" t="n">
        <v>0.46</v>
      </c>
      <c r="J20" s="13" t="n">
        <v>0.46</v>
      </c>
      <c r="K20" s="13" t="n">
        <v>0.46</v>
      </c>
      <c r="L20" s="13" t="n">
        <v>0.46</v>
      </c>
      <c r="M20" s="13" t="n">
        <v>0.46</v>
      </c>
      <c r="N20" s="13" t="n">
        <v>0.46</v>
      </c>
      <c r="O20" s="13" t="n">
        <v>0.46</v>
      </c>
      <c r="P20" s="14">
        <f>SUM(D20:O20)</f>
        <v/>
      </c>
      <c r="Q20" s="15" t="inlineStr"/>
    </row>
    <row r="21" ht="17" customHeight="1">
      <c r="C21" s="16" t="inlineStr">
        <is>
          <t>标准主品及配件成本</t>
        </is>
      </c>
      <c r="D21" s="17">
        <f>D17*D20</f>
        <v/>
      </c>
      <c r="E21" s="17">
        <f>E17*E20</f>
        <v/>
      </c>
      <c r="F21" s="17">
        <f>F17*F20</f>
        <v/>
      </c>
      <c r="G21" s="17">
        <f>G17*G20</f>
        <v/>
      </c>
      <c r="H21" s="17">
        <f>H17*H20</f>
        <v/>
      </c>
      <c r="I21" s="17">
        <f>I17*I20</f>
        <v/>
      </c>
      <c r="J21" s="17">
        <f>J17*J20</f>
        <v/>
      </c>
      <c r="K21" s="17">
        <f>K17*K20</f>
        <v/>
      </c>
      <c r="L21" s="17">
        <f>L17*L20</f>
        <v/>
      </c>
      <c r="M21" s="17">
        <f>M17*M20</f>
        <v/>
      </c>
      <c r="N21" s="17">
        <f>N17*N20</f>
        <v/>
      </c>
      <c r="O21" s="17">
        <f>O17*O20</f>
        <v/>
      </c>
      <c r="P21" s="18">
        <f>SUM(D21:O21)</f>
        <v/>
      </c>
      <c r="Q21" s="19" t="inlineStr"/>
    </row>
    <row r="22" ht="17" customHeight="1">
      <c r="C22" s="20" t="inlineStr">
        <is>
          <t>产品毛利</t>
        </is>
      </c>
      <c r="D22" s="21">
        <f>D17-D21</f>
        <v/>
      </c>
      <c r="E22" s="21">
        <f>E17-E21</f>
        <v/>
      </c>
      <c r="F22" s="21">
        <f>F17-F21</f>
        <v/>
      </c>
      <c r="G22" s="21">
        <f>G17-G21</f>
        <v/>
      </c>
      <c r="H22" s="21">
        <f>H17-H21</f>
        <v/>
      </c>
      <c r="I22" s="21">
        <f>I17-I21</f>
        <v/>
      </c>
      <c r="J22" s="21">
        <f>J17-J21</f>
        <v/>
      </c>
      <c r="K22" s="21">
        <f>K17-K21</f>
        <v/>
      </c>
      <c r="L22" s="21">
        <f>L17-L21</f>
        <v/>
      </c>
      <c r="M22" s="21">
        <f>M17-M21</f>
        <v/>
      </c>
      <c r="N22" s="21">
        <f>N17-N21</f>
        <v/>
      </c>
      <c r="O22" s="21">
        <f>O17-O21</f>
        <v/>
      </c>
      <c r="P22" s="21">
        <f>SUM(D22:O22)</f>
        <v/>
      </c>
      <c r="Q22" s="22" t="inlineStr"/>
    </row>
    <row r="23" ht="17" customHeight="1">
      <c r="C23" s="12" t="inlineStr">
        <is>
          <t>物流/仓储费率</t>
        </is>
      </c>
      <c r="D23" s="13" t="n">
        <v>0.01</v>
      </c>
      <c r="E23" s="13" t="n">
        <v>0.01</v>
      </c>
      <c r="F23" s="13" t="n">
        <v>0.01</v>
      </c>
      <c r="G23" s="13" t="n">
        <v>0.01</v>
      </c>
      <c r="H23" s="13" t="n">
        <v>0.01</v>
      </c>
      <c r="I23" s="13" t="n">
        <v>0.01</v>
      </c>
      <c r="J23" s="13" t="n">
        <v>0.01</v>
      </c>
      <c r="K23" s="13" t="n">
        <v>0.01</v>
      </c>
      <c r="L23" s="13" t="n">
        <v>0.01</v>
      </c>
      <c r="M23" s="13" t="n">
        <v>0.01</v>
      </c>
      <c r="N23" s="13" t="n">
        <v>0.01</v>
      </c>
      <c r="O23" s="13" t="n">
        <v>0.01</v>
      </c>
      <c r="P23" s="14">
        <f>SUM(D23:O23)</f>
        <v/>
      </c>
      <c r="Q23" s="15" t="inlineStr"/>
    </row>
    <row r="24" ht="17" customHeight="1">
      <c r="C24" s="16" t="inlineStr">
        <is>
          <t>物流/仓储费用</t>
        </is>
      </c>
      <c r="D24" s="17">
        <f>D17*D23</f>
        <v/>
      </c>
      <c r="E24" s="17">
        <f>E17*E23</f>
        <v/>
      </c>
      <c r="F24" s="17">
        <f>F17*F23</f>
        <v/>
      </c>
      <c r="G24" s="17">
        <f>G17*G23</f>
        <v/>
      </c>
      <c r="H24" s="17">
        <f>H17*H23</f>
        <v/>
      </c>
      <c r="I24" s="17">
        <f>I17*I23</f>
        <v/>
      </c>
      <c r="J24" s="17">
        <f>J17*J23</f>
        <v/>
      </c>
      <c r="K24" s="17">
        <f>K17*K23</f>
        <v/>
      </c>
      <c r="L24" s="17">
        <f>L17*L23</f>
        <v/>
      </c>
      <c r="M24" s="17">
        <f>M17*M23</f>
        <v/>
      </c>
      <c r="N24" s="17">
        <f>N17*N23</f>
        <v/>
      </c>
      <c r="O24" s="17">
        <f>O17*O23</f>
        <v/>
      </c>
      <c r="P24" s="18">
        <f>SUM(D24:O24)</f>
        <v/>
      </c>
      <c r="Q24" s="19" t="inlineStr"/>
    </row>
    <row r="25" ht="17" customHeight="1">
      <c r="C25" s="20" t="inlineStr">
        <is>
          <t>净毛利</t>
        </is>
      </c>
      <c r="D25" s="21">
        <f>D22-D24</f>
        <v/>
      </c>
      <c r="E25" s="21">
        <f>E22-E24</f>
        <v/>
      </c>
      <c r="F25" s="21">
        <f>F22-F24</f>
        <v/>
      </c>
      <c r="G25" s="21">
        <f>G22-G24</f>
        <v/>
      </c>
      <c r="H25" s="21">
        <f>H22-H24</f>
        <v/>
      </c>
      <c r="I25" s="21">
        <f>I22-I24</f>
        <v/>
      </c>
      <c r="J25" s="21">
        <f>J22-J24</f>
        <v/>
      </c>
      <c r="K25" s="21">
        <f>K22-K24</f>
        <v/>
      </c>
      <c r="L25" s="21">
        <f>L22-L24</f>
        <v/>
      </c>
      <c r="M25" s="21">
        <f>M22-M24</f>
        <v/>
      </c>
      <c r="N25" s="21">
        <f>N22-N24</f>
        <v/>
      </c>
      <c r="O25" s="21">
        <f>O22-O24</f>
        <v/>
      </c>
      <c r="P25" s="21">
        <f>SUM(D25:O25)</f>
        <v/>
      </c>
      <c r="Q25" s="22" t="inlineStr"/>
    </row>
    <row r="26" ht="6" customHeight="1"/>
    <row r="27" ht="18" customHeight="1">
      <c r="C27" s="6" t="inlineStr">
        <is>
          <t xml:space="preserve">  四、A&amp;P 营销与运营费用</t>
        </is>
      </c>
    </row>
    <row r="28" ht="17" customHeight="1">
      <c r="C28" s="12" t="inlineStr">
        <is>
          <t>品牌/内容/达人费率</t>
        </is>
      </c>
      <c r="D28" s="13" t="n">
        <v>0.07000000000000001</v>
      </c>
      <c r="E28" s="13" t="n">
        <v>0.07000000000000001</v>
      </c>
      <c r="F28" s="13" t="n">
        <v>0.07000000000000001</v>
      </c>
      <c r="G28" s="13" t="n">
        <v>0.07000000000000001</v>
      </c>
      <c r="H28" s="13" t="n">
        <v>0.07000000000000001</v>
      </c>
      <c r="I28" s="13" t="n">
        <v>0.07000000000000001</v>
      </c>
      <c r="J28" s="13" t="n">
        <v>0.07000000000000001</v>
      </c>
      <c r="K28" s="13" t="n">
        <v>0.07000000000000001</v>
      </c>
      <c r="L28" s="13" t="n">
        <v>0.07000000000000001</v>
      </c>
      <c r="M28" s="13" t="n">
        <v>0.07000000000000001</v>
      </c>
      <c r="N28" s="13" t="n">
        <v>0.07000000000000001</v>
      </c>
      <c r="O28" s="13" t="n">
        <v>0.07000000000000001</v>
      </c>
      <c r="P28" s="14">
        <f>SUM(D28:O28)</f>
        <v/>
      </c>
      <c r="Q28" s="15" t="inlineStr"/>
    </row>
    <row r="29" ht="17" customHeight="1">
      <c r="C29" s="16" t="inlineStr">
        <is>
          <t>品牌内容费用</t>
        </is>
      </c>
      <c r="D29" s="17">
        <f>D17*D28</f>
        <v/>
      </c>
      <c r="E29" s="17">
        <f>E17*E28</f>
        <v/>
      </c>
      <c r="F29" s="17">
        <f>F17*F28</f>
        <v/>
      </c>
      <c r="G29" s="17">
        <f>G17*G28</f>
        <v/>
      </c>
      <c r="H29" s="17">
        <f>H17*H28</f>
        <v/>
      </c>
      <c r="I29" s="17">
        <f>I17*I28</f>
        <v/>
      </c>
      <c r="J29" s="17">
        <f>J17*J28</f>
        <v/>
      </c>
      <c r="K29" s="17">
        <f>K17*K28</f>
        <v/>
      </c>
      <c r="L29" s="17">
        <f>L17*L28</f>
        <v/>
      </c>
      <c r="M29" s="17">
        <f>M17*M28</f>
        <v/>
      </c>
      <c r="N29" s="17">
        <f>N17*N28</f>
        <v/>
      </c>
      <c r="O29" s="17">
        <f>O17*O28</f>
        <v/>
      </c>
      <c r="P29" s="18">
        <f>SUM(D29:O29)</f>
        <v/>
      </c>
      <c r="Q29" s="19" t="inlineStr"/>
    </row>
    <row r="30" ht="17" customHeight="1">
      <c r="C30" s="12" t="inlineStr">
        <is>
          <t>站内投放费率</t>
        </is>
      </c>
      <c r="D30" s="13" t="n">
        <v>0</v>
      </c>
      <c r="E30" s="13" t="n">
        <v>0</v>
      </c>
      <c r="F30" s="13" t="n">
        <v>0</v>
      </c>
      <c r="G30" s="13" t="n">
        <v>0</v>
      </c>
      <c r="H30" s="13" t="n">
        <v>0</v>
      </c>
      <c r="I30" s="13" t="n">
        <v>0</v>
      </c>
      <c r="J30" s="13" t="n">
        <v>0</v>
      </c>
      <c r="K30" s="13" t="n">
        <v>0</v>
      </c>
      <c r="L30" s="13" t="n">
        <v>0</v>
      </c>
      <c r="M30" s="13" t="n">
        <v>0</v>
      </c>
      <c r="N30" s="13" t="n">
        <v>0</v>
      </c>
      <c r="O30" s="13" t="n">
        <v>0</v>
      </c>
      <c r="P30" s="14">
        <f>SUM(D30:O30)</f>
        <v/>
      </c>
      <c r="Q30" s="15" t="inlineStr"/>
    </row>
    <row r="31" ht="17" customHeight="1">
      <c r="C31" s="12" t="inlineStr">
        <is>
          <t>千川投放费率</t>
        </is>
      </c>
      <c r="D31" s="13" t="n">
        <v>0</v>
      </c>
      <c r="E31" s="13" t="n">
        <v>0</v>
      </c>
      <c r="F31" s="13" t="n">
        <v>0</v>
      </c>
      <c r="G31" s="13" t="n">
        <v>0</v>
      </c>
      <c r="H31" s="13" t="n">
        <v>0</v>
      </c>
      <c r="I31" s="13" t="n">
        <v>0</v>
      </c>
      <c r="J31" s="13" t="n">
        <v>0</v>
      </c>
      <c r="K31" s="13" t="n">
        <v>0</v>
      </c>
      <c r="L31" s="13" t="n">
        <v>0</v>
      </c>
      <c r="M31" s="13" t="n">
        <v>0</v>
      </c>
      <c r="N31" s="13" t="n">
        <v>0</v>
      </c>
      <c r="O31" s="13" t="n">
        <v>0</v>
      </c>
      <c r="P31" s="14">
        <f>SUM(D31:O31)</f>
        <v/>
      </c>
      <c r="Q31" s="15" t="inlineStr"/>
    </row>
    <row r="32" ht="17" customHeight="1">
      <c r="C32" s="12" t="inlineStr">
        <is>
          <t>站外投放费率</t>
        </is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4">
        <f>SUM(D32:O32)</f>
        <v/>
      </c>
      <c r="Q32" s="15" t="inlineStr"/>
    </row>
    <row r="33" ht="17" customHeight="1">
      <c r="C33" s="16" t="inlineStr">
        <is>
          <t>效果广告合计</t>
        </is>
      </c>
      <c r="D33" s="17">
        <f>(D30+D31+D32)*D17</f>
        <v/>
      </c>
      <c r="E33" s="17">
        <f>(E30+E31+E32)*E17</f>
        <v/>
      </c>
      <c r="F33" s="17">
        <f>(F30+F31+F32)*F17</f>
        <v/>
      </c>
      <c r="G33" s="17">
        <f>(G30+G31+G32)*G17</f>
        <v/>
      </c>
      <c r="H33" s="17">
        <f>(H30+H31+H32)*H17</f>
        <v/>
      </c>
      <c r="I33" s="17">
        <f>(I30+I31+I32)*I17</f>
        <v/>
      </c>
      <c r="J33" s="17">
        <f>(J30+J31+J32)*J17</f>
        <v/>
      </c>
      <c r="K33" s="17">
        <f>(K30+K31+K32)*K17</f>
        <v/>
      </c>
      <c r="L33" s="17">
        <f>(L30+L31+L32)*L17</f>
        <v/>
      </c>
      <c r="M33" s="17">
        <f>(M30+M31+M32)*M17</f>
        <v/>
      </c>
      <c r="N33" s="17">
        <f>(N30+N31+N32)*N17</f>
        <v/>
      </c>
      <c r="O33" s="17">
        <f>(O30+O31+O32)*O17</f>
        <v/>
      </c>
      <c r="P33" s="18">
        <f>SUM(D33:O33)</f>
        <v/>
      </c>
      <c r="Q33" s="19" t="inlineStr"/>
    </row>
    <row r="34" ht="17" customHeight="1">
      <c r="C34" s="12" t="inlineStr">
        <is>
          <t>线上运营费率（直播+赠品）</t>
        </is>
      </c>
      <c r="D34" s="13" t="n">
        <v>0.03</v>
      </c>
      <c r="E34" s="13" t="n">
        <v>0.03</v>
      </c>
      <c r="F34" s="13" t="n">
        <v>0.03</v>
      </c>
      <c r="G34" s="13" t="n">
        <v>0.03</v>
      </c>
      <c r="H34" s="13" t="n">
        <v>0.03</v>
      </c>
      <c r="I34" s="13" t="n">
        <v>0.03</v>
      </c>
      <c r="J34" s="13" t="n">
        <v>0.03</v>
      </c>
      <c r="K34" s="13" t="n">
        <v>0.03</v>
      </c>
      <c r="L34" s="13" t="n">
        <v>0.03</v>
      </c>
      <c r="M34" s="13" t="n">
        <v>0.03</v>
      </c>
      <c r="N34" s="13" t="n">
        <v>0.03</v>
      </c>
      <c r="O34" s="13" t="n">
        <v>0.03</v>
      </c>
      <c r="P34" s="14">
        <f>SUM(D34:O34)</f>
        <v/>
      </c>
      <c r="Q34" s="15" t="inlineStr"/>
    </row>
    <row r="35" ht="17" customHeight="1">
      <c r="C35" s="16" t="inlineStr">
        <is>
          <t>线上运营费用</t>
        </is>
      </c>
      <c r="D35" s="17">
        <f>D17*D34</f>
        <v/>
      </c>
      <c r="E35" s="17">
        <f>E17*E34</f>
        <v/>
      </c>
      <c r="F35" s="17">
        <f>F17*F34</f>
        <v/>
      </c>
      <c r="G35" s="17">
        <f>G17*G34</f>
        <v/>
      </c>
      <c r="H35" s="17">
        <f>H17*H34</f>
        <v/>
      </c>
      <c r="I35" s="17">
        <f>I17*I34</f>
        <v/>
      </c>
      <c r="J35" s="17">
        <f>J17*J34</f>
        <v/>
      </c>
      <c r="K35" s="17">
        <f>K17*K34</f>
        <v/>
      </c>
      <c r="L35" s="17">
        <f>L17*L34</f>
        <v/>
      </c>
      <c r="M35" s="17">
        <f>M17*M34</f>
        <v/>
      </c>
      <c r="N35" s="17">
        <f>N17*N34</f>
        <v/>
      </c>
      <c r="O35" s="17">
        <f>O17*O34</f>
        <v/>
      </c>
      <c r="P35" s="18">
        <f>SUM(D35:O35)</f>
        <v/>
      </c>
      <c r="Q35" s="19" t="inlineStr"/>
    </row>
    <row r="36" ht="17" customHeight="1">
      <c r="C36" s="7" t="inlineStr">
        <is>
          <t>线下市场/渠道费用（预算）</t>
        </is>
      </c>
      <c r="D36" s="8" t="n">
        <v>150000</v>
      </c>
      <c r="E36" s="8" t="n">
        <v>150000</v>
      </c>
      <c r="F36" s="8" t="n">
        <v>150000</v>
      </c>
      <c r="G36" s="8" t="n">
        <v>150000</v>
      </c>
      <c r="H36" s="8" t="n">
        <v>150000</v>
      </c>
      <c r="I36" s="8" t="n">
        <v>150000</v>
      </c>
      <c r="J36" s="8" t="n">
        <v>150000</v>
      </c>
      <c r="K36" s="8" t="n">
        <v>150000</v>
      </c>
      <c r="L36" s="8" t="n">
        <v>150000</v>
      </c>
      <c r="M36" s="8" t="n">
        <v>150000</v>
      </c>
      <c r="N36" s="8" t="n">
        <v>150000</v>
      </c>
      <c r="O36" s="8" t="n">
        <v>150000</v>
      </c>
      <c r="P36" s="9">
        <f>SUM(D36:O36)</f>
        <v/>
      </c>
      <c r="Q36" s="10" t="inlineStr"/>
    </row>
    <row r="37" ht="17" customHeight="1">
      <c r="C37" s="12" t="inlineStr">
        <is>
          <t>平台佣金费率</t>
        </is>
      </c>
      <c r="D37" s="13" t="n">
        <v>0</v>
      </c>
      <c r="E37" s="13" t="n">
        <v>0</v>
      </c>
      <c r="F37" s="13" t="n">
        <v>0</v>
      </c>
      <c r="G37" s="13" t="n">
        <v>0</v>
      </c>
      <c r="H37" s="13" t="n">
        <v>0</v>
      </c>
      <c r="I37" s="13" t="n">
        <v>0</v>
      </c>
      <c r="J37" s="13" t="n">
        <v>0</v>
      </c>
      <c r="K37" s="13" t="n">
        <v>0</v>
      </c>
      <c r="L37" s="13" t="n">
        <v>0</v>
      </c>
      <c r="M37" s="13" t="n">
        <v>0</v>
      </c>
      <c r="N37" s="13" t="n">
        <v>0</v>
      </c>
      <c r="O37" s="13" t="n">
        <v>0</v>
      </c>
      <c r="P37" s="14">
        <f>SUM(D37:O37)</f>
        <v/>
      </c>
      <c r="Q37" s="15" t="inlineStr"/>
    </row>
    <row r="38" ht="17" customHeight="1">
      <c r="C38" s="16" t="inlineStr">
        <is>
          <t>平台佣金</t>
        </is>
      </c>
      <c r="D38" s="17">
        <f>D17*D37</f>
        <v/>
      </c>
      <c r="E38" s="17">
        <f>E17*E37</f>
        <v/>
      </c>
      <c r="F38" s="17">
        <f>F17*F37</f>
        <v/>
      </c>
      <c r="G38" s="17">
        <f>G17*G37</f>
        <v/>
      </c>
      <c r="H38" s="17">
        <f>H17*H37</f>
        <v/>
      </c>
      <c r="I38" s="17">
        <f>I17*I37</f>
        <v/>
      </c>
      <c r="J38" s="17">
        <f>J17*J37</f>
        <v/>
      </c>
      <c r="K38" s="17">
        <f>K17*K37</f>
        <v/>
      </c>
      <c r="L38" s="17">
        <f>L17*L37</f>
        <v/>
      </c>
      <c r="M38" s="17">
        <f>M17*M37</f>
        <v/>
      </c>
      <c r="N38" s="17">
        <f>N17*N37</f>
        <v/>
      </c>
      <c r="O38" s="17">
        <f>O17*O37</f>
        <v/>
      </c>
      <c r="P38" s="18">
        <f>SUM(D38:O38)</f>
        <v/>
      </c>
      <c r="Q38" s="19" t="inlineStr"/>
    </row>
    <row r="39" ht="17" customHeight="1">
      <c r="C39" s="12" t="inlineStr">
        <is>
          <t>平台其他费率</t>
        </is>
      </c>
      <c r="D39" s="13" t="n">
        <v>0.014</v>
      </c>
      <c r="E39" s="13" t="n">
        <v>0.014</v>
      </c>
      <c r="F39" s="13" t="n">
        <v>0.014</v>
      </c>
      <c r="G39" s="13" t="n">
        <v>0.014</v>
      </c>
      <c r="H39" s="13" t="n">
        <v>0.014</v>
      </c>
      <c r="I39" s="13" t="n">
        <v>0.014</v>
      </c>
      <c r="J39" s="13" t="n">
        <v>0.014</v>
      </c>
      <c r="K39" s="13" t="n">
        <v>0.014</v>
      </c>
      <c r="L39" s="13" t="n">
        <v>0.014</v>
      </c>
      <c r="M39" s="13" t="n">
        <v>0.014</v>
      </c>
      <c r="N39" s="13" t="n">
        <v>0.014</v>
      </c>
      <c r="O39" s="13" t="n">
        <v>0.014</v>
      </c>
      <c r="P39" s="14">
        <f>SUM(D39:O39)</f>
        <v/>
      </c>
      <c r="Q39" s="15" t="inlineStr"/>
    </row>
    <row r="40" ht="17" customHeight="1">
      <c r="C40" s="16" t="inlineStr">
        <is>
          <t>平台其他费用</t>
        </is>
      </c>
      <c r="D40" s="17">
        <f>D17*D39</f>
        <v/>
      </c>
      <c r="E40" s="17">
        <f>E17*E39</f>
        <v/>
      </c>
      <c r="F40" s="17">
        <f>F17*F39</f>
        <v/>
      </c>
      <c r="G40" s="17">
        <f>G17*G39</f>
        <v/>
      </c>
      <c r="H40" s="17">
        <f>H17*H39</f>
        <v/>
      </c>
      <c r="I40" s="17">
        <f>I17*I39</f>
        <v/>
      </c>
      <c r="J40" s="17">
        <f>J17*J39</f>
        <v/>
      </c>
      <c r="K40" s="17">
        <f>K17*K39</f>
        <v/>
      </c>
      <c r="L40" s="17">
        <f>L17*L39</f>
        <v/>
      </c>
      <c r="M40" s="17">
        <f>M17*M39</f>
        <v/>
      </c>
      <c r="N40" s="17">
        <f>N17*N39</f>
        <v/>
      </c>
      <c r="O40" s="17">
        <f>O17*O39</f>
        <v/>
      </c>
      <c r="P40" s="18">
        <f>SUM(D40:O40)</f>
        <v/>
      </c>
      <c r="Q40" s="19" t="inlineStr"/>
    </row>
    <row r="41" ht="17" customHeight="1">
      <c r="C41" s="12" t="inlineStr">
        <is>
          <t>售后费率</t>
        </is>
      </c>
      <c r="D41" s="13" t="n">
        <v>0.03</v>
      </c>
      <c r="E41" s="13" t="n">
        <v>0.03</v>
      </c>
      <c r="F41" s="13" t="n">
        <v>0.03</v>
      </c>
      <c r="G41" s="13" t="n">
        <v>0.03</v>
      </c>
      <c r="H41" s="13" t="n">
        <v>0.03</v>
      </c>
      <c r="I41" s="13" t="n">
        <v>0.03</v>
      </c>
      <c r="J41" s="13" t="n">
        <v>0.03</v>
      </c>
      <c r="K41" s="13" t="n">
        <v>0.03</v>
      </c>
      <c r="L41" s="13" t="n">
        <v>0.03</v>
      </c>
      <c r="M41" s="13" t="n">
        <v>0.03</v>
      </c>
      <c r="N41" s="13" t="n">
        <v>0.03</v>
      </c>
      <c r="O41" s="13" t="n">
        <v>0.03</v>
      </c>
      <c r="P41" s="14">
        <f>SUM(D41:O41)</f>
        <v/>
      </c>
      <c r="Q41" s="15" t="inlineStr"/>
    </row>
    <row r="42" ht="17" customHeight="1">
      <c r="C42" s="16" t="inlineStr">
        <is>
          <t>售后费用</t>
        </is>
      </c>
      <c r="D42" s="17">
        <f>D17*D41</f>
        <v/>
      </c>
      <c r="E42" s="17">
        <f>E17*E41</f>
        <v/>
      </c>
      <c r="F42" s="17">
        <f>F17*F41</f>
        <v/>
      </c>
      <c r="G42" s="17">
        <f>G17*G41</f>
        <v/>
      </c>
      <c r="H42" s="17">
        <f>H17*H41</f>
        <v/>
      </c>
      <c r="I42" s="17">
        <f>I17*I41</f>
        <v/>
      </c>
      <c r="J42" s="17">
        <f>J17*J41</f>
        <v/>
      </c>
      <c r="K42" s="17">
        <f>K17*K41</f>
        <v/>
      </c>
      <c r="L42" s="17">
        <f>L17*L41</f>
        <v/>
      </c>
      <c r="M42" s="17">
        <f>M17*M41</f>
        <v/>
      </c>
      <c r="N42" s="17">
        <f>N17*N41</f>
        <v/>
      </c>
      <c r="O42" s="17">
        <f>O17*O41</f>
        <v/>
      </c>
      <c r="P42" s="18">
        <f>SUM(D42:O42)</f>
        <v/>
      </c>
      <c r="Q42" s="19" t="inlineStr"/>
    </row>
    <row r="43" ht="17" customHeight="1">
      <c r="C43" s="12" t="inlineStr">
        <is>
          <t>店铺运营综合费率</t>
        </is>
      </c>
      <c r="D43" s="13" t="n">
        <v>0.15</v>
      </c>
      <c r="E43" s="13" t="n">
        <v>0.15</v>
      </c>
      <c r="F43" s="13" t="n">
        <v>0.15</v>
      </c>
      <c r="G43" s="13" t="n">
        <v>0.15</v>
      </c>
      <c r="H43" s="13" t="n">
        <v>0.15</v>
      </c>
      <c r="I43" s="13" t="n">
        <v>0.15</v>
      </c>
      <c r="J43" s="13" t="n">
        <v>0.15</v>
      </c>
      <c r="K43" s="13" t="n">
        <v>0.15</v>
      </c>
      <c r="L43" s="13" t="n">
        <v>0.15</v>
      </c>
      <c r="M43" s="13" t="n">
        <v>0.15</v>
      </c>
      <c r="N43" s="13" t="n">
        <v>0.15</v>
      </c>
      <c r="O43" s="13" t="n">
        <v>0.15</v>
      </c>
      <c r="P43" s="14">
        <f>SUM(D43:O43)</f>
        <v/>
      </c>
      <c r="Q43" s="15" t="inlineStr"/>
    </row>
    <row r="44" ht="17" customHeight="1">
      <c r="C44" s="16" t="inlineStr">
        <is>
          <t>店铺运营费用</t>
        </is>
      </c>
      <c r="D44" s="17">
        <f>D17*D43</f>
        <v/>
      </c>
      <c r="E44" s="17">
        <f>E17*E43</f>
        <v/>
      </c>
      <c r="F44" s="17">
        <f>F17*F43</f>
        <v/>
      </c>
      <c r="G44" s="17">
        <f>G17*G43</f>
        <v/>
      </c>
      <c r="H44" s="17">
        <f>H17*H43</f>
        <v/>
      </c>
      <c r="I44" s="17">
        <f>I17*I43</f>
        <v/>
      </c>
      <c r="J44" s="17">
        <f>J17*J43</f>
        <v/>
      </c>
      <c r="K44" s="17">
        <f>K17*K43</f>
        <v/>
      </c>
      <c r="L44" s="17">
        <f>L17*L43</f>
        <v/>
      </c>
      <c r="M44" s="17">
        <f>M17*M43</f>
        <v/>
      </c>
      <c r="N44" s="17">
        <f>N17*N43</f>
        <v/>
      </c>
      <c r="O44" s="17">
        <f>O17*O43</f>
        <v/>
      </c>
      <c r="P44" s="18">
        <f>SUM(D44:O44)</f>
        <v/>
      </c>
      <c r="Q44" s="19" t="inlineStr"/>
    </row>
    <row r="45" ht="17" customHeight="1">
      <c r="C45" s="20" t="inlineStr">
        <is>
          <t>A&amp;P 合计</t>
        </is>
      </c>
      <c r="D45" s="21">
        <f>D29+D33+D35+D36+D38+D40+D42+D44</f>
        <v/>
      </c>
      <c r="E45" s="21">
        <f>E29+E33+E35+E36+E38+E40+E42+E44</f>
        <v/>
      </c>
      <c r="F45" s="21">
        <f>F29+F33+F35+F36+F38+F40+F42+F44</f>
        <v/>
      </c>
      <c r="G45" s="21">
        <f>G29+G33+G35+G36+G38+G40+G42+G44</f>
        <v/>
      </c>
      <c r="H45" s="21">
        <f>H29+H33+H35+H36+H38+H40+H42+H44</f>
        <v/>
      </c>
      <c r="I45" s="21">
        <f>I29+I33+I35+I36+I38+I40+I42+I44</f>
        <v/>
      </c>
      <c r="J45" s="21">
        <f>J29+J33+J35+J36+J38+J40+J42+J44</f>
        <v/>
      </c>
      <c r="K45" s="21">
        <f>K29+K33+K35+K36+K38+K40+K42+K44</f>
        <v/>
      </c>
      <c r="L45" s="21">
        <f>L29+L33+L35+L36+L38+L40+L42+L44</f>
        <v/>
      </c>
      <c r="M45" s="21">
        <f>M29+M33+M35+M36+M38+M40+M42+M44</f>
        <v/>
      </c>
      <c r="N45" s="21">
        <f>N29+N33+N35+N36+N38+N40+N42+N44</f>
        <v/>
      </c>
      <c r="O45" s="21">
        <f>O29+O33+O35+O36+O38+O40+O42+O44</f>
        <v/>
      </c>
      <c r="P45" s="21">
        <f>SUM(D45:O45)</f>
        <v/>
      </c>
      <c r="Q45" s="22" t="inlineStr"/>
    </row>
    <row r="46" ht="6" customHeight="1"/>
    <row r="47" ht="18" customHeight="1">
      <c r="C47" s="6" t="inlineStr">
        <is>
          <t xml:space="preserve">  五、店铺利润（渠道贡献）</t>
        </is>
      </c>
    </row>
    <row r="48" ht="17" customHeight="1">
      <c r="C48" s="20" t="inlineStr">
        <is>
          <t>店铺利润</t>
        </is>
      </c>
      <c r="D48" s="21">
        <f>D25-D45</f>
        <v/>
      </c>
      <c r="E48" s="21">
        <f>E25-E45</f>
        <v/>
      </c>
      <c r="F48" s="21">
        <f>F25-F45</f>
        <v/>
      </c>
      <c r="G48" s="21">
        <f>G25-G45</f>
        <v/>
      </c>
      <c r="H48" s="21">
        <f>H25-H45</f>
        <v/>
      </c>
      <c r="I48" s="21">
        <f>I25-I45</f>
        <v/>
      </c>
      <c r="J48" s="21">
        <f>J25-J45</f>
        <v/>
      </c>
      <c r="K48" s="21">
        <f>K25-K45</f>
        <v/>
      </c>
      <c r="L48" s="21">
        <f>L25-L45</f>
        <v/>
      </c>
      <c r="M48" s="21">
        <f>M25-M45</f>
        <v/>
      </c>
      <c r="N48" s="21">
        <f>N25-N45</f>
        <v/>
      </c>
      <c r="O48" s="21">
        <f>O25-O45</f>
        <v/>
      </c>
      <c r="P48" s="21">
        <f>SUM(D48:O48)</f>
        <v/>
      </c>
      <c r="Q48" s="22" t="inlineStr"/>
    </row>
    <row r="49" ht="6" customHeight="1"/>
    <row r="50" ht="18" customHeight="1">
      <c r="C50" s="6" t="inlineStr">
        <is>
          <t xml:space="preserve">  六、BU 可控 / 贡献层</t>
        </is>
      </c>
    </row>
    <row r="51" ht="17" customHeight="1">
      <c r="C51" s="7" t="inlineStr">
        <is>
          <t>销售管理费用（预算）</t>
        </is>
      </c>
      <c r="D51" s="8" t="n">
        <v>500000</v>
      </c>
      <c r="E51" s="8" t="n">
        <v>500000</v>
      </c>
      <c r="F51" s="8" t="n">
        <v>500000</v>
      </c>
      <c r="G51" s="8" t="n">
        <v>500000</v>
      </c>
      <c r="H51" s="8" t="n">
        <v>500000</v>
      </c>
      <c r="I51" s="8" t="n">
        <v>500000</v>
      </c>
      <c r="J51" s="8" t="n">
        <v>500000</v>
      </c>
      <c r="K51" s="8" t="n">
        <v>500000</v>
      </c>
      <c r="L51" s="8" t="n">
        <v>500000</v>
      </c>
      <c r="M51" s="8" t="n">
        <v>500000</v>
      </c>
      <c r="N51" s="8" t="n">
        <v>500000</v>
      </c>
      <c r="O51" s="8" t="n">
        <v>500000</v>
      </c>
      <c r="P51" s="9">
        <f>SUM(D51:O51)</f>
        <v/>
      </c>
      <c r="Q51" s="10" t="inlineStr"/>
    </row>
    <row r="52" ht="17" customHeight="1">
      <c r="C52" s="7" t="inlineStr">
        <is>
          <t>研发费用（预算）</t>
        </is>
      </c>
      <c r="D52" s="8" t="n">
        <v>3000000</v>
      </c>
      <c r="E52" s="8" t="n">
        <v>3000000</v>
      </c>
      <c r="F52" s="8" t="n">
        <v>3000000</v>
      </c>
      <c r="G52" s="8" t="n">
        <v>3000000</v>
      </c>
      <c r="H52" s="8" t="n">
        <v>3000000</v>
      </c>
      <c r="I52" s="8" t="n">
        <v>3000000</v>
      </c>
      <c r="J52" s="8" t="n">
        <v>3000000</v>
      </c>
      <c r="K52" s="8" t="n">
        <v>3000000</v>
      </c>
      <c r="L52" s="8" t="n">
        <v>3000000</v>
      </c>
      <c r="M52" s="8" t="n">
        <v>3000000</v>
      </c>
      <c r="N52" s="8" t="n">
        <v>3000000</v>
      </c>
      <c r="O52" s="8" t="n">
        <v>3000000</v>
      </c>
      <c r="P52" s="9">
        <f>SUM(D52:O52)</f>
        <v/>
      </c>
      <c r="Q52" s="10" t="inlineStr"/>
    </row>
    <row r="53" ht="17" customHeight="1">
      <c r="C53" s="16" t="inlineStr">
        <is>
          <t>BU可控费用合计</t>
        </is>
      </c>
      <c r="D53" s="17">
        <f>D51+D52</f>
        <v/>
      </c>
      <c r="E53" s="17">
        <f>E51+E52</f>
        <v/>
      </c>
      <c r="F53" s="17">
        <f>F51+F52</f>
        <v/>
      </c>
      <c r="G53" s="17">
        <f>G51+G52</f>
        <v/>
      </c>
      <c r="H53" s="17">
        <f>H51+H52</f>
        <v/>
      </c>
      <c r="I53" s="17">
        <f>I51+I52</f>
        <v/>
      </c>
      <c r="J53" s="17">
        <f>J51+J52</f>
        <v/>
      </c>
      <c r="K53" s="17">
        <f>K51+K52</f>
        <v/>
      </c>
      <c r="L53" s="17">
        <f>L51+L52</f>
        <v/>
      </c>
      <c r="M53" s="17">
        <f>M51+M52</f>
        <v/>
      </c>
      <c r="N53" s="17">
        <f>N51+N52</f>
        <v/>
      </c>
      <c r="O53" s="17">
        <f>O51+O52</f>
        <v/>
      </c>
      <c r="P53" s="18">
        <f>SUM(D53:O53)</f>
        <v/>
      </c>
      <c r="Q53" s="19" t="inlineStr"/>
    </row>
    <row r="54" ht="17" customHeight="1">
      <c r="C54" s="20" t="inlineStr">
        <is>
          <t>BU 可控利润</t>
        </is>
      </c>
      <c r="D54" s="21">
        <f>D48-D53</f>
        <v/>
      </c>
      <c r="E54" s="21">
        <f>E48-E53</f>
        <v/>
      </c>
      <c r="F54" s="21">
        <f>F48-F53</f>
        <v/>
      </c>
      <c r="G54" s="21">
        <f>G48-G53</f>
        <v/>
      </c>
      <c r="H54" s="21">
        <f>H48-H53</f>
        <v/>
      </c>
      <c r="I54" s="21">
        <f>I48-I53</f>
        <v/>
      </c>
      <c r="J54" s="21">
        <f>J48-J53</f>
        <v/>
      </c>
      <c r="K54" s="21">
        <f>K48-K53</f>
        <v/>
      </c>
      <c r="L54" s="21">
        <f>L48-L53</f>
        <v/>
      </c>
      <c r="M54" s="21">
        <f>M48-M53</f>
        <v/>
      </c>
      <c r="N54" s="21">
        <f>N48-N53</f>
        <v/>
      </c>
      <c r="O54" s="21">
        <f>O48-O53</f>
        <v/>
      </c>
      <c r="P54" s="21">
        <f>SUM(D54:O54)</f>
        <v/>
      </c>
      <c r="Q54" s="22" t="inlineStr"/>
    </row>
    <row r="55" ht="17" customHeight="1">
      <c r="C55" s="7" t="inlineStr">
        <is>
          <t>BU 贡献费用（预算）</t>
        </is>
      </c>
      <c r="D55" s="8" t="n">
        <v>2800000</v>
      </c>
      <c r="E55" s="8" t="n">
        <v>2800000</v>
      </c>
      <c r="F55" s="8" t="n">
        <v>2800000</v>
      </c>
      <c r="G55" s="8" t="n">
        <v>2800000</v>
      </c>
      <c r="H55" s="8" t="n">
        <v>2800000</v>
      </c>
      <c r="I55" s="8" t="n">
        <v>2800000</v>
      </c>
      <c r="J55" s="8" t="n">
        <v>2800000</v>
      </c>
      <c r="K55" s="8" t="n">
        <v>2800000</v>
      </c>
      <c r="L55" s="8" t="n">
        <v>2800000</v>
      </c>
      <c r="M55" s="8" t="n">
        <v>2800000</v>
      </c>
      <c r="N55" s="8" t="n">
        <v>2800000</v>
      </c>
      <c r="O55" s="8" t="n">
        <v>2800000</v>
      </c>
      <c r="P55" s="9">
        <f>SUM(D55:O55)</f>
        <v/>
      </c>
      <c r="Q55" s="10" t="inlineStr"/>
    </row>
    <row r="56" ht="17" customHeight="1">
      <c r="C56" s="20" t="inlineStr">
        <is>
          <t>BU 贡献利润</t>
        </is>
      </c>
      <c r="D56" s="21">
        <f>D54-D55</f>
        <v/>
      </c>
      <c r="E56" s="21">
        <f>E54-E55</f>
        <v/>
      </c>
      <c r="F56" s="21">
        <f>F54-F55</f>
        <v/>
      </c>
      <c r="G56" s="21">
        <f>G54-G55</f>
        <v/>
      </c>
      <c r="H56" s="21">
        <f>H54-H55</f>
        <v/>
      </c>
      <c r="I56" s="21">
        <f>I54-I55</f>
        <v/>
      </c>
      <c r="J56" s="21">
        <f>J54-J55</f>
        <v/>
      </c>
      <c r="K56" s="21">
        <f>K54-K55</f>
        <v/>
      </c>
      <c r="L56" s="21">
        <f>L54-L55</f>
        <v/>
      </c>
      <c r="M56" s="21">
        <f>M54-M55</f>
        <v/>
      </c>
      <c r="N56" s="21">
        <f>N54-N55</f>
        <v/>
      </c>
      <c r="O56" s="21">
        <f>O54-O55</f>
        <v/>
      </c>
      <c r="P56" s="21">
        <f>SUM(D56:O56)</f>
        <v/>
      </c>
      <c r="Q56" s="22" t="inlineStr"/>
    </row>
    <row r="57" ht="17" customHeight="1">
      <c r="C57" s="7" t="inlineStr">
        <is>
          <t>集团分摊费用（预算）</t>
        </is>
      </c>
      <c r="D57" s="8" t="n">
        <v>1200000</v>
      </c>
      <c r="E57" s="8" t="n">
        <v>1200000</v>
      </c>
      <c r="F57" s="8" t="n">
        <v>1200000</v>
      </c>
      <c r="G57" s="8" t="n">
        <v>1200000</v>
      </c>
      <c r="H57" s="8" t="n">
        <v>1200000</v>
      </c>
      <c r="I57" s="8" t="n">
        <v>1200000</v>
      </c>
      <c r="J57" s="8" t="n">
        <v>1200000</v>
      </c>
      <c r="K57" s="8" t="n">
        <v>1200000</v>
      </c>
      <c r="L57" s="8" t="n">
        <v>1200000</v>
      </c>
      <c r="M57" s="8" t="n">
        <v>1200000</v>
      </c>
      <c r="N57" s="8" t="n">
        <v>1200000</v>
      </c>
      <c r="O57" s="8" t="n">
        <v>1200000</v>
      </c>
      <c r="P57" s="9">
        <f>SUM(D57:O57)</f>
        <v/>
      </c>
      <c r="Q57" s="10" t="inlineStr"/>
    </row>
    <row r="58" ht="17" customHeight="1">
      <c r="C58" s="20" t="inlineStr">
        <is>
          <t>净利润</t>
        </is>
      </c>
      <c r="D58" s="21">
        <f>D56-D57</f>
        <v/>
      </c>
      <c r="E58" s="21">
        <f>E56-E57</f>
        <v/>
      </c>
      <c r="F58" s="21">
        <f>F56-F57</f>
        <v/>
      </c>
      <c r="G58" s="21">
        <f>G56-G57</f>
        <v/>
      </c>
      <c r="H58" s="21">
        <f>H56-H57</f>
        <v/>
      </c>
      <c r="I58" s="21">
        <f>I56-I57</f>
        <v/>
      </c>
      <c r="J58" s="21">
        <f>J56-J57</f>
        <v/>
      </c>
      <c r="K58" s="21">
        <f>K56-K57</f>
        <v/>
      </c>
      <c r="L58" s="21">
        <f>L56-L57</f>
        <v/>
      </c>
      <c r="M58" s="21">
        <f>M56-M57</f>
        <v/>
      </c>
      <c r="N58" s="21">
        <f>N56-N57</f>
        <v/>
      </c>
      <c r="O58" s="21">
        <f>O56-O57</f>
        <v/>
      </c>
      <c r="P58" s="21">
        <f>SUM(D58:O58)</f>
        <v/>
      </c>
      <c r="Q58" s="22" t="inlineStr"/>
    </row>
  </sheetData>
  <mergeCells count="7">
    <mergeCell ref="C27:R27"/>
    <mergeCell ref="C2:R2"/>
    <mergeCell ref="C19:R19"/>
    <mergeCell ref="C47:R47"/>
    <mergeCell ref="C50:R50"/>
    <mergeCell ref="C4:R4"/>
    <mergeCell ref="C12:R1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C2:R58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" customWidth="1" min="2" max="2"/>
    <col width="2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9" customWidth="1" min="17" max="17"/>
    <col width="28" customWidth="1" min="18" max="18"/>
  </cols>
  <sheetData>
    <row r="1" ht="8" customHeight="1"/>
    <row r="2" ht="28" customHeight="1">
      <c r="C2" s="4" t="inlineStr">
        <is>
          <t>线下经销渠道 — 年度 BP</t>
        </is>
      </c>
    </row>
    <row r="3" ht="20" customHeight="1">
      <c r="C3" s="5" t="inlineStr">
        <is>
          <t>科目</t>
        </is>
      </c>
      <c r="D3" s="5" t="inlineStr">
        <is>
          <t>1月</t>
        </is>
      </c>
      <c r="E3" s="5" t="inlineStr">
        <is>
          <t>2月</t>
        </is>
      </c>
      <c r="F3" s="5" t="inlineStr">
        <is>
          <t>3月</t>
        </is>
      </c>
      <c r="G3" s="5" t="inlineStr">
        <is>
          <t>4月</t>
        </is>
      </c>
      <c r="H3" s="5" t="inlineStr">
        <is>
          <t>5月</t>
        </is>
      </c>
      <c r="I3" s="5" t="inlineStr">
        <is>
          <t>6月</t>
        </is>
      </c>
      <c r="J3" s="5" t="inlineStr">
        <is>
          <t>7月</t>
        </is>
      </c>
      <c r="K3" s="5" t="inlineStr">
        <is>
          <t>8月</t>
        </is>
      </c>
      <c r="L3" s="5" t="inlineStr">
        <is>
          <t>9月</t>
        </is>
      </c>
      <c r="M3" s="5" t="inlineStr">
        <is>
          <t>10月</t>
        </is>
      </c>
      <c r="N3" s="5" t="inlineStr">
        <is>
          <t>11月</t>
        </is>
      </c>
      <c r="O3" s="5" t="inlineStr">
        <is>
          <t>12月</t>
        </is>
      </c>
      <c r="P3" s="5" t="inlineStr">
        <is>
          <t>合计</t>
        </is>
      </c>
      <c r="Q3" s="5" t="inlineStr">
        <is>
          <t>费比</t>
        </is>
      </c>
    </row>
    <row r="4" ht="18" customHeight="1">
      <c r="C4" s="6" t="inlineStr">
        <is>
          <t xml:space="preserve">  一、GMV 层</t>
        </is>
      </c>
    </row>
    <row r="5" ht="17" customHeight="1">
      <c r="C5" s="7" t="inlineStr">
        <is>
          <t>自补前 GMV（月度目标）</t>
        </is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9">
        <f>SUM(D5:O5)</f>
        <v/>
      </c>
      <c r="Q5" s="10" t="inlineStr"/>
      <c r="R5" s="11" t="inlineStr">
        <is>
          <t>渠道填写</t>
        </is>
      </c>
    </row>
    <row r="6" ht="17" customHeight="1">
      <c r="C6" s="12" t="inlineStr">
        <is>
          <t>国补/自补费用率</t>
        </is>
      </c>
      <c r="D6" s="13" t="n">
        <v>0.1</v>
      </c>
      <c r="E6" s="13" t="n">
        <v>0.1</v>
      </c>
      <c r="F6" s="13" t="n">
        <v>0.1</v>
      </c>
      <c r="G6" s="13" t="n">
        <v>0.1</v>
      </c>
      <c r="H6" s="13" t="n">
        <v>0.1</v>
      </c>
      <c r="I6" s="13" t="n">
        <v>0.1</v>
      </c>
      <c r="J6" s="13" t="n">
        <v>0.1</v>
      </c>
      <c r="K6" s="13" t="n">
        <v>0.1</v>
      </c>
      <c r="L6" s="13" t="n">
        <v>0.1</v>
      </c>
      <c r="M6" s="13" t="n">
        <v>0.1</v>
      </c>
      <c r="N6" s="13" t="n">
        <v>0.1</v>
      </c>
      <c r="O6" s="13" t="n">
        <v>0.1</v>
      </c>
      <c r="P6" s="14">
        <f>SUM(D6:O6)</f>
        <v/>
      </c>
      <c r="Q6" s="15" t="inlineStr"/>
    </row>
    <row r="7" ht="17" customHeight="1">
      <c r="C7" s="16" t="inlineStr">
        <is>
          <t>国补/自补费用</t>
        </is>
      </c>
      <c r="D7" s="17">
        <f>D5*D6</f>
        <v/>
      </c>
      <c r="E7" s="17">
        <f>E5*E6</f>
        <v/>
      </c>
      <c r="F7" s="17">
        <f>F5*F6</f>
        <v/>
      </c>
      <c r="G7" s="17">
        <f>G5*G6</f>
        <v/>
      </c>
      <c r="H7" s="17">
        <f>H5*H6</f>
        <v/>
      </c>
      <c r="I7" s="17">
        <f>I5*I6</f>
        <v/>
      </c>
      <c r="J7" s="17">
        <f>J5*J6</f>
        <v/>
      </c>
      <c r="K7" s="17">
        <f>K5*K6</f>
        <v/>
      </c>
      <c r="L7" s="17">
        <f>L5*L6</f>
        <v/>
      </c>
      <c r="M7" s="17">
        <f>M5*M6</f>
        <v/>
      </c>
      <c r="N7" s="17">
        <f>N5*N6</f>
        <v/>
      </c>
      <c r="O7" s="17">
        <f>O5*O6</f>
        <v/>
      </c>
      <c r="P7" s="18">
        <f>SUM(D7:O7)</f>
        <v/>
      </c>
      <c r="Q7" s="19" t="inlineStr"/>
    </row>
    <row r="8" ht="17" customHeight="1">
      <c r="C8" s="20" t="inlineStr">
        <is>
          <t>GMV（剔除国补）</t>
        </is>
      </c>
      <c r="D8" s="21">
        <f>D5-D7</f>
        <v/>
      </c>
      <c r="E8" s="21">
        <f>E5-E7</f>
        <v/>
      </c>
      <c r="F8" s="21">
        <f>F5-F7</f>
        <v/>
      </c>
      <c r="G8" s="21">
        <f>G5-G7</f>
        <v/>
      </c>
      <c r="H8" s="21">
        <f>H5-H7</f>
        <v/>
      </c>
      <c r="I8" s="21">
        <f>I5-I7</f>
        <v/>
      </c>
      <c r="J8" s="21">
        <f>J5-J7</f>
        <v/>
      </c>
      <c r="K8" s="21">
        <f>K5-K7</f>
        <v/>
      </c>
      <c r="L8" s="21">
        <f>L5-L7</f>
        <v/>
      </c>
      <c r="M8" s="21">
        <f>M5-M7</f>
        <v/>
      </c>
      <c r="N8" s="21">
        <f>N5-N7</f>
        <v/>
      </c>
      <c r="O8" s="21">
        <f>O5-O7</f>
        <v/>
      </c>
      <c r="P8" s="21">
        <f>SUM(D8:O8)</f>
        <v/>
      </c>
      <c r="Q8" s="22" t="inlineStr"/>
    </row>
    <row r="9" ht="17" customHeight="1">
      <c r="C9" s="12" t="inlineStr">
        <is>
          <t>退货率</t>
        </is>
      </c>
      <c r="D9" s="13" t="n">
        <v>0.19</v>
      </c>
      <c r="E9" s="13" t="n">
        <v>0.19</v>
      </c>
      <c r="F9" s="13" t="n">
        <v>0.19</v>
      </c>
      <c r="G9" s="13" t="n">
        <v>0.19</v>
      </c>
      <c r="H9" s="13" t="n">
        <v>0.19</v>
      </c>
      <c r="I9" s="13" t="n">
        <v>0.19</v>
      </c>
      <c r="J9" s="13" t="n">
        <v>0.19</v>
      </c>
      <c r="K9" s="13" t="n">
        <v>0.19</v>
      </c>
      <c r="L9" s="13" t="n">
        <v>0.19</v>
      </c>
      <c r="M9" s="13" t="n">
        <v>0.19</v>
      </c>
      <c r="N9" s="13" t="n">
        <v>0.19</v>
      </c>
      <c r="O9" s="13" t="n">
        <v>0.19</v>
      </c>
      <c r="P9" s="14">
        <f>SUM(D9:O9)</f>
        <v/>
      </c>
      <c r="Q9" s="15" t="inlineStr"/>
    </row>
    <row r="10" ht="17" customHeight="1">
      <c r="C10" s="20" t="inlineStr">
        <is>
          <t>GSV（去退货）</t>
        </is>
      </c>
      <c r="D10" s="21">
        <f>D8*(1-D9)</f>
        <v/>
      </c>
      <c r="E10" s="21">
        <f>E8*(1-E9)</f>
        <v/>
      </c>
      <c r="F10" s="21">
        <f>F8*(1-F9)</f>
        <v/>
      </c>
      <c r="G10" s="21">
        <f>G8*(1-G9)</f>
        <v/>
      </c>
      <c r="H10" s="21">
        <f>H8*(1-H9)</f>
        <v/>
      </c>
      <c r="I10" s="21">
        <f>I8*(1-I9)</f>
        <v/>
      </c>
      <c r="J10" s="21">
        <f>J8*(1-J9)</f>
        <v/>
      </c>
      <c r="K10" s="21">
        <f>K8*(1-K9)</f>
        <v/>
      </c>
      <c r="L10" s="21">
        <f>L8*(1-L9)</f>
        <v/>
      </c>
      <c r="M10" s="21">
        <f>M8*(1-M9)</f>
        <v/>
      </c>
      <c r="N10" s="21">
        <f>N8*(1-N9)</f>
        <v/>
      </c>
      <c r="O10" s="21">
        <f>O8*(1-O9)</f>
        <v/>
      </c>
      <c r="P10" s="21">
        <f>SUM(D10:O10)</f>
        <v/>
      </c>
      <c r="Q10" s="22" t="inlineStr"/>
    </row>
    <row r="11" ht="6" customHeight="1"/>
    <row r="12" ht="18" customHeight="1">
      <c r="C12" s="6" t="inlineStr">
        <is>
          <t xml:space="preserve">  二、营业收入层</t>
        </is>
      </c>
    </row>
    <row r="13" ht="17" customHeight="1">
      <c r="C13" s="12" t="inlineStr">
        <is>
          <t>合同折扣及返利费率（线下）</t>
        </is>
      </c>
      <c r="D13" s="13" t="n">
        <v>0.08</v>
      </c>
      <c r="E13" s="13" t="n">
        <v>0.08</v>
      </c>
      <c r="F13" s="13" t="n">
        <v>0.08</v>
      </c>
      <c r="G13" s="13" t="n">
        <v>0.08</v>
      </c>
      <c r="H13" s="13" t="n">
        <v>0.08</v>
      </c>
      <c r="I13" s="13" t="n">
        <v>0.08</v>
      </c>
      <c r="J13" s="13" t="n">
        <v>0.08</v>
      </c>
      <c r="K13" s="13" t="n">
        <v>0.08</v>
      </c>
      <c r="L13" s="13" t="n">
        <v>0.08</v>
      </c>
      <c r="M13" s="13" t="n">
        <v>0.08</v>
      </c>
      <c r="N13" s="13" t="n">
        <v>0.08</v>
      </c>
      <c r="O13" s="13" t="n">
        <v>0.08</v>
      </c>
      <c r="P13" s="14">
        <f>SUM(D13:O13)</f>
        <v/>
      </c>
      <c r="Q13" s="15" t="inlineStr"/>
    </row>
    <row r="14" ht="17" customHeight="1">
      <c r="C14" s="12" t="inlineStr">
        <is>
          <t>国补/自补折扣费率（线上）</t>
        </is>
      </c>
      <c r="D14" s="13" t="n">
        <v>0.1</v>
      </c>
      <c r="E14" s="13" t="n">
        <v>0.1</v>
      </c>
      <c r="F14" s="13" t="n">
        <v>0.1</v>
      </c>
      <c r="G14" s="13" t="n">
        <v>0.1</v>
      </c>
      <c r="H14" s="13" t="n">
        <v>0.1</v>
      </c>
      <c r="I14" s="13" t="n">
        <v>0.1</v>
      </c>
      <c r="J14" s="13" t="n">
        <v>0.1</v>
      </c>
      <c r="K14" s="13" t="n">
        <v>0.1</v>
      </c>
      <c r="L14" s="13" t="n">
        <v>0.1</v>
      </c>
      <c r="M14" s="13" t="n">
        <v>0.1</v>
      </c>
      <c r="N14" s="13" t="n">
        <v>0.1</v>
      </c>
      <c r="O14" s="13" t="n">
        <v>0.1</v>
      </c>
      <c r="P14" s="14">
        <f>SUM(D14:O14)</f>
        <v/>
      </c>
      <c r="Q14" s="15" t="inlineStr"/>
    </row>
    <row r="15" ht="17" customHeight="1">
      <c r="C15" s="12" t="inlineStr">
        <is>
          <t>红包/促销折扣费率</t>
        </is>
      </c>
      <c r="D15" s="13" t="n">
        <v>0.17</v>
      </c>
      <c r="E15" s="13" t="n">
        <v>0.17</v>
      </c>
      <c r="F15" s="13" t="n">
        <v>0.17</v>
      </c>
      <c r="G15" s="13" t="n">
        <v>0.17</v>
      </c>
      <c r="H15" s="13" t="n">
        <v>0.17</v>
      </c>
      <c r="I15" s="13" t="n">
        <v>0.17</v>
      </c>
      <c r="J15" s="13" t="n">
        <v>0.17</v>
      </c>
      <c r="K15" s="13" t="n">
        <v>0.17</v>
      </c>
      <c r="L15" s="13" t="n">
        <v>0.17</v>
      </c>
      <c r="M15" s="13" t="n">
        <v>0.17</v>
      </c>
      <c r="N15" s="13" t="n">
        <v>0.17</v>
      </c>
      <c r="O15" s="13" t="n">
        <v>0.17</v>
      </c>
      <c r="P15" s="14">
        <f>SUM(D15:O15)</f>
        <v/>
      </c>
      <c r="Q15" s="15" t="inlineStr"/>
    </row>
    <row r="16" ht="17" customHeight="1">
      <c r="C16" s="16" t="inlineStr">
        <is>
          <t>TTL折扣合计</t>
        </is>
      </c>
      <c r="D16" s="17">
        <f>(D13+D14+D15)*D10</f>
        <v/>
      </c>
      <c r="E16" s="17">
        <f>(E13+E14+E15)*E10</f>
        <v/>
      </c>
      <c r="F16" s="17">
        <f>(F13+F14+F15)*F10</f>
        <v/>
      </c>
      <c r="G16" s="17">
        <f>(G13+G14+G15)*G10</f>
        <v/>
      </c>
      <c r="H16" s="17">
        <f>(H13+H14+H15)*H10</f>
        <v/>
      </c>
      <c r="I16" s="17">
        <f>(I13+I14+I15)*I10</f>
        <v/>
      </c>
      <c r="J16" s="17">
        <f>(J13+J14+J15)*J10</f>
        <v/>
      </c>
      <c r="K16" s="17">
        <f>(K13+K14+K15)*K10</f>
        <v/>
      </c>
      <c r="L16" s="17">
        <f>(L13+L14+L15)*L10</f>
        <v/>
      </c>
      <c r="M16" s="17">
        <f>(M13+M14+M15)*M10</f>
        <v/>
      </c>
      <c r="N16" s="17">
        <f>(N13+N14+N15)*N10</f>
        <v/>
      </c>
      <c r="O16" s="17">
        <f>(O13+O14+O15)*O10</f>
        <v/>
      </c>
      <c r="P16" s="18">
        <f>SUM(D16:O16)</f>
        <v/>
      </c>
      <c r="Q16" s="19" t="inlineStr"/>
    </row>
    <row r="17" ht="17" customHeight="1">
      <c r="C17" s="20" t="inlineStr">
        <is>
          <t>营业收入（净销售收入）</t>
        </is>
      </c>
      <c r="D17" s="21">
        <f>D10-D16</f>
        <v/>
      </c>
      <c r="E17" s="21">
        <f>E10-E16</f>
        <v/>
      </c>
      <c r="F17" s="21">
        <f>F10-F16</f>
        <v/>
      </c>
      <c r="G17" s="21">
        <f>G10-G16</f>
        <v/>
      </c>
      <c r="H17" s="21">
        <f>H10-H16</f>
        <v/>
      </c>
      <c r="I17" s="21">
        <f>I10-I16</f>
        <v/>
      </c>
      <c r="J17" s="21">
        <f>J10-J16</f>
        <v/>
      </c>
      <c r="K17" s="21">
        <f>K10-K16</f>
        <v/>
      </c>
      <c r="L17" s="21">
        <f>L10-L16</f>
        <v/>
      </c>
      <c r="M17" s="21">
        <f>M10-M16</f>
        <v/>
      </c>
      <c r="N17" s="21">
        <f>N10-N16</f>
        <v/>
      </c>
      <c r="O17" s="21">
        <f>O10-O16</f>
        <v/>
      </c>
      <c r="P17" s="21">
        <f>SUM(D17:O17)</f>
        <v/>
      </c>
      <c r="Q17" s="22" t="inlineStr"/>
    </row>
    <row r="18" ht="6" customHeight="1"/>
    <row r="19" ht="18" customHeight="1">
      <c r="C19" s="6" t="inlineStr">
        <is>
          <t xml:space="preserve">  三、毛利层</t>
        </is>
      </c>
    </row>
    <row r="20" ht="17" customHeight="1">
      <c r="C20" s="12" t="inlineStr">
        <is>
          <t>标准主品及配件成本率</t>
        </is>
      </c>
      <c r="D20" s="13" t="n">
        <v>0.46</v>
      </c>
      <c r="E20" s="13" t="n">
        <v>0.46</v>
      </c>
      <c r="F20" s="13" t="n">
        <v>0.46</v>
      </c>
      <c r="G20" s="13" t="n">
        <v>0.46</v>
      </c>
      <c r="H20" s="13" t="n">
        <v>0.46</v>
      </c>
      <c r="I20" s="13" t="n">
        <v>0.46</v>
      </c>
      <c r="J20" s="13" t="n">
        <v>0.46</v>
      </c>
      <c r="K20" s="13" t="n">
        <v>0.46</v>
      </c>
      <c r="L20" s="13" t="n">
        <v>0.46</v>
      </c>
      <c r="M20" s="13" t="n">
        <v>0.46</v>
      </c>
      <c r="N20" s="13" t="n">
        <v>0.46</v>
      </c>
      <c r="O20" s="13" t="n">
        <v>0.46</v>
      </c>
      <c r="P20" s="14">
        <f>SUM(D20:O20)</f>
        <v/>
      </c>
      <c r="Q20" s="15" t="inlineStr"/>
    </row>
    <row r="21" ht="17" customHeight="1">
      <c r="C21" s="16" t="inlineStr">
        <is>
          <t>标准主品及配件成本</t>
        </is>
      </c>
      <c r="D21" s="17">
        <f>D17*D20</f>
        <v/>
      </c>
      <c r="E21" s="17">
        <f>E17*E20</f>
        <v/>
      </c>
      <c r="F21" s="17">
        <f>F17*F20</f>
        <v/>
      </c>
      <c r="G21" s="17">
        <f>G17*G20</f>
        <v/>
      </c>
      <c r="H21" s="17">
        <f>H17*H20</f>
        <v/>
      </c>
      <c r="I21" s="17">
        <f>I17*I20</f>
        <v/>
      </c>
      <c r="J21" s="17">
        <f>J17*J20</f>
        <v/>
      </c>
      <c r="K21" s="17">
        <f>K17*K20</f>
        <v/>
      </c>
      <c r="L21" s="17">
        <f>L17*L20</f>
        <v/>
      </c>
      <c r="M21" s="17">
        <f>M17*M20</f>
        <v/>
      </c>
      <c r="N21" s="17">
        <f>N17*N20</f>
        <v/>
      </c>
      <c r="O21" s="17">
        <f>O17*O20</f>
        <v/>
      </c>
      <c r="P21" s="18">
        <f>SUM(D21:O21)</f>
        <v/>
      </c>
      <c r="Q21" s="19" t="inlineStr"/>
    </row>
    <row r="22" ht="17" customHeight="1">
      <c r="C22" s="20" t="inlineStr">
        <is>
          <t>产品毛利</t>
        </is>
      </c>
      <c r="D22" s="21">
        <f>D17-D21</f>
        <v/>
      </c>
      <c r="E22" s="21">
        <f>E17-E21</f>
        <v/>
      </c>
      <c r="F22" s="21">
        <f>F17-F21</f>
        <v/>
      </c>
      <c r="G22" s="21">
        <f>G17-G21</f>
        <v/>
      </c>
      <c r="H22" s="21">
        <f>H17-H21</f>
        <v/>
      </c>
      <c r="I22" s="21">
        <f>I17-I21</f>
        <v/>
      </c>
      <c r="J22" s="21">
        <f>J17-J21</f>
        <v/>
      </c>
      <c r="K22" s="21">
        <f>K17-K21</f>
        <v/>
      </c>
      <c r="L22" s="21">
        <f>L17-L21</f>
        <v/>
      </c>
      <c r="M22" s="21">
        <f>M17-M21</f>
        <v/>
      </c>
      <c r="N22" s="21">
        <f>N17-N21</f>
        <v/>
      </c>
      <c r="O22" s="21">
        <f>O17-O21</f>
        <v/>
      </c>
      <c r="P22" s="21">
        <f>SUM(D22:O22)</f>
        <v/>
      </c>
      <c r="Q22" s="22" t="inlineStr"/>
    </row>
    <row r="23" ht="17" customHeight="1">
      <c r="C23" s="12" t="inlineStr">
        <is>
          <t>物流/仓储费率</t>
        </is>
      </c>
      <c r="D23" s="13" t="n">
        <v>0.01</v>
      </c>
      <c r="E23" s="13" t="n">
        <v>0.01</v>
      </c>
      <c r="F23" s="13" t="n">
        <v>0.01</v>
      </c>
      <c r="G23" s="13" t="n">
        <v>0.01</v>
      </c>
      <c r="H23" s="13" t="n">
        <v>0.01</v>
      </c>
      <c r="I23" s="13" t="n">
        <v>0.01</v>
      </c>
      <c r="J23" s="13" t="n">
        <v>0.01</v>
      </c>
      <c r="K23" s="13" t="n">
        <v>0.01</v>
      </c>
      <c r="L23" s="13" t="n">
        <v>0.01</v>
      </c>
      <c r="M23" s="13" t="n">
        <v>0.01</v>
      </c>
      <c r="N23" s="13" t="n">
        <v>0.01</v>
      </c>
      <c r="O23" s="13" t="n">
        <v>0.01</v>
      </c>
      <c r="P23" s="14">
        <f>SUM(D23:O23)</f>
        <v/>
      </c>
      <c r="Q23" s="15" t="inlineStr"/>
    </row>
    <row r="24" ht="17" customHeight="1">
      <c r="C24" s="16" t="inlineStr">
        <is>
          <t>物流/仓储费用</t>
        </is>
      </c>
      <c r="D24" s="17">
        <f>D17*D23</f>
        <v/>
      </c>
      <c r="E24" s="17">
        <f>E17*E23</f>
        <v/>
      </c>
      <c r="F24" s="17">
        <f>F17*F23</f>
        <v/>
      </c>
      <c r="G24" s="17">
        <f>G17*G23</f>
        <v/>
      </c>
      <c r="H24" s="17">
        <f>H17*H23</f>
        <v/>
      </c>
      <c r="I24" s="17">
        <f>I17*I23</f>
        <v/>
      </c>
      <c r="J24" s="17">
        <f>J17*J23</f>
        <v/>
      </c>
      <c r="K24" s="17">
        <f>K17*K23</f>
        <v/>
      </c>
      <c r="L24" s="17">
        <f>L17*L23</f>
        <v/>
      </c>
      <c r="M24" s="17">
        <f>M17*M23</f>
        <v/>
      </c>
      <c r="N24" s="17">
        <f>N17*N23</f>
        <v/>
      </c>
      <c r="O24" s="17">
        <f>O17*O23</f>
        <v/>
      </c>
      <c r="P24" s="18">
        <f>SUM(D24:O24)</f>
        <v/>
      </c>
      <c r="Q24" s="19" t="inlineStr"/>
    </row>
    <row r="25" ht="17" customHeight="1">
      <c r="C25" s="20" t="inlineStr">
        <is>
          <t>净毛利</t>
        </is>
      </c>
      <c r="D25" s="21">
        <f>D22-D24</f>
        <v/>
      </c>
      <c r="E25" s="21">
        <f>E22-E24</f>
        <v/>
      </c>
      <c r="F25" s="21">
        <f>F22-F24</f>
        <v/>
      </c>
      <c r="G25" s="21">
        <f>G22-G24</f>
        <v/>
      </c>
      <c r="H25" s="21">
        <f>H22-H24</f>
        <v/>
      </c>
      <c r="I25" s="21">
        <f>I22-I24</f>
        <v/>
      </c>
      <c r="J25" s="21">
        <f>J22-J24</f>
        <v/>
      </c>
      <c r="K25" s="21">
        <f>K22-K24</f>
        <v/>
      </c>
      <c r="L25" s="21">
        <f>L22-L24</f>
        <v/>
      </c>
      <c r="M25" s="21">
        <f>M22-M24</f>
        <v/>
      </c>
      <c r="N25" s="21">
        <f>N22-N24</f>
        <v/>
      </c>
      <c r="O25" s="21">
        <f>O22-O24</f>
        <v/>
      </c>
      <c r="P25" s="21">
        <f>SUM(D25:O25)</f>
        <v/>
      </c>
      <c r="Q25" s="22" t="inlineStr"/>
    </row>
    <row r="26" ht="6" customHeight="1"/>
    <row r="27" ht="18" customHeight="1">
      <c r="C27" s="6" t="inlineStr">
        <is>
          <t xml:space="preserve">  四、A&amp;P 营销与运营费用</t>
        </is>
      </c>
    </row>
    <row r="28" ht="17" customHeight="1">
      <c r="C28" s="12" t="inlineStr">
        <is>
          <t>品牌/内容/达人费率</t>
        </is>
      </c>
      <c r="D28" s="13" t="n">
        <v>0.07000000000000001</v>
      </c>
      <c r="E28" s="13" t="n">
        <v>0.07000000000000001</v>
      </c>
      <c r="F28" s="13" t="n">
        <v>0.07000000000000001</v>
      </c>
      <c r="G28" s="13" t="n">
        <v>0.07000000000000001</v>
      </c>
      <c r="H28" s="13" t="n">
        <v>0.07000000000000001</v>
      </c>
      <c r="I28" s="13" t="n">
        <v>0.07000000000000001</v>
      </c>
      <c r="J28" s="13" t="n">
        <v>0.07000000000000001</v>
      </c>
      <c r="K28" s="13" t="n">
        <v>0.07000000000000001</v>
      </c>
      <c r="L28" s="13" t="n">
        <v>0.07000000000000001</v>
      </c>
      <c r="M28" s="13" t="n">
        <v>0.07000000000000001</v>
      </c>
      <c r="N28" s="13" t="n">
        <v>0.07000000000000001</v>
      </c>
      <c r="O28" s="13" t="n">
        <v>0.07000000000000001</v>
      </c>
      <c r="P28" s="14">
        <f>SUM(D28:O28)</f>
        <v/>
      </c>
      <c r="Q28" s="15" t="inlineStr"/>
    </row>
    <row r="29" ht="17" customHeight="1">
      <c r="C29" s="16" t="inlineStr">
        <is>
          <t>品牌内容费用</t>
        </is>
      </c>
      <c r="D29" s="17">
        <f>D17*D28</f>
        <v/>
      </c>
      <c r="E29" s="17">
        <f>E17*E28</f>
        <v/>
      </c>
      <c r="F29" s="17">
        <f>F17*F28</f>
        <v/>
      </c>
      <c r="G29" s="17">
        <f>G17*G28</f>
        <v/>
      </c>
      <c r="H29" s="17">
        <f>H17*H28</f>
        <v/>
      </c>
      <c r="I29" s="17">
        <f>I17*I28</f>
        <v/>
      </c>
      <c r="J29" s="17">
        <f>J17*J28</f>
        <v/>
      </c>
      <c r="K29" s="17">
        <f>K17*K28</f>
        <v/>
      </c>
      <c r="L29" s="17">
        <f>L17*L28</f>
        <v/>
      </c>
      <c r="M29" s="17">
        <f>M17*M28</f>
        <v/>
      </c>
      <c r="N29" s="17">
        <f>N17*N28</f>
        <v/>
      </c>
      <c r="O29" s="17">
        <f>O17*O28</f>
        <v/>
      </c>
      <c r="P29" s="18">
        <f>SUM(D29:O29)</f>
        <v/>
      </c>
      <c r="Q29" s="19" t="inlineStr"/>
    </row>
    <row r="30" ht="17" customHeight="1">
      <c r="C30" s="12" t="inlineStr">
        <is>
          <t>站内投放费率</t>
        </is>
      </c>
      <c r="D30" s="13" t="n">
        <v>0</v>
      </c>
      <c r="E30" s="13" t="n">
        <v>0</v>
      </c>
      <c r="F30" s="13" t="n">
        <v>0</v>
      </c>
      <c r="G30" s="13" t="n">
        <v>0</v>
      </c>
      <c r="H30" s="13" t="n">
        <v>0</v>
      </c>
      <c r="I30" s="13" t="n">
        <v>0</v>
      </c>
      <c r="J30" s="13" t="n">
        <v>0</v>
      </c>
      <c r="K30" s="13" t="n">
        <v>0</v>
      </c>
      <c r="L30" s="13" t="n">
        <v>0</v>
      </c>
      <c r="M30" s="13" t="n">
        <v>0</v>
      </c>
      <c r="N30" s="13" t="n">
        <v>0</v>
      </c>
      <c r="O30" s="13" t="n">
        <v>0</v>
      </c>
      <c r="P30" s="14">
        <f>SUM(D30:O30)</f>
        <v/>
      </c>
      <c r="Q30" s="15" t="inlineStr"/>
    </row>
    <row r="31" ht="17" customHeight="1">
      <c r="C31" s="12" t="inlineStr">
        <is>
          <t>千川投放费率</t>
        </is>
      </c>
      <c r="D31" s="13" t="n">
        <v>0</v>
      </c>
      <c r="E31" s="13" t="n">
        <v>0</v>
      </c>
      <c r="F31" s="13" t="n">
        <v>0</v>
      </c>
      <c r="G31" s="13" t="n">
        <v>0</v>
      </c>
      <c r="H31" s="13" t="n">
        <v>0</v>
      </c>
      <c r="I31" s="13" t="n">
        <v>0</v>
      </c>
      <c r="J31" s="13" t="n">
        <v>0</v>
      </c>
      <c r="K31" s="13" t="n">
        <v>0</v>
      </c>
      <c r="L31" s="13" t="n">
        <v>0</v>
      </c>
      <c r="M31" s="13" t="n">
        <v>0</v>
      </c>
      <c r="N31" s="13" t="n">
        <v>0</v>
      </c>
      <c r="O31" s="13" t="n">
        <v>0</v>
      </c>
      <c r="P31" s="14">
        <f>SUM(D31:O31)</f>
        <v/>
      </c>
      <c r="Q31" s="15" t="inlineStr"/>
    </row>
    <row r="32" ht="17" customHeight="1">
      <c r="C32" s="12" t="inlineStr">
        <is>
          <t>站外投放费率</t>
        </is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4">
        <f>SUM(D32:O32)</f>
        <v/>
      </c>
      <c r="Q32" s="15" t="inlineStr"/>
    </row>
    <row r="33" ht="17" customHeight="1">
      <c r="C33" s="16" t="inlineStr">
        <is>
          <t>效果广告合计</t>
        </is>
      </c>
      <c r="D33" s="17">
        <f>(D30+D31+D32)*D17</f>
        <v/>
      </c>
      <c r="E33" s="17">
        <f>(E30+E31+E32)*E17</f>
        <v/>
      </c>
      <c r="F33" s="17">
        <f>(F30+F31+F32)*F17</f>
        <v/>
      </c>
      <c r="G33" s="17">
        <f>(G30+G31+G32)*G17</f>
        <v/>
      </c>
      <c r="H33" s="17">
        <f>(H30+H31+H32)*H17</f>
        <v/>
      </c>
      <c r="I33" s="17">
        <f>(I30+I31+I32)*I17</f>
        <v/>
      </c>
      <c r="J33" s="17">
        <f>(J30+J31+J32)*J17</f>
        <v/>
      </c>
      <c r="K33" s="17">
        <f>(K30+K31+K32)*K17</f>
        <v/>
      </c>
      <c r="L33" s="17">
        <f>(L30+L31+L32)*L17</f>
        <v/>
      </c>
      <c r="M33" s="17">
        <f>(M30+M31+M32)*M17</f>
        <v/>
      </c>
      <c r="N33" s="17">
        <f>(N30+N31+N32)*N17</f>
        <v/>
      </c>
      <c r="O33" s="17">
        <f>(O30+O31+O32)*O17</f>
        <v/>
      </c>
      <c r="P33" s="18">
        <f>SUM(D33:O33)</f>
        <v/>
      </c>
      <c r="Q33" s="19" t="inlineStr"/>
    </row>
    <row r="34" ht="17" customHeight="1">
      <c r="C34" s="12" t="inlineStr">
        <is>
          <t>线上运营费率（直播+赠品）</t>
        </is>
      </c>
      <c r="D34" s="13" t="n">
        <v>0.03</v>
      </c>
      <c r="E34" s="13" t="n">
        <v>0.03</v>
      </c>
      <c r="F34" s="13" t="n">
        <v>0.03</v>
      </c>
      <c r="G34" s="13" t="n">
        <v>0.03</v>
      </c>
      <c r="H34" s="13" t="n">
        <v>0.03</v>
      </c>
      <c r="I34" s="13" t="n">
        <v>0.03</v>
      </c>
      <c r="J34" s="13" t="n">
        <v>0.03</v>
      </c>
      <c r="K34" s="13" t="n">
        <v>0.03</v>
      </c>
      <c r="L34" s="13" t="n">
        <v>0.03</v>
      </c>
      <c r="M34" s="13" t="n">
        <v>0.03</v>
      </c>
      <c r="N34" s="13" t="n">
        <v>0.03</v>
      </c>
      <c r="O34" s="13" t="n">
        <v>0.03</v>
      </c>
      <c r="P34" s="14">
        <f>SUM(D34:O34)</f>
        <v/>
      </c>
      <c r="Q34" s="15" t="inlineStr"/>
    </row>
    <row r="35" ht="17" customHeight="1">
      <c r="C35" s="16" t="inlineStr">
        <is>
          <t>线上运营费用</t>
        </is>
      </c>
      <c r="D35" s="17">
        <f>D17*D34</f>
        <v/>
      </c>
      <c r="E35" s="17">
        <f>E17*E34</f>
        <v/>
      </c>
      <c r="F35" s="17">
        <f>F17*F34</f>
        <v/>
      </c>
      <c r="G35" s="17">
        <f>G17*G34</f>
        <v/>
      </c>
      <c r="H35" s="17">
        <f>H17*H34</f>
        <v/>
      </c>
      <c r="I35" s="17">
        <f>I17*I34</f>
        <v/>
      </c>
      <c r="J35" s="17">
        <f>J17*J34</f>
        <v/>
      </c>
      <c r="K35" s="17">
        <f>K17*K34</f>
        <v/>
      </c>
      <c r="L35" s="17">
        <f>L17*L34</f>
        <v/>
      </c>
      <c r="M35" s="17">
        <f>M17*M34</f>
        <v/>
      </c>
      <c r="N35" s="17">
        <f>N17*N34</f>
        <v/>
      </c>
      <c r="O35" s="17">
        <f>O17*O34</f>
        <v/>
      </c>
      <c r="P35" s="18">
        <f>SUM(D35:O35)</f>
        <v/>
      </c>
      <c r="Q35" s="19" t="inlineStr"/>
    </row>
    <row r="36" ht="17" customHeight="1">
      <c r="C36" s="7" t="inlineStr">
        <is>
          <t>线下市场/渠道费用（预算）</t>
        </is>
      </c>
      <c r="D36" s="8" t="n">
        <v>80000</v>
      </c>
      <c r="E36" s="8" t="n">
        <v>80000</v>
      </c>
      <c r="F36" s="8" t="n">
        <v>80000</v>
      </c>
      <c r="G36" s="8" t="n">
        <v>80000</v>
      </c>
      <c r="H36" s="8" t="n">
        <v>80000</v>
      </c>
      <c r="I36" s="8" t="n">
        <v>80000</v>
      </c>
      <c r="J36" s="8" t="n">
        <v>80000</v>
      </c>
      <c r="K36" s="8" t="n">
        <v>80000</v>
      </c>
      <c r="L36" s="8" t="n">
        <v>80000</v>
      </c>
      <c r="M36" s="8" t="n">
        <v>80000</v>
      </c>
      <c r="N36" s="8" t="n">
        <v>80000</v>
      </c>
      <c r="O36" s="8" t="n">
        <v>80000</v>
      </c>
      <c r="P36" s="9">
        <f>SUM(D36:O36)</f>
        <v/>
      </c>
      <c r="Q36" s="10" t="inlineStr"/>
    </row>
    <row r="37" ht="17" customHeight="1">
      <c r="C37" s="12" t="inlineStr">
        <is>
          <t>平台佣金费率</t>
        </is>
      </c>
      <c r="D37" s="13" t="n">
        <v>0</v>
      </c>
      <c r="E37" s="13" t="n">
        <v>0</v>
      </c>
      <c r="F37" s="13" t="n">
        <v>0</v>
      </c>
      <c r="G37" s="13" t="n">
        <v>0</v>
      </c>
      <c r="H37" s="13" t="n">
        <v>0</v>
      </c>
      <c r="I37" s="13" t="n">
        <v>0</v>
      </c>
      <c r="J37" s="13" t="n">
        <v>0</v>
      </c>
      <c r="K37" s="13" t="n">
        <v>0</v>
      </c>
      <c r="L37" s="13" t="n">
        <v>0</v>
      </c>
      <c r="M37" s="13" t="n">
        <v>0</v>
      </c>
      <c r="N37" s="13" t="n">
        <v>0</v>
      </c>
      <c r="O37" s="13" t="n">
        <v>0</v>
      </c>
      <c r="P37" s="14">
        <f>SUM(D37:O37)</f>
        <v/>
      </c>
      <c r="Q37" s="15" t="inlineStr"/>
    </row>
    <row r="38" ht="17" customHeight="1">
      <c r="C38" s="16" t="inlineStr">
        <is>
          <t>平台佣金</t>
        </is>
      </c>
      <c r="D38" s="17">
        <f>D17*D37</f>
        <v/>
      </c>
      <c r="E38" s="17">
        <f>E17*E37</f>
        <v/>
      </c>
      <c r="F38" s="17">
        <f>F17*F37</f>
        <v/>
      </c>
      <c r="G38" s="17">
        <f>G17*G37</f>
        <v/>
      </c>
      <c r="H38" s="17">
        <f>H17*H37</f>
        <v/>
      </c>
      <c r="I38" s="17">
        <f>I17*I37</f>
        <v/>
      </c>
      <c r="J38" s="17">
        <f>J17*J37</f>
        <v/>
      </c>
      <c r="K38" s="17">
        <f>K17*K37</f>
        <v/>
      </c>
      <c r="L38" s="17">
        <f>L17*L37</f>
        <v/>
      </c>
      <c r="M38" s="17">
        <f>M17*M37</f>
        <v/>
      </c>
      <c r="N38" s="17">
        <f>N17*N37</f>
        <v/>
      </c>
      <c r="O38" s="17">
        <f>O17*O37</f>
        <v/>
      </c>
      <c r="P38" s="18">
        <f>SUM(D38:O38)</f>
        <v/>
      </c>
      <c r="Q38" s="19" t="inlineStr"/>
    </row>
    <row r="39" ht="17" customHeight="1">
      <c r="C39" s="12" t="inlineStr">
        <is>
          <t>平台其他费率</t>
        </is>
      </c>
      <c r="D39" s="13" t="n">
        <v>0.014</v>
      </c>
      <c r="E39" s="13" t="n">
        <v>0.014</v>
      </c>
      <c r="F39" s="13" t="n">
        <v>0.014</v>
      </c>
      <c r="G39" s="13" t="n">
        <v>0.014</v>
      </c>
      <c r="H39" s="13" t="n">
        <v>0.014</v>
      </c>
      <c r="I39" s="13" t="n">
        <v>0.014</v>
      </c>
      <c r="J39" s="13" t="n">
        <v>0.014</v>
      </c>
      <c r="K39" s="13" t="n">
        <v>0.014</v>
      </c>
      <c r="L39" s="13" t="n">
        <v>0.014</v>
      </c>
      <c r="M39" s="13" t="n">
        <v>0.014</v>
      </c>
      <c r="N39" s="13" t="n">
        <v>0.014</v>
      </c>
      <c r="O39" s="13" t="n">
        <v>0.014</v>
      </c>
      <c r="P39" s="14">
        <f>SUM(D39:O39)</f>
        <v/>
      </c>
      <c r="Q39" s="15" t="inlineStr"/>
    </row>
    <row r="40" ht="17" customHeight="1">
      <c r="C40" s="16" t="inlineStr">
        <is>
          <t>平台其他费用</t>
        </is>
      </c>
      <c r="D40" s="17">
        <f>D17*D39</f>
        <v/>
      </c>
      <c r="E40" s="17">
        <f>E17*E39</f>
        <v/>
      </c>
      <c r="F40" s="17">
        <f>F17*F39</f>
        <v/>
      </c>
      <c r="G40" s="17">
        <f>G17*G39</f>
        <v/>
      </c>
      <c r="H40" s="17">
        <f>H17*H39</f>
        <v/>
      </c>
      <c r="I40" s="17">
        <f>I17*I39</f>
        <v/>
      </c>
      <c r="J40" s="17">
        <f>J17*J39</f>
        <v/>
      </c>
      <c r="K40" s="17">
        <f>K17*K39</f>
        <v/>
      </c>
      <c r="L40" s="17">
        <f>L17*L39</f>
        <v/>
      </c>
      <c r="M40" s="17">
        <f>M17*M39</f>
        <v/>
      </c>
      <c r="N40" s="17">
        <f>N17*N39</f>
        <v/>
      </c>
      <c r="O40" s="17">
        <f>O17*O39</f>
        <v/>
      </c>
      <c r="P40" s="18">
        <f>SUM(D40:O40)</f>
        <v/>
      </c>
      <c r="Q40" s="19" t="inlineStr"/>
    </row>
    <row r="41" ht="17" customHeight="1">
      <c r="C41" s="12" t="inlineStr">
        <is>
          <t>售后费率</t>
        </is>
      </c>
      <c r="D41" s="13" t="n">
        <v>0.03</v>
      </c>
      <c r="E41" s="13" t="n">
        <v>0.03</v>
      </c>
      <c r="F41" s="13" t="n">
        <v>0.03</v>
      </c>
      <c r="G41" s="13" t="n">
        <v>0.03</v>
      </c>
      <c r="H41" s="13" t="n">
        <v>0.03</v>
      </c>
      <c r="I41" s="13" t="n">
        <v>0.03</v>
      </c>
      <c r="J41" s="13" t="n">
        <v>0.03</v>
      </c>
      <c r="K41" s="13" t="n">
        <v>0.03</v>
      </c>
      <c r="L41" s="13" t="n">
        <v>0.03</v>
      </c>
      <c r="M41" s="13" t="n">
        <v>0.03</v>
      </c>
      <c r="N41" s="13" t="n">
        <v>0.03</v>
      </c>
      <c r="O41" s="13" t="n">
        <v>0.03</v>
      </c>
      <c r="P41" s="14">
        <f>SUM(D41:O41)</f>
        <v/>
      </c>
      <c r="Q41" s="15" t="inlineStr"/>
    </row>
    <row r="42" ht="17" customHeight="1">
      <c r="C42" s="16" t="inlineStr">
        <is>
          <t>售后费用</t>
        </is>
      </c>
      <c r="D42" s="17">
        <f>D17*D41</f>
        <v/>
      </c>
      <c r="E42" s="17">
        <f>E17*E41</f>
        <v/>
      </c>
      <c r="F42" s="17">
        <f>F17*F41</f>
        <v/>
      </c>
      <c r="G42" s="17">
        <f>G17*G41</f>
        <v/>
      </c>
      <c r="H42" s="17">
        <f>H17*H41</f>
        <v/>
      </c>
      <c r="I42" s="17">
        <f>I17*I41</f>
        <v/>
      </c>
      <c r="J42" s="17">
        <f>J17*J41</f>
        <v/>
      </c>
      <c r="K42" s="17">
        <f>K17*K41</f>
        <v/>
      </c>
      <c r="L42" s="17">
        <f>L17*L41</f>
        <v/>
      </c>
      <c r="M42" s="17">
        <f>M17*M41</f>
        <v/>
      </c>
      <c r="N42" s="17">
        <f>N17*N41</f>
        <v/>
      </c>
      <c r="O42" s="17">
        <f>O17*O41</f>
        <v/>
      </c>
      <c r="P42" s="18">
        <f>SUM(D42:O42)</f>
        <v/>
      </c>
      <c r="Q42" s="19" t="inlineStr"/>
    </row>
    <row r="43" ht="17" customHeight="1">
      <c r="C43" s="12" t="inlineStr">
        <is>
          <t>店铺运营综合费率</t>
        </is>
      </c>
      <c r="D43" s="13" t="n">
        <v>0.08</v>
      </c>
      <c r="E43" s="13" t="n">
        <v>0.08</v>
      </c>
      <c r="F43" s="13" t="n">
        <v>0.08</v>
      </c>
      <c r="G43" s="13" t="n">
        <v>0.08</v>
      </c>
      <c r="H43" s="13" t="n">
        <v>0.08</v>
      </c>
      <c r="I43" s="13" t="n">
        <v>0.08</v>
      </c>
      <c r="J43" s="13" t="n">
        <v>0.08</v>
      </c>
      <c r="K43" s="13" t="n">
        <v>0.08</v>
      </c>
      <c r="L43" s="13" t="n">
        <v>0.08</v>
      </c>
      <c r="M43" s="13" t="n">
        <v>0.08</v>
      </c>
      <c r="N43" s="13" t="n">
        <v>0.08</v>
      </c>
      <c r="O43" s="13" t="n">
        <v>0.08</v>
      </c>
      <c r="P43" s="14">
        <f>SUM(D43:O43)</f>
        <v/>
      </c>
      <c r="Q43" s="15" t="inlineStr"/>
    </row>
    <row r="44" ht="17" customHeight="1">
      <c r="C44" s="16" t="inlineStr">
        <is>
          <t>店铺运营费用</t>
        </is>
      </c>
      <c r="D44" s="17">
        <f>D17*D43</f>
        <v/>
      </c>
      <c r="E44" s="17">
        <f>E17*E43</f>
        <v/>
      </c>
      <c r="F44" s="17">
        <f>F17*F43</f>
        <v/>
      </c>
      <c r="G44" s="17">
        <f>G17*G43</f>
        <v/>
      </c>
      <c r="H44" s="17">
        <f>H17*H43</f>
        <v/>
      </c>
      <c r="I44" s="17">
        <f>I17*I43</f>
        <v/>
      </c>
      <c r="J44" s="17">
        <f>J17*J43</f>
        <v/>
      </c>
      <c r="K44" s="17">
        <f>K17*K43</f>
        <v/>
      </c>
      <c r="L44" s="17">
        <f>L17*L43</f>
        <v/>
      </c>
      <c r="M44" s="17">
        <f>M17*M43</f>
        <v/>
      </c>
      <c r="N44" s="17">
        <f>N17*N43</f>
        <v/>
      </c>
      <c r="O44" s="17">
        <f>O17*O43</f>
        <v/>
      </c>
      <c r="P44" s="18">
        <f>SUM(D44:O44)</f>
        <v/>
      </c>
      <c r="Q44" s="19" t="inlineStr"/>
    </row>
    <row r="45" ht="17" customHeight="1">
      <c r="C45" s="20" t="inlineStr">
        <is>
          <t>A&amp;P 合计</t>
        </is>
      </c>
      <c r="D45" s="21">
        <f>D29+D33+D35+D36+D38+D40+D42+D44</f>
        <v/>
      </c>
      <c r="E45" s="21">
        <f>E29+E33+E35+E36+E38+E40+E42+E44</f>
        <v/>
      </c>
      <c r="F45" s="21">
        <f>F29+F33+F35+F36+F38+F40+F42+F44</f>
        <v/>
      </c>
      <c r="G45" s="21">
        <f>G29+G33+G35+G36+G38+G40+G42+G44</f>
        <v/>
      </c>
      <c r="H45" s="21">
        <f>H29+H33+H35+H36+H38+H40+H42+H44</f>
        <v/>
      </c>
      <c r="I45" s="21">
        <f>I29+I33+I35+I36+I38+I40+I42+I44</f>
        <v/>
      </c>
      <c r="J45" s="21">
        <f>J29+J33+J35+J36+J38+J40+J42+J44</f>
        <v/>
      </c>
      <c r="K45" s="21">
        <f>K29+K33+K35+K36+K38+K40+K42+K44</f>
        <v/>
      </c>
      <c r="L45" s="21">
        <f>L29+L33+L35+L36+L38+L40+L42+L44</f>
        <v/>
      </c>
      <c r="M45" s="21">
        <f>M29+M33+M35+M36+M38+M40+M42+M44</f>
        <v/>
      </c>
      <c r="N45" s="21">
        <f>N29+N33+N35+N36+N38+N40+N42+N44</f>
        <v/>
      </c>
      <c r="O45" s="21">
        <f>O29+O33+O35+O36+O38+O40+O42+O44</f>
        <v/>
      </c>
      <c r="P45" s="21">
        <f>SUM(D45:O45)</f>
        <v/>
      </c>
      <c r="Q45" s="22" t="inlineStr"/>
    </row>
    <row r="46" ht="6" customHeight="1"/>
    <row r="47" ht="18" customHeight="1">
      <c r="C47" s="6" t="inlineStr">
        <is>
          <t xml:space="preserve">  五、店铺利润（渠道贡献）</t>
        </is>
      </c>
    </row>
    <row r="48" ht="17" customHeight="1">
      <c r="C48" s="20" t="inlineStr">
        <is>
          <t>店铺利润</t>
        </is>
      </c>
      <c r="D48" s="21">
        <f>D25-D45</f>
        <v/>
      </c>
      <c r="E48" s="21">
        <f>E25-E45</f>
        <v/>
      </c>
      <c r="F48" s="21">
        <f>F25-F45</f>
        <v/>
      </c>
      <c r="G48" s="21">
        <f>G25-G45</f>
        <v/>
      </c>
      <c r="H48" s="21">
        <f>H25-H45</f>
        <v/>
      </c>
      <c r="I48" s="21">
        <f>I25-I45</f>
        <v/>
      </c>
      <c r="J48" s="21">
        <f>J25-J45</f>
        <v/>
      </c>
      <c r="K48" s="21">
        <f>K25-K45</f>
        <v/>
      </c>
      <c r="L48" s="21">
        <f>L25-L45</f>
        <v/>
      </c>
      <c r="M48" s="21">
        <f>M25-M45</f>
        <v/>
      </c>
      <c r="N48" s="21">
        <f>N25-N45</f>
        <v/>
      </c>
      <c r="O48" s="21">
        <f>O25-O45</f>
        <v/>
      </c>
      <c r="P48" s="21">
        <f>SUM(D48:O48)</f>
        <v/>
      </c>
      <c r="Q48" s="22" t="inlineStr"/>
    </row>
    <row r="49" ht="6" customHeight="1"/>
    <row r="50" ht="18" customHeight="1">
      <c r="C50" s="6" t="inlineStr">
        <is>
          <t xml:space="preserve">  六、BU 可控 / 贡献层</t>
        </is>
      </c>
    </row>
    <row r="51" ht="17" customHeight="1">
      <c r="C51" s="7" t="inlineStr">
        <is>
          <t>销售管理费用（预算）</t>
        </is>
      </c>
      <c r="D51" s="8" t="n">
        <v>500000</v>
      </c>
      <c r="E51" s="8" t="n">
        <v>500000</v>
      </c>
      <c r="F51" s="8" t="n">
        <v>500000</v>
      </c>
      <c r="G51" s="8" t="n">
        <v>500000</v>
      </c>
      <c r="H51" s="8" t="n">
        <v>500000</v>
      </c>
      <c r="I51" s="8" t="n">
        <v>500000</v>
      </c>
      <c r="J51" s="8" t="n">
        <v>500000</v>
      </c>
      <c r="K51" s="8" t="n">
        <v>500000</v>
      </c>
      <c r="L51" s="8" t="n">
        <v>500000</v>
      </c>
      <c r="M51" s="8" t="n">
        <v>500000</v>
      </c>
      <c r="N51" s="8" t="n">
        <v>500000</v>
      </c>
      <c r="O51" s="8" t="n">
        <v>500000</v>
      </c>
      <c r="P51" s="9">
        <f>SUM(D51:O51)</f>
        <v/>
      </c>
      <c r="Q51" s="10" t="inlineStr"/>
    </row>
    <row r="52" ht="17" customHeight="1">
      <c r="C52" s="7" t="inlineStr">
        <is>
          <t>研发费用（预算）</t>
        </is>
      </c>
      <c r="D52" s="8" t="n">
        <v>3000000</v>
      </c>
      <c r="E52" s="8" t="n">
        <v>3000000</v>
      </c>
      <c r="F52" s="8" t="n">
        <v>3000000</v>
      </c>
      <c r="G52" s="8" t="n">
        <v>3000000</v>
      </c>
      <c r="H52" s="8" t="n">
        <v>3000000</v>
      </c>
      <c r="I52" s="8" t="n">
        <v>3000000</v>
      </c>
      <c r="J52" s="8" t="n">
        <v>3000000</v>
      </c>
      <c r="K52" s="8" t="n">
        <v>3000000</v>
      </c>
      <c r="L52" s="8" t="n">
        <v>3000000</v>
      </c>
      <c r="M52" s="8" t="n">
        <v>3000000</v>
      </c>
      <c r="N52" s="8" t="n">
        <v>3000000</v>
      </c>
      <c r="O52" s="8" t="n">
        <v>3000000</v>
      </c>
      <c r="P52" s="9">
        <f>SUM(D52:O52)</f>
        <v/>
      </c>
      <c r="Q52" s="10" t="inlineStr"/>
    </row>
    <row r="53" ht="17" customHeight="1">
      <c r="C53" s="16" t="inlineStr">
        <is>
          <t>BU可控费用合计</t>
        </is>
      </c>
      <c r="D53" s="17">
        <f>D51+D52</f>
        <v/>
      </c>
      <c r="E53" s="17">
        <f>E51+E52</f>
        <v/>
      </c>
      <c r="F53" s="17">
        <f>F51+F52</f>
        <v/>
      </c>
      <c r="G53" s="17">
        <f>G51+G52</f>
        <v/>
      </c>
      <c r="H53" s="17">
        <f>H51+H52</f>
        <v/>
      </c>
      <c r="I53" s="17">
        <f>I51+I52</f>
        <v/>
      </c>
      <c r="J53" s="17">
        <f>J51+J52</f>
        <v/>
      </c>
      <c r="K53" s="17">
        <f>K51+K52</f>
        <v/>
      </c>
      <c r="L53" s="17">
        <f>L51+L52</f>
        <v/>
      </c>
      <c r="M53" s="17">
        <f>M51+M52</f>
        <v/>
      </c>
      <c r="N53" s="17">
        <f>N51+N52</f>
        <v/>
      </c>
      <c r="O53" s="17">
        <f>O51+O52</f>
        <v/>
      </c>
      <c r="P53" s="18">
        <f>SUM(D53:O53)</f>
        <v/>
      </c>
      <c r="Q53" s="19" t="inlineStr"/>
    </row>
    <row r="54" ht="17" customHeight="1">
      <c r="C54" s="20" t="inlineStr">
        <is>
          <t>BU 可控利润</t>
        </is>
      </c>
      <c r="D54" s="21">
        <f>D48-D53</f>
        <v/>
      </c>
      <c r="E54" s="21">
        <f>E48-E53</f>
        <v/>
      </c>
      <c r="F54" s="21">
        <f>F48-F53</f>
        <v/>
      </c>
      <c r="G54" s="21">
        <f>G48-G53</f>
        <v/>
      </c>
      <c r="H54" s="21">
        <f>H48-H53</f>
        <v/>
      </c>
      <c r="I54" s="21">
        <f>I48-I53</f>
        <v/>
      </c>
      <c r="J54" s="21">
        <f>J48-J53</f>
        <v/>
      </c>
      <c r="K54" s="21">
        <f>K48-K53</f>
        <v/>
      </c>
      <c r="L54" s="21">
        <f>L48-L53</f>
        <v/>
      </c>
      <c r="M54" s="21">
        <f>M48-M53</f>
        <v/>
      </c>
      <c r="N54" s="21">
        <f>N48-N53</f>
        <v/>
      </c>
      <c r="O54" s="21">
        <f>O48-O53</f>
        <v/>
      </c>
      <c r="P54" s="21">
        <f>SUM(D54:O54)</f>
        <v/>
      </c>
      <c r="Q54" s="22" t="inlineStr"/>
    </row>
    <row r="55" ht="17" customHeight="1">
      <c r="C55" s="7" t="inlineStr">
        <is>
          <t>BU 贡献费用（预算）</t>
        </is>
      </c>
      <c r="D55" s="8" t="n">
        <v>2800000</v>
      </c>
      <c r="E55" s="8" t="n">
        <v>2800000</v>
      </c>
      <c r="F55" s="8" t="n">
        <v>2800000</v>
      </c>
      <c r="G55" s="8" t="n">
        <v>2800000</v>
      </c>
      <c r="H55" s="8" t="n">
        <v>2800000</v>
      </c>
      <c r="I55" s="8" t="n">
        <v>2800000</v>
      </c>
      <c r="J55" s="8" t="n">
        <v>2800000</v>
      </c>
      <c r="K55" s="8" t="n">
        <v>2800000</v>
      </c>
      <c r="L55" s="8" t="n">
        <v>2800000</v>
      </c>
      <c r="M55" s="8" t="n">
        <v>2800000</v>
      </c>
      <c r="N55" s="8" t="n">
        <v>2800000</v>
      </c>
      <c r="O55" s="8" t="n">
        <v>2800000</v>
      </c>
      <c r="P55" s="9">
        <f>SUM(D55:O55)</f>
        <v/>
      </c>
      <c r="Q55" s="10" t="inlineStr"/>
    </row>
    <row r="56" ht="17" customHeight="1">
      <c r="C56" s="20" t="inlineStr">
        <is>
          <t>BU 贡献利润</t>
        </is>
      </c>
      <c r="D56" s="21">
        <f>D54-D55</f>
        <v/>
      </c>
      <c r="E56" s="21">
        <f>E54-E55</f>
        <v/>
      </c>
      <c r="F56" s="21">
        <f>F54-F55</f>
        <v/>
      </c>
      <c r="G56" s="21">
        <f>G54-G55</f>
        <v/>
      </c>
      <c r="H56" s="21">
        <f>H54-H55</f>
        <v/>
      </c>
      <c r="I56" s="21">
        <f>I54-I55</f>
        <v/>
      </c>
      <c r="J56" s="21">
        <f>J54-J55</f>
        <v/>
      </c>
      <c r="K56" s="21">
        <f>K54-K55</f>
        <v/>
      </c>
      <c r="L56" s="21">
        <f>L54-L55</f>
        <v/>
      </c>
      <c r="M56" s="21">
        <f>M54-M55</f>
        <v/>
      </c>
      <c r="N56" s="21">
        <f>N54-N55</f>
        <v/>
      </c>
      <c r="O56" s="21">
        <f>O54-O55</f>
        <v/>
      </c>
      <c r="P56" s="21">
        <f>SUM(D56:O56)</f>
        <v/>
      </c>
      <c r="Q56" s="22" t="inlineStr"/>
    </row>
    <row r="57" ht="17" customHeight="1">
      <c r="C57" s="7" t="inlineStr">
        <is>
          <t>集团分摊费用（预算）</t>
        </is>
      </c>
      <c r="D57" s="8" t="n">
        <v>1200000</v>
      </c>
      <c r="E57" s="8" t="n">
        <v>1200000</v>
      </c>
      <c r="F57" s="8" t="n">
        <v>1200000</v>
      </c>
      <c r="G57" s="8" t="n">
        <v>1200000</v>
      </c>
      <c r="H57" s="8" t="n">
        <v>1200000</v>
      </c>
      <c r="I57" s="8" t="n">
        <v>1200000</v>
      </c>
      <c r="J57" s="8" t="n">
        <v>1200000</v>
      </c>
      <c r="K57" s="8" t="n">
        <v>1200000</v>
      </c>
      <c r="L57" s="8" t="n">
        <v>1200000</v>
      </c>
      <c r="M57" s="8" t="n">
        <v>1200000</v>
      </c>
      <c r="N57" s="8" t="n">
        <v>1200000</v>
      </c>
      <c r="O57" s="8" t="n">
        <v>1200000</v>
      </c>
      <c r="P57" s="9">
        <f>SUM(D57:O57)</f>
        <v/>
      </c>
      <c r="Q57" s="10" t="inlineStr"/>
    </row>
    <row r="58" ht="17" customHeight="1">
      <c r="C58" s="20" t="inlineStr">
        <is>
          <t>净利润</t>
        </is>
      </c>
      <c r="D58" s="21">
        <f>D56-D57</f>
        <v/>
      </c>
      <c r="E58" s="21">
        <f>E56-E57</f>
        <v/>
      </c>
      <c r="F58" s="21">
        <f>F56-F57</f>
        <v/>
      </c>
      <c r="G58" s="21">
        <f>G56-G57</f>
        <v/>
      </c>
      <c r="H58" s="21">
        <f>H56-H57</f>
        <v/>
      </c>
      <c r="I58" s="21">
        <f>I56-I57</f>
        <v/>
      </c>
      <c r="J58" s="21">
        <f>J56-J57</f>
        <v/>
      </c>
      <c r="K58" s="21">
        <f>K56-K57</f>
        <v/>
      </c>
      <c r="L58" s="21">
        <f>L56-L57</f>
        <v/>
      </c>
      <c r="M58" s="21">
        <f>M56-M57</f>
        <v/>
      </c>
      <c r="N58" s="21">
        <f>N56-N57</f>
        <v/>
      </c>
      <c r="O58" s="21">
        <f>O56-O57</f>
        <v/>
      </c>
      <c r="P58" s="21">
        <f>SUM(D58:O58)</f>
        <v/>
      </c>
      <c r="Q58" s="22" t="inlineStr"/>
    </row>
  </sheetData>
  <mergeCells count="7">
    <mergeCell ref="C27:R27"/>
    <mergeCell ref="C2:R2"/>
    <mergeCell ref="C19:R19"/>
    <mergeCell ref="C47:R47"/>
    <mergeCell ref="C50:R50"/>
    <mergeCell ref="C4:R4"/>
    <mergeCell ref="C12:R1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2:R17"/>
  <sheetViews>
    <sheetView showGridLines="0" workbookViewId="0">
      <pane xSplit="3" ySplit="3" topLeftCell="D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" customWidth="1" min="2" max="2"/>
    <col width="2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9" customWidth="1" min="17" max="17"/>
    <col width="28" customWidth="1" min="18" max="18"/>
  </cols>
  <sheetData>
    <row r="1" ht="8" customHeight="1"/>
    <row r="2" ht="28" customHeight="1">
      <c r="C2" s="4" t="inlineStr">
        <is>
          <t>各渠道 GMV 月度目标汇总（万元）</t>
        </is>
      </c>
    </row>
    <row r="3" ht="20" customHeight="1">
      <c r="C3" s="5" t="inlineStr">
        <is>
          <t>科目</t>
        </is>
      </c>
      <c r="D3" s="5" t="inlineStr">
        <is>
          <t>1月</t>
        </is>
      </c>
      <c r="E3" s="5" t="inlineStr">
        <is>
          <t>2月</t>
        </is>
      </c>
      <c r="F3" s="5" t="inlineStr">
        <is>
          <t>3月</t>
        </is>
      </c>
      <c r="G3" s="5" t="inlineStr">
        <is>
          <t>4月</t>
        </is>
      </c>
      <c r="H3" s="5" t="inlineStr">
        <is>
          <t>5月</t>
        </is>
      </c>
      <c r="I3" s="5" t="inlineStr">
        <is>
          <t>6月</t>
        </is>
      </c>
      <c r="J3" s="5" t="inlineStr">
        <is>
          <t>7月</t>
        </is>
      </c>
      <c r="K3" s="5" t="inlineStr">
        <is>
          <t>8月</t>
        </is>
      </c>
      <c r="L3" s="5" t="inlineStr">
        <is>
          <t>9月</t>
        </is>
      </c>
      <c r="M3" s="5" t="inlineStr">
        <is>
          <t>10月</t>
        </is>
      </c>
      <c r="N3" s="5" t="inlineStr">
        <is>
          <t>11月</t>
        </is>
      </c>
      <c r="O3" s="5" t="inlineStr">
        <is>
          <t>12月</t>
        </is>
      </c>
      <c r="P3" s="5" t="inlineStr">
        <is>
          <t>合计</t>
        </is>
      </c>
      <c r="Q3" s="5" t="inlineStr">
        <is>
          <t>费比</t>
        </is>
      </c>
    </row>
    <row r="4" ht="18" customHeight="1">
      <c r="C4" s="7" t="inlineStr">
        <is>
          <t>淘系</t>
        </is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25">
        <f>SUM(D4:O4)</f>
        <v/>
      </c>
    </row>
    <row r="5" ht="18" customHeight="1">
      <c r="C5" s="7" t="inlineStr">
        <is>
          <t>淘系达播</t>
        </is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25">
        <f>SUM(D5:O5)</f>
        <v/>
      </c>
    </row>
    <row r="6" ht="18" customHeight="1">
      <c r="C6" s="7" t="inlineStr">
        <is>
          <t>抖音自播</t>
        </is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25">
        <f>SUM(D6:O6)</f>
        <v/>
      </c>
    </row>
    <row r="7" ht="18" customHeight="1">
      <c r="C7" s="7" t="inlineStr">
        <is>
          <t>抖音达播</t>
        </is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25">
        <f>SUM(D7:O7)</f>
        <v/>
      </c>
    </row>
    <row r="8" ht="18" customHeight="1">
      <c r="C8" s="7" t="inlineStr">
        <is>
          <t>快手</t>
        </is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25">
        <f>SUM(D8:O8)</f>
        <v/>
      </c>
    </row>
    <row r="9" ht="18" customHeight="1">
      <c r="C9" s="26" t="inlineStr">
        <is>
          <t>京东自营-财务</t>
        </is>
      </c>
      <c r="D9" s="27" t="n">
        <v>0</v>
      </c>
      <c r="E9" s="27" t="n">
        <v>0</v>
      </c>
      <c r="F9" s="27" t="n">
        <v>0</v>
      </c>
      <c r="G9" s="27" t="n">
        <v>0</v>
      </c>
      <c r="H9" s="27" t="n">
        <v>0</v>
      </c>
      <c r="I9" s="27" t="n">
        <v>0</v>
      </c>
      <c r="J9" s="27" t="n">
        <v>0</v>
      </c>
      <c r="K9" s="27" t="n">
        <v>0</v>
      </c>
      <c r="L9" s="27" t="n">
        <v>0</v>
      </c>
      <c r="M9" s="27" t="n">
        <v>0</v>
      </c>
      <c r="N9" s="27" t="n">
        <v>0</v>
      </c>
      <c r="O9" s="27" t="n">
        <v>0</v>
      </c>
      <c r="P9" s="25">
        <f>SUM(D9:O9)</f>
        <v/>
      </c>
    </row>
    <row r="10" ht="18" customHeight="1">
      <c r="C10" s="28" t="inlineStr">
        <is>
          <t>京东自营-业务</t>
        </is>
      </c>
      <c r="D10" s="29" t="n">
        <v>0</v>
      </c>
      <c r="E10" s="29" t="n">
        <v>0</v>
      </c>
      <c r="F10" s="29" t="n">
        <v>0</v>
      </c>
      <c r="G10" s="29" t="n">
        <v>0</v>
      </c>
      <c r="H10" s="29" t="n">
        <v>0</v>
      </c>
      <c r="I10" s="29" t="n">
        <v>0</v>
      </c>
      <c r="J10" s="29" t="n">
        <v>0</v>
      </c>
      <c r="K10" s="29" t="n">
        <v>0</v>
      </c>
      <c r="L10" s="29" t="n">
        <v>0</v>
      </c>
      <c r="M10" s="29" t="n">
        <v>0</v>
      </c>
      <c r="N10" s="29" t="n">
        <v>0</v>
      </c>
      <c r="O10" s="29" t="n">
        <v>0</v>
      </c>
      <c r="P10" s="25">
        <f>SUM(D10:O10)</f>
        <v/>
      </c>
    </row>
    <row r="11" ht="18" customHeight="1">
      <c r="C11" s="7" t="inlineStr">
        <is>
          <t>京东POP</t>
        </is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25">
        <f>SUM(D11:O11)</f>
        <v/>
      </c>
    </row>
    <row r="12" ht="18" customHeight="1">
      <c r="C12" s="7" t="inlineStr">
        <is>
          <t>拼多多</t>
        </is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25">
        <f>SUM(D12:O12)</f>
        <v/>
      </c>
    </row>
    <row r="13" ht="18" customHeight="1">
      <c r="C13" s="7" t="inlineStr">
        <is>
          <t>得物</t>
        </is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25">
        <f>SUM(D13:O13)</f>
        <v/>
      </c>
    </row>
    <row r="14" ht="18" customHeight="1">
      <c r="C14" s="7" t="inlineStr">
        <is>
          <t>视频号官网</t>
        </is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25">
        <f>SUM(D14:O14)</f>
        <v/>
      </c>
    </row>
    <row r="15" ht="18" customHeight="1">
      <c r="C15" s="7" t="inlineStr">
        <is>
          <t>线下直营</t>
        </is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25">
        <f>SUM(D15:O15)</f>
        <v/>
      </c>
    </row>
    <row r="16" ht="18" customHeight="1">
      <c r="C16" s="7" t="inlineStr">
        <is>
          <t>线下经销</t>
        </is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25">
        <f>SUM(D16:O16)</f>
        <v/>
      </c>
    </row>
    <row r="17" ht="22" customHeight="1">
      <c r="C17" s="30" t="inlineStr">
        <is>
          <t>全渠道合计</t>
        </is>
      </c>
      <c r="D17" s="31">
        <f>SUM(D4:D16)</f>
        <v/>
      </c>
      <c r="E17" s="31">
        <f>SUM(E4:E16)</f>
        <v/>
      </c>
      <c r="F17" s="31">
        <f>SUM(F4:F16)</f>
        <v/>
      </c>
      <c r="G17" s="31">
        <f>SUM(G4:G16)</f>
        <v/>
      </c>
      <c r="H17" s="31">
        <f>SUM(H4:H16)</f>
        <v/>
      </c>
      <c r="I17" s="31">
        <f>SUM(I4:I16)</f>
        <v/>
      </c>
      <c r="J17" s="31">
        <f>SUM(J4:J16)</f>
        <v/>
      </c>
      <c r="K17" s="31">
        <f>SUM(K4:K16)</f>
        <v/>
      </c>
      <c r="L17" s="31">
        <f>SUM(L4:L16)</f>
        <v/>
      </c>
      <c r="M17" s="31">
        <f>SUM(M4:M16)</f>
        <v/>
      </c>
      <c r="N17" s="31">
        <f>SUM(N4:N16)</f>
        <v/>
      </c>
      <c r="O17" s="31">
        <f>SUM(O4:O16)</f>
        <v/>
      </c>
      <c r="P17" s="31">
        <f>SUM(P4:P16)</f>
        <v/>
      </c>
    </row>
  </sheetData>
  <mergeCells count="1">
    <mergeCell ref="C2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2026-06-01T12:42:43Z</dcterms:created>
  <dcterms:modified xmlns:dcterms="http://purl.org/dc/terms/" xmlns:xsi="http://www.w3.org/2001/XMLSchema-instance" xsi:type="dcterms:W3CDTF">2026-06-01T12:42:44Z</dcterms:modified>
</cp:coreProperties>
</file>